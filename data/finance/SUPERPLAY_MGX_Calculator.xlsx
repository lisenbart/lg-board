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240" yWindow="700" windowWidth="26880" windowHeight="20060" tabRatio="600" firstSheet="0" activeTab="0" autoFilterDateGrouping="1"/>
  </bookViews>
  <sheets>
    <sheet xmlns:r="http://schemas.openxmlformats.org/officeDocument/2006/relationships" name="October 26" sheetId="1" state="visible" r:id="rId1"/>
    <sheet xmlns:r="http://schemas.openxmlformats.org/officeDocument/2006/relationships" name="February" sheetId="2" state="visible" r:id="rId2"/>
    <sheet xmlns:r="http://schemas.openxmlformats.org/officeDocument/2006/relationships" name="January" sheetId="3" state="visible" r:id="rId3"/>
    <sheet xmlns:r="http://schemas.openxmlformats.org/officeDocument/2006/relationships" name="December" sheetId="4" state="visible" r:id="rId4"/>
    <sheet xmlns:r="http://schemas.openxmlformats.org/officeDocument/2006/relationships" name="November" sheetId="5" state="visible" r:id="rId5"/>
    <sheet xmlns:r="http://schemas.openxmlformats.org/officeDocument/2006/relationships" name="October" sheetId="6" state="visible" r:id="rId6"/>
    <sheet xmlns:r="http://schemas.openxmlformats.org/officeDocument/2006/relationships" name="September" sheetId="7" state="visible" r:id="rId7"/>
    <sheet xmlns:r="http://schemas.openxmlformats.org/officeDocument/2006/relationships" name="August" sheetId="8" state="visible" r:id="rId8"/>
    <sheet xmlns:r="http://schemas.openxmlformats.org/officeDocument/2006/relationships" name="July" sheetId="9" state="visible" r:id="rId9"/>
    <sheet xmlns:r="http://schemas.openxmlformats.org/officeDocument/2006/relationships" name="June" sheetId="10" state="visible" r:id="rId10"/>
    <sheet xmlns:r="http://schemas.openxmlformats.org/officeDocument/2006/relationships" name="Employeers" sheetId="11" state="visible" r:id="rId11"/>
    <sheet xmlns:r="http://schemas.openxmlformats.org/officeDocument/2006/relationships" name="Invoic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\ [$₴-422]"/>
    <numFmt numFmtId="165" formatCode="[$$-409]#,##0"/>
    <numFmt numFmtId="166" formatCode="#,##0.00\ [$USD]"/>
  </numFmts>
  <fonts count="67">
    <font>
      <name val="Calibri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color rgb="FF000000"/>
      <sz val="12"/>
    </font>
    <font>
      <name val="Calibri"/>
      <family val="2"/>
      <color rgb="FFF2F2F2"/>
      <sz val="12"/>
    </font>
    <font>
      <name val="Calibri"/>
      <family val="2"/>
      <color rgb="FFBFBFBF"/>
      <sz val="12"/>
    </font>
    <font>
      <name val="Roboto"/>
      <color rgb="FF000000"/>
      <sz val="12"/>
    </font>
    <font>
      <name val="Helvetica"/>
      <family val="2"/>
      <color rgb="FF000000"/>
      <sz val="12"/>
    </font>
    <font>
      <name val="Arial"/>
      <family val="2"/>
      <color theme="1"/>
      <sz val="10"/>
    </font>
    <font>
      <name val="Helvetica"/>
      <family val="2"/>
      <b val="1"/>
      <color rgb="FF000000"/>
      <sz val="12"/>
    </font>
    <font>
      <name val="Helvetica"/>
      <family val="2"/>
      <color theme="1"/>
      <sz val="12"/>
    </font>
    <font>
      <name val="Helvetica"/>
      <family val="2"/>
      <b val="1"/>
      <color rgb="FF000000"/>
      <sz val="16"/>
    </font>
    <font>
      <name val="Helvetica Neue"/>
      <family val="2"/>
      <color rgb="FF000000"/>
      <sz val="12"/>
    </font>
    <font>
      <name val="Calibri"/>
      <family val="2"/>
      <b val="1"/>
      <color theme="1"/>
      <sz val="18"/>
      <scheme val="minor"/>
    </font>
    <font>
      <name val="Calibri"/>
      <family val="2"/>
      <color rgb="FF000000"/>
      <sz val="12"/>
      <scheme val="minor"/>
    </font>
    <font>
      <name val="Calibri"/>
      <family val="2"/>
      <sz val="12"/>
    </font>
    <font>
      <name val="Arial"/>
      <family val="1"/>
      <sz val="11"/>
    </font>
    <font>
      <name val="Calibri"/>
      <family val="2"/>
      <color theme="0" tint="-0.249977111117893"/>
      <sz val="12"/>
    </font>
    <font>
      <name val="Arial"/>
      <family val="2"/>
      <color theme="0" tint="-0.249977111117893"/>
      <sz val="10"/>
    </font>
    <font>
      <name val="Calibri"/>
      <family val="2"/>
      <color theme="0" tint="-0.249977111117893"/>
      <sz val="12"/>
      <scheme val="minor"/>
    </font>
    <font>
      <name val="Calibri"/>
      <b val="1"/>
      <sz val="11"/>
    </font>
    <font>
      <name val="Calibri"/>
      <sz val="11"/>
    </font>
  </fonts>
  <fills count="2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7F7F7F"/>
        <bgColor rgb="FF7F7F7F"/>
      </patternFill>
    </fill>
    <fill>
      <patternFill patternType="solid">
        <fgColor rgb="FF595959"/>
        <bgColor rgb="FF595959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B0F0"/>
      </patternFill>
    </fill>
    <fill>
      <patternFill patternType="solid">
        <fgColor rgb="00D8D8D8"/>
      </patternFill>
    </fill>
    <fill>
      <patternFill patternType="solid">
        <fgColor rgb="009DC3E6"/>
      </patternFill>
    </fill>
    <fill>
      <patternFill patternType="solid">
        <fgColor rgb="0059BBFF"/>
      </patternFill>
    </fill>
    <fill>
      <patternFill patternType="solid">
        <fgColor rgb="00FFD966"/>
      </patternFill>
    </fill>
    <fill>
      <patternFill patternType="solid">
        <fgColor rgb="0092D050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hair">
        <color rgb="00B4B4B4"/>
      </left>
      <right style="hair">
        <color rgb="00B4B4B4"/>
      </right>
      <top style="hair">
        <color rgb="00B4B4B4"/>
      </top>
      <bottom style="hair">
        <color rgb="00B4B4B4"/>
      </bottom>
    </border>
  </borders>
  <cellStyleXfs count="3">
    <xf numFmtId="0" fontId="0" fillId="0" borderId="0"/>
    <xf numFmtId="0" fontId="44" fillId="0" borderId="0"/>
    <xf numFmtId="0" fontId="44" fillId="0" borderId="0"/>
  </cellStyleXfs>
  <cellXfs count="16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 vertical="center"/>
    </xf>
    <xf numFmtId="1" fontId="44" fillId="0" borderId="0" applyAlignment="1" pivotButton="0" quotePrefix="0" xfId="0">
      <alignment horizontal="right" vertical="center"/>
    </xf>
    <xf numFmtId="1" fontId="44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1" fontId="42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" fontId="41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" fontId="0" fillId="3" borderId="0" applyAlignment="1" pivotButton="0" quotePrefix="0" xfId="0">
      <alignment horizontal="center" vertical="center"/>
    </xf>
    <xf numFmtId="1" fontId="40" fillId="0" borderId="0" applyAlignment="1" pivotButton="0" quotePrefix="0" xfId="0">
      <alignment horizontal="center"/>
    </xf>
    <xf numFmtId="0" fontId="43" fillId="4" borderId="0" applyAlignment="1" pivotButton="0" quotePrefix="0" xfId="0">
      <alignment horizontal="center" vertical="center"/>
    </xf>
    <xf numFmtId="0" fontId="43" fillId="5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left"/>
    </xf>
    <xf numFmtId="0" fontId="38" fillId="0" borderId="0" applyAlignment="1" pivotButton="0" quotePrefix="0" xfId="0">
      <alignment horizontal="left"/>
    </xf>
    <xf numFmtId="14" fontId="41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" fontId="37" fillId="0" borderId="0" applyAlignment="1" pivotButton="0" quotePrefix="0" xfId="0">
      <alignment horizontal="center" vertical="center"/>
    </xf>
    <xf numFmtId="1" fontId="46" fillId="3" borderId="0" applyAlignment="1" pivotButton="0" quotePrefix="0" xfId="0">
      <alignment horizontal="center"/>
    </xf>
    <xf numFmtId="1" fontId="37" fillId="3" borderId="0" applyAlignment="1" pivotButton="0" quotePrefix="0" xfId="0">
      <alignment horizontal="center"/>
    </xf>
    <xf numFmtId="1" fontId="37" fillId="3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/>
    </xf>
    <xf numFmtId="1" fontId="36" fillId="3" borderId="0" applyAlignment="1" pivotButton="0" quotePrefix="0" xfId="0">
      <alignment horizontal="center" vertical="center"/>
    </xf>
    <xf numFmtId="165" fontId="37" fillId="0" borderId="0" applyAlignment="1" pivotButton="0" quotePrefix="0" xfId="0">
      <alignment horizontal="right" vertical="center"/>
    </xf>
    <xf numFmtId="1" fontId="44" fillId="7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/>
    </xf>
    <xf numFmtId="0" fontId="34" fillId="3" borderId="0" applyAlignment="1" pivotButton="0" quotePrefix="0" xfId="0">
      <alignment horizontal="center" vertical="center"/>
    </xf>
    <xf numFmtId="165" fontId="34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center" vertical="center"/>
    </xf>
    <xf numFmtId="0" fontId="34" fillId="6" borderId="0" applyAlignment="1" pivotButton="0" quotePrefix="0" xfId="0">
      <alignment horizontal="center" vertical="center"/>
    </xf>
    <xf numFmtId="1" fontId="34" fillId="4" borderId="0" applyAlignment="1" pivotButton="0" quotePrefix="0" xfId="0">
      <alignment horizontal="center" vertical="center"/>
    </xf>
    <xf numFmtId="165" fontId="46" fillId="0" borderId="0" applyAlignment="1" pivotButton="0" quotePrefix="0" xfId="0">
      <alignment horizontal="right" vertical="center"/>
    </xf>
    <xf numFmtId="1" fontId="34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 vertical="center"/>
    </xf>
    <xf numFmtId="1" fontId="33" fillId="3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/>
    </xf>
    <xf numFmtId="0" fontId="31" fillId="0" borderId="0" applyAlignment="1" pivotButton="0" quotePrefix="0" xfId="0">
      <alignment horizontal="center" vertical="center"/>
    </xf>
    <xf numFmtId="0" fontId="30" fillId="0" borderId="0" pivotButton="0" quotePrefix="0" xfId="1"/>
    <xf numFmtId="0" fontId="45" fillId="0" borderId="0" applyAlignment="1" pivotButton="0" quotePrefix="0" xfId="1">
      <alignment horizontal="center" vertical="center"/>
    </xf>
    <xf numFmtId="0" fontId="48" fillId="0" borderId="0" applyAlignment="1" pivotButton="0" quotePrefix="0" xfId="1">
      <alignment horizontal="center" vertical="center"/>
    </xf>
    <xf numFmtId="49" fontId="48" fillId="0" borderId="0" applyAlignment="1" pivotButton="0" quotePrefix="0" xfId="1">
      <alignment horizontal="center" vertical="center"/>
    </xf>
    <xf numFmtId="0" fontId="48" fillId="0" borderId="0" pivotButton="0" quotePrefix="0" xfId="1"/>
    <xf numFmtId="49" fontId="48" fillId="0" borderId="0" pivotButton="0" quotePrefix="0" xfId="1"/>
    <xf numFmtId="0" fontId="48" fillId="8" borderId="0" applyAlignment="1" pivotButton="0" quotePrefix="0" xfId="1">
      <alignment horizontal="center" vertical="center"/>
    </xf>
    <xf numFmtId="0" fontId="48" fillId="9" borderId="0" applyAlignment="1" pivotButton="0" quotePrefix="0" xfId="1">
      <alignment horizontal="center" vertical="center"/>
    </xf>
    <xf numFmtId="0" fontId="48" fillId="10" borderId="0" applyAlignment="1" pivotButton="0" quotePrefix="0" xfId="1">
      <alignment horizontal="center" vertical="center"/>
    </xf>
    <xf numFmtId="0" fontId="49" fillId="11" borderId="0" applyAlignment="1" pivotButton="0" quotePrefix="0" xfId="1">
      <alignment horizontal="center" vertical="center"/>
    </xf>
    <xf numFmtId="49" fontId="50" fillId="12" borderId="0" applyAlignment="1" pivotButton="0" quotePrefix="0" xfId="1">
      <alignment horizontal="center" vertical="center"/>
    </xf>
    <xf numFmtId="0" fontId="48" fillId="0" borderId="0" applyAlignment="1" pivotButton="0" quotePrefix="0" xfId="1">
      <alignment horizontal="right"/>
    </xf>
    <xf numFmtId="1" fontId="48" fillId="0" borderId="0" applyAlignment="1" pivotButton="0" quotePrefix="0" xfId="1">
      <alignment horizontal="center" vertical="center"/>
    </xf>
    <xf numFmtId="1" fontId="48" fillId="0" borderId="0" applyAlignment="1" pivotButton="0" quotePrefix="0" xfId="1">
      <alignment horizontal="right"/>
    </xf>
    <xf numFmtId="49" fontId="48" fillId="0" borderId="0" applyAlignment="1" pivotButton="0" quotePrefix="0" xfId="1">
      <alignment horizontal="right"/>
    </xf>
    <xf numFmtId="1" fontId="50" fillId="0" borderId="0" applyAlignment="1" pivotButton="0" quotePrefix="0" xfId="1">
      <alignment horizontal="right"/>
    </xf>
    <xf numFmtId="0" fontId="51" fillId="0" borderId="0" applyAlignment="1" pivotButton="0" quotePrefix="0" xfId="1">
      <alignment horizontal="center"/>
    </xf>
    <xf numFmtId="1" fontId="29" fillId="0" borderId="0" applyAlignment="1" pivotButton="0" quotePrefix="0" xfId="0">
      <alignment horizontal="left" vertical="center"/>
    </xf>
    <xf numFmtId="1" fontId="28" fillId="3" borderId="0" applyAlignment="1" pivotButton="0" quotePrefix="0" xfId="0">
      <alignment horizontal="center"/>
    </xf>
    <xf numFmtId="0" fontId="35" fillId="3" borderId="0" applyAlignment="1" pivotButton="0" quotePrefix="0" xfId="0">
      <alignment horizontal="left"/>
    </xf>
    <xf numFmtId="14" fontId="41" fillId="3" borderId="0" applyAlignment="1" pivotButton="0" quotePrefix="0" xfId="0">
      <alignment horizontal="center" vertical="center"/>
    </xf>
    <xf numFmtId="165" fontId="0" fillId="3" borderId="0" applyAlignment="1" pivotButton="0" quotePrefix="0" xfId="0">
      <alignment horizontal="center" vertical="center"/>
    </xf>
    <xf numFmtId="165" fontId="46" fillId="3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/>
    </xf>
    <xf numFmtId="1" fontId="26" fillId="0" borderId="0" applyAlignment="1" pivotButton="0" quotePrefix="0" xfId="0">
      <alignment horizontal="left" vertical="center"/>
    </xf>
    <xf numFmtId="1" fontId="25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/>
    </xf>
    <xf numFmtId="165" fontId="0" fillId="2" borderId="0" applyAlignment="1" pivotButton="0" quotePrefix="0" xfId="0">
      <alignment horizontal="center" vertical="center"/>
    </xf>
    <xf numFmtId="1" fontId="46" fillId="2" borderId="0" applyAlignment="1" pivotButton="0" quotePrefix="0" xfId="0">
      <alignment horizontal="center"/>
    </xf>
    <xf numFmtId="1" fontId="36" fillId="2" borderId="0" applyAlignment="1" pivotButton="0" quotePrefix="0" xfId="0">
      <alignment horizontal="center" vertical="center"/>
    </xf>
    <xf numFmtId="1" fontId="28" fillId="2" borderId="0" applyAlignment="1" pivotButton="0" quotePrefix="0" xfId="0">
      <alignment horizontal="center"/>
    </xf>
    <xf numFmtId="1" fontId="37" fillId="2" borderId="0" applyAlignment="1" pivotButton="0" quotePrefix="0" xfId="0">
      <alignment horizontal="center"/>
    </xf>
    <xf numFmtId="1" fontId="37" fillId="2" borderId="0" applyAlignment="1" pivotButton="0" quotePrefix="0" xfId="0">
      <alignment horizontal="center" vertical="center"/>
    </xf>
    <xf numFmtId="1" fontId="34" fillId="2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1" fontId="33" fillId="2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right" vertical="center"/>
    </xf>
    <xf numFmtId="0" fontId="18" fillId="0" borderId="0" pivotButton="0" quotePrefix="0" xfId="2"/>
    <xf numFmtId="0" fontId="45" fillId="0" borderId="0" applyAlignment="1" pivotButton="0" quotePrefix="0" xfId="2">
      <alignment horizontal="center" vertical="center"/>
    </xf>
    <xf numFmtId="49" fontId="48" fillId="0" borderId="0" applyAlignment="1" pivotButton="0" quotePrefix="0" xfId="2">
      <alignment horizontal="right"/>
    </xf>
    <xf numFmtId="0" fontId="48" fillId="0" borderId="0" applyAlignment="1" pivotButton="0" quotePrefix="0" xfId="2">
      <alignment horizontal="right"/>
    </xf>
    <xf numFmtId="0" fontId="48" fillId="0" borderId="0" applyAlignment="1" pivotButton="0" quotePrefix="0" xfId="2">
      <alignment horizontal="center"/>
    </xf>
    <xf numFmtId="0" fontId="48" fillId="0" borderId="0" pivotButton="0" quotePrefix="0" xfId="2"/>
    <xf numFmtId="49" fontId="48" fillId="0" borderId="0" pivotButton="0" quotePrefix="0" xfId="2"/>
    <xf numFmtId="0" fontId="48" fillId="8" borderId="0" applyAlignment="1" pivotButton="0" quotePrefix="0" xfId="2">
      <alignment horizontal="center" vertical="center"/>
    </xf>
    <xf numFmtId="0" fontId="48" fillId="0" borderId="0" applyAlignment="1" pivotButton="0" quotePrefix="0" xfId="2">
      <alignment horizontal="center" vertical="center"/>
    </xf>
    <xf numFmtId="0" fontId="0" fillId="13" borderId="0" applyAlignment="1" pivotButton="0" quotePrefix="0" xfId="0">
      <alignment horizontal="center" vertical="center"/>
    </xf>
    <xf numFmtId="166" fontId="48" fillId="0" borderId="0" applyAlignment="1" pivotButton="0" quotePrefix="0" xfId="2">
      <alignment horizontal="right"/>
    </xf>
    <xf numFmtId="166" fontId="18" fillId="0" borderId="0" pivotButton="0" quotePrefix="0" xfId="2"/>
    <xf numFmtId="0" fontId="17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/>
    </xf>
    <xf numFmtId="0" fontId="0" fillId="1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14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/>
    </xf>
    <xf numFmtId="0" fontId="0" fillId="15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/>
    </xf>
    <xf numFmtId="0" fontId="52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0" fontId="5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1" fontId="46" fillId="3" borderId="0" applyAlignment="1" pivotButton="0" quotePrefix="0" xfId="0">
      <alignment horizontal="center" vertical="center"/>
    </xf>
    <xf numFmtId="165" fontId="0" fillId="13" borderId="0" applyAlignment="1" pivotButton="0" quotePrefix="0" xfId="0">
      <alignment horizontal="center" vertical="center"/>
    </xf>
    <xf numFmtId="0" fontId="55" fillId="0" borderId="0" pivotButton="0" quotePrefix="0" xfId="0"/>
    <xf numFmtId="0" fontId="10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56" fillId="0" borderId="0" applyAlignment="1" pivotButton="0" quotePrefix="0" xfId="0">
      <alignment horizontal="center"/>
    </xf>
    <xf numFmtId="1" fontId="46" fillId="3" borderId="0" applyAlignment="1" pivotButton="0" quotePrefix="0" xfId="0">
      <alignment horizontal="right" vertical="center"/>
    </xf>
    <xf numFmtId="0" fontId="46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2" fillId="13" borderId="0" pivotButton="0" quotePrefix="0" xfId="0"/>
    <xf numFmtId="0" fontId="57" fillId="17" borderId="0" pivotButton="0" quotePrefix="0" xfId="0"/>
    <xf numFmtId="0" fontId="45" fillId="17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" fontId="58" fillId="3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/>
    </xf>
    <xf numFmtId="1" fontId="28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52" fillId="14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59" fillId="18" borderId="0" applyAlignment="1" pivotButton="0" quotePrefix="0" xfId="0">
      <alignment horizontal="center" vertical="center"/>
    </xf>
    <xf numFmtId="0" fontId="3" fillId="0" borderId="0" pivotButton="0" quotePrefix="1" xfId="1"/>
    <xf numFmtId="0" fontId="45" fillId="0" borderId="0" applyAlignment="1" pivotButton="0" quotePrefix="0" xfId="0">
      <alignment horizontal="center" vertical="center"/>
    </xf>
    <xf numFmtId="165" fontId="59" fillId="0" borderId="0" applyAlignment="1" pivotButton="0" quotePrefix="0" xfId="0">
      <alignment horizontal="center" vertical="center"/>
    </xf>
    <xf numFmtId="0" fontId="60" fillId="0" borderId="0" pivotButton="0" quotePrefix="0" xfId="1"/>
    <xf numFmtId="0" fontId="60" fillId="0" borderId="0" applyAlignment="1" pivotButton="0" quotePrefix="0" xfId="1">
      <alignment horizontal="right"/>
    </xf>
    <xf numFmtId="0" fontId="2" fillId="0" borderId="0" pivotButton="0" quotePrefix="0" xfId="2"/>
    <xf numFmtId="0" fontId="61" fillId="0" borderId="0" applyAlignment="1" pivotButton="0" quotePrefix="0" xfId="0">
      <alignment horizontal="left" vertical="center"/>
    </xf>
    <xf numFmtId="0" fontId="59" fillId="17" borderId="0" applyAlignment="1" pivotButton="0" quotePrefix="0" xfId="0">
      <alignment horizontal="center" vertical="center"/>
    </xf>
    <xf numFmtId="0" fontId="45" fillId="19" borderId="0" applyAlignment="1" pivotButton="0" quotePrefix="0" xfId="0">
      <alignment horizontal="center" vertical="center"/>
    </xf>
    <xf numFmtId="0" fontId="1" fillId="19" borderId="0" pivotButton="0" quotePrefix="0" xfId="0"/>
    <xf numFmtId="0" fontId="45" fillId="19" borderId="0" pivotButton="0" quotePrefix="0" xfId="0"/>
    <xf numFmtId="0" fontId="45" fillId="17" borderId="0" pivotButton="0" quotePrefix="0" xfId="0"/>
    <xf numFmtId="164" fontId="0" fillId="13" borderId="0" applyAlignment="1" pivotButton="0" quotePrefix="0" xfId="0">
      <alignment horizontal="right" vertical="center"/>
    </xf>
    <xf numFmtId="0" fontId="62" fillId="0" borderId="0" applyAlignment="1" pivotButton="0" quotePrefix="0" xfId="1">
      <alignment horizontal="right"/>
    </xf>
    <xf numFmtId="0" fontId="63" fillId="0" borderId="0" applyAlignment="1" pivotButton="0" quotePrefix="0" xfId="0">
      <alignment horizontal="center" vertical="center"/>
    </xf>
    <xf numFmtId="0" fontId="64" fillId="0" borderId="0" pivotButton="0" quotePrefix="0" xfId="1"/>
    <xf numFmtId="49" fontId="62" fillId="0" borderId="0" applyAlignment="1" pivotButton="0" quotePrefix="0" xfId="1">
      <alignment horizontal="center" vertical="center"/>
    </xf>
    <xf numFmtId="0" fontId="48" fillId="13" borderId="0" applyAlignment="1" pivotButton="0" quotePrefix="0" xfId="2">
      <alignment horizontal="right"/>
    </xf>
    <xf numFmtId="0" fontId="65" fillId="0" borderId="0" pivotButton="0" quotePrefix="0" xfId="0"/>
    <xf numFmtId="0" fontId="65" fillId="0" borderId="0" applyAlignment="1" pivotButton="0" quotePrefix="0" xfId="0">
      <alignment horizontal="center" vertical="center"/>
    </xf>
    <xf numFmtId="0" fontId="65" fillId="21" borderId="1" applyAlignment="1" pivotButton="0" quotePrefix="0" xfId="0">
      <alignment horizontal="center" vertical="center"/>
    </xf>
    <xf numFmtId="0" fontId="65" fillId="20" borderId="1" applyAlignment="1" pivotButton="0" quotePrefix="0" xfId="0">
      <alignment horizontal="center" vertical="center"/>
    </xf>
    <xf numFmtId="0" fontId="66" fillId="0" borderId="1" applyAlignment="1" pivotButton="0" quotePrefix="0" xfId="0">
      <alignment horizontal="center" vertical="center"/>
    </xf>
    <xf numFmtId="0" fontId="66" fillId="0" borderId="1" applyAlignment="1" pivotButton="0" quotePrefix="0" xfId="0">
      <alignment vertical="center"/>
    </xf>
    <xf numFmtId="0" fontId="66" fillId="22" borderId="1" applyAlignment="1" pivotButton="0" quotePrefix="0" xfId="0">
      <alignment horizontal="center" vertical="center"/>
    </xf>
    <xf numFmtId="0" fontId="66" fillId="23" borderId="1" applyAlignment="1" pivotButton="0" quotePrefix="0" xfId="0">
      <alignment horizontal="center" vertical="center"/>
    </xf>
    <xf numFmtId="0" fontId="66" fillId="24" borderId="1" applyAlignment="1" pivotButton="0" quotePrefix="0" xfId="0">
      <alignment horizontal="center" vertical="center"/>
    </xf>
    <xf numFmtId="0" fontId="65" fillId="25" borderId="1" applyAlignment="1" pivotButton="0" quotePrefix="0" xfId="0">
      <alignment horizontal="center" vertical="center"/>
    </xf>
    <xf numFmtId="0" fontId="65" fillId="20" borderId="1" applyAlignment="1" pivotButton="0" quotePrefix="0" xfId="0">
      <alignment vertical="center"/>
    </xf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mailto:cat44cat22@gmail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34"/>
  <sheetViews>
    <sheetView workbookViewId="0">
      <selection activeCell="A1" sqref="A1"/>
    </sheetView>
  </sheetViews>
  <sheetFormatPr baseColWidth="8" defaultRowHeight="15"/>
  <cols>
    <col width="11" customWidth="1" min="1" max="1"/>
    <col width="7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2">
      <c r="B2" s="155" t="inlineStr">
        <is>
          <t>2026 OCTOBER</t>
        </is>
      </c>
      <c r="F2" s="156" t="inlineStr">
        <is>
          <t>Настя</t>
        </is>
      </c>
      <c r="G2" s="156" t="inlineStr">
        <is>
          <t>Маша</t>
        </is>
      </c>
      <c r="H2" s="156" t="inlineStr">
        <is>
          <t>Сергій</t>
        </is>
      </c>
      <c r="I2" s="156" t="inlineStr">
        <is>
          <t>Аліна</t>
        </is>
      </c>
      <c r="J2" s="156" t="inlineStr">
        <is>
          <t>Олекса</t>
        </is>
      </c>
      <c r="K2" s="156" t="inlineStr">
        <is>
          <t>Андрій</t>
        </is>
      </c>
    </row>
    <row r="5">
      <c r="A5" s="157" t="inlineStr">
        <is>
          <t>DX</t>
        </is>
      </c>
      <c r="B5" s="158" t="inlineStr">
        <is>
          <t>MGX</t>
        </is>
      </c>
      <c r="C5" s="158" t="inlineStr">
        <is>
          <t>SHIFTS</t>
        </is>
      </c>
      <c r="D5" s="158" t="inlineStr">
        <is>
          <t>HOURS</t>
        </is>
      </c>
      <c r="E5" s="158" t="inlineStr">
        <is>
          <t>D.LINE</t>
        </is>
      </c>
      <c r="F5" s="158" t="inlineStr">
        <is>
          <t>EMPL 1</t>
        </is>
      </c>
      <c r="G5" s="158" t="inlineStr">
        <is>
          <t>EMPL 2</t>
        </is>
      </c>
      <c r="H5" s="158" t="inlineStr">
        <is>
          <t>EMPL 3</t>
        </is>
      </c>
      <c r="I5" s="158" t="inlineStr">
        <is>
          <t>EMPL 4</t>
        </is>
      </c>
      <c r="J5" s="158" t="inlineStr">
        <is>
          <t>EMPL 5</t>
        </is>
      </c>
      <c r="K5" s="158" t="inlineStr">
        <is>
          <t>EMPL 6</t>
        </is>
      </c>
      <c r="L5" s="158" t="inlineStr">
        <is>
          <t>Total EMPL</t>
        </is>
      </c>
      <c r="M5" s="158" t="inlineStr">
        <is>
          <t>CLIENT IN</t>
        </is>
      </c>
    </row>
    <row r="6">
      <c r="A6" s="159" t="n"/>
      <c r="B6" s="160" t="inlineStr">
        <is>
          <t>DX-AIV-0197-005_SettAI_Halloween_Match2_DX-VEO-003-001_EN_60s</t>
        </is>
      </c>
      <c r="C6" s="159" t="n">
        <v>0.3</v>
      </c>
      <c r="D6" s="159">
        <f>C6*9</f>
        <v/>
      </c>
      <c r="E6" s="159" t="n"/>
      <c r="F6" s="161">
        <f>D6*15</f>
        <v/>
      </c>
      <c r="G6" s="159" t="n"/>
      <c r="H6" s="159" t="n"/>
      <c r="I6" s="159" t="n"/>
      <c r="J6" s="159" t="n"/>
      <c r="K6" s="159" t="n"/>
      <c r="L6" s="159">
        <f>SUM(F6:K6)</f>
        <v/>
      </c>
      <c r="M6" s="159">
        <f>D6*35</f>
        <v/>
      </c>
    </row>
    <row r="7">
      <c r="A7" s="159" t="n"/>
      <c r="B7" s="160" t="inlineStr">
        <is>
          <t>DX-AIV-0213-002_SettAI_SavePeonHalloween_DX-VEO-055-001_EN_30s</t>
        </is>
      </c>
      <c r="C7" s="159" t="n">
        <v>0.3</v>
      </c>
      <c r="D7" s="159">
        <f>C7*9</f>
        <v/>
      </c>
      <c r="E7" s="159" t="n"/>
      <c r="F7" s="159" t="n"/>
      <c r="G7" s="159" t="n"/>
      <c r="H7" s="159" t="n"/>
      <c r="I7" s="159" t="n"/>
      <c r="J7" s="159" t="n"/>
      <c r="K7" s="159" t="n"/>
      <c r="L7" s="159">
        <f>SUM(F7:K7)</f>
        <v/>
      </c>
      <c r="M7" s="159">
        <f>D7*35</f>
        <v/>
      </c>
    </row>
    <row r="8">
      <c r="A8" s="159" t="n"/>
      <c r="B8" s="160" t="inlineStr">
        <is>
          <t>DX-AIV-0215-002_SettAI_HalloweenSkull_DX-VEO-055-001_EN_30s</t>
        </is>
      </c>
      <c r="C8" s="159" t="n">
        <v>0.3</v>
      </c>
      <c r="D8" s="159">
        <f>C8*9</f>
        <v/>
      </c>
      <c r="E8" s="159" t="n"/>
      <c r="F8" s="159" t="n"/>
      <c r="G8" s="159" t="n"/>
      <c r="H8" s="162">
        <f>D8*15</f>
        <v/>
      </c>
      <c r="I8" s="159" t="n"/>
      <c r="J8" s="159" t="n"/>
      <c r="K8" s="159" t="n"/>
      <c r="L8" s="159">
        <f>SUM(F8:K8)</f>
        <v/>
      </c>
      <c r="M8" s="159">
        <f>D8*35</f>
        <v/>
      </c>
    </row>
    <row r="9">
      <c r="A9" s="159" t="n"/>
      <c r="B9" s="160" t="inlineStr">
        <is>
          <t>DX-AIV-0218-002_SettAI_PuzzleHalloween_DX-VEO-055-001_EN_30s</t>
        </is>
      </c>
      <c r="C9" s="159" t="n">
        <v>0.3</v>
      </c>
      <c r="D9" s="159">
        <f>C9*9</f>
        <v/>
      </c>
      <c r="E9" s="159" t="n"/>
      <c r="F9" s="161">
        <f>D9*15</f>
        <v/>
      </c>
      <c r="G9" s="159" t="n"/>
      <c r="H9" s="159" t="n"/>
      <c r="I9" s="159" t="n"/>
      <c r="J9" s="159" t="n"/>
      <c r="K9" s="159" t="n"/>
      <c r="L9" s="159">
        <f>SUM(F9:K9)</f>
        <v/>
      </c>
      <c r="M9" s="159">
        <f>D9*35</f>
        <v/>
      </c>
    </row>
    <row r="10">
      <c r="A10" s="159" t="n"/>
      <c r="B10" s="160" t="inlineStr">
        <is>
          <t>DX-AIV-0222-003_SettAI_HalloweenRelax_DX-VEO-055-001_EN_30s</t>
        </is>
      </c>
      <c r="C10" s="159" t="n">
        <v>0.3</v>
      </c>
      <c r="D10" s="159">
        <f>C10*9</f>
        <v/>
      </c>
      <c r="E10" s="159" t="n"/>
      <c r="F10" s="159" t="n"/>
      <c r="G10" s="159" t="n"/>
      <c r="H10" s="159" t="n"/>
      <c r="I10" s="159" t="n"/>
      <c r="J10" s="159" t="n"/>
      <c r="K10" s="159" t="n"/>
      <c r="L10" s="159">
        <f>SUM(F10:K10)</f>
        <v/>
      </c>
      <c r="M10" s="159">
        <f>D10*35</f>
        <v/>
      </c>
    </row>
    <row r="11">
      <c r="A11" s="159" t="n"/>
      <c r="B11" s="160" t="inlineStr">
        <is>
          <t>DX-AIV-0225-002_SettAI_HalloweenSave_DX-VEO-055-001_EN_60s</t>
        </is>
      </c>
      <c r="C11" s="159" t="n">
        <v>0.3</v>
      </c>
      <c r="D11" s="159">
        <f>C11*9</f>
        <v/>
      </c>
      <c r="E11" s="159" t="n"/>
      <c r="F11" s="161">
        <f>D11*15</f>
        <v/>
      </c>
      <c r="G11" s="159" t="n"/>
      <c r="H11" s="159" t="n"/>
      <c r="I11" s="159" t="n"/>
      <c r="J11" s="159" t="n"/>
      <c r="K11" s="159" t="n"/>
      <c r="L11" s="159">
        <f>SUM(F11:K11)</f>
        <v/>
      </c>
      <c r="M11" s="159">
        <f>D11*35</f>
        <v/>
      </c>
    </row>
    <row r="12">
      <c r="A12" s="159" t="n"/>
      <c r="B12" s="160" t="inlineStr">
        <is>
          <t>DX-AIV-0230-002_SettAI_HalloweenTower_ DX-VEO-055-001 _EN_60s</t>
        </is>
      </c>
      <c r="C12" s="159" t="n">
        <v>0.3</v>
      </c>
      <c r="D12" s="159">
        <f>C12*9</f>
        <v/>
      </c>
      <c r="E12" s="159" t="n"/>
      <c r="F12" s="159" t="n"/>
      <c r="G12" s="163">
        <f>D12*12</f>
        <v/>
      </c>
      <c r="H12" s="159" t="n"/>
      <c r="I12" s="159" t="n"/>
      <c r="J12" s="159" t="n"/>
      <c r="K12" s="159" t="n"/>
      <c r="L12" s="159">
        <f>SUM(F12:K12)</f>
        <v/>
      </c>
      <c r="M12" s="159">
        <f>D12*35</f>
        <v/>
      </c>
    </row>
    <row r="13">
      <c r="A13" s="159" t="n"/>
      <c r="B13" s="160" t="inlineStr">
        <is>
          <t>DX-AIV-0406-002_SettAI_InteractiveHalloween_DX-VEO-055-001_EN_60s</t>
        </is>
      </c>
      <c r="C13" s="159" t="n">
        <v>0.3</v>
      </c>
      <c r="D13" s="159">
        <f>C13*9</f>
        <v/>
      </c>
      <c r="E13" s="159" t="n"/>
      <c r="F13" s="159" t="n"/>
      <c r="G13" s="163">
        <f>D13*12</f>
        <v/>
      </c>
      <c r="H13" s="159" t="n"/>
      <c r="I13" s="159" t="n"/>
      <c r="J13" s="159" t="n"/>
      <c r="K13" s="159" t="n"/>
      <c r="L13" s="159">
        <f>SUM(F13:K13)</f>
        <v/>
      </c>
      <c r="M13" s="159">
        <f>D13*35</f>
        <v/>
      </c>
    </row>
    <row r="14">
      <c r="A14" s="159" t="n"/>
      <c r="B14" s="160" t="inlineStr">
        <is>
          <t>DX-AIV-0407-002_SettAI_GraveEscape_DX-VEO-055-001_EN_60s</t>
        </is>
      </c>
      <c r="C14" s="159" t="n">
        <v>0.3</v>
      </c>
      <c r="D14" s="159">
        <f>C14*9</f>
        <v/>
      </c>
      <c r="E14" s="159" t="n"/>
      <c r="F14" s="159" t="n"/>
      <c r="G14" s="163">
        <f>D14*12</f>
        <v/>
      </c>
      <c r="H14" s="159" t="n"/>
      <c r="I14" s="159" t="n"/>
      <c r="J14" s="159" t="n"/>
      <c r="K14" s="159" t="n"/>
      <c r="L14" s="159">
        <f>SUM(F14:K14)</f>
        <v/>
      </c>
      <c r="M14" s="159">
        <f>D14*35</f>
        <v/>
      </c>
    </row>
    <row r="15">
      <c r="A15" s="159" t="n"/>
      <c r="B15" s="160" t="inlineStr">
        <is>
          <t>DX-AIV-216-002_SettAI_HalloweenCircle_DX-VEO-055-001_EN_60s</t>
        </is>
      </c>
      <c r="C15" s="159" t="n">
        <v>0.3</v>
      </c>
      <c r="D15" s="159">
        <f>C15*9</f>
        <v/>
      </c>
      <c r="E15" s="159" t="n"/>
      <c r="F15" s="161">
        <f>D15*15</f>
        <v/>
      </c>
      <c r="G15" s="159" t="n"/>
      <c r="H15" s="159" t="n"/>
      <c r="I15" s="159" t="n"/>
      <c r="J15" s="159" t="n"/>
      <c r="K15" s="159" t="n"/>
      <c r="L15" s="159">
        <f>SUM(F15:K15)</f>
        <v/>
      </c>
      <c r="M15" s="159">
        <f>D15*35</f>
        <v/>
      </c>
    </row>
    <row r="16">
      <c r="A16" s="159" t="n"/>
      <c r="B16" s="160" t="inlineStr">
        <is>
          <t>DX-AIV-231-002_SettAI_Halloween_Spirals_DX-VEO-055-001_EN_60s</t>
        </is>
      </c>
      <c r="C16" s="159" t="n">
        <v>0.3</v>
      </c>
      <c r="D16" s="159">
        <f>C16*9</f>
        <v/>
      </c>
      <c r="E16" s="159" t="n"/>
      <c r="F16" s="159" t="n"/>
      <c r="G16" s="159" t="n"/>
      <c r="H16" s="159" t="n"/>
      <c r="I16" s="159" t="n"/>
      <c r="J16" s="159" t="n"/>
      <c r="K16" s="159" t="n"/>
      <c r="L16" s="159">
        <f>SUM(F16:K16)</f>
        <v/>
      </c>
      <c r="M16" s="159">
        <f>D16*35</f>
        <v/>
      </c>
    </row>
    <row r="18">
      <c r="A18" s="164" t="inlineStr">
        <is>
          <t>DD</t>
        </is>
      </c>
      <c r="B18" s="158" t="inlineStr">
        <is>
          <t>MGX</t>
        </is>
      </c>
      <c r="C18" s="158" t="inlineStr">
        <is>
          <t>SHIFTS</t>
        </is>
      </c>
      <c r="D18" s="158" t="inlineStr">
        <is>
          <t>HOURS</t>
        </is>
      </c>
      <c r="E18" s="158" t="inlineStr">
        <is>
          <t>D.LINE</t>
        </is>
      </c>
      <c r="F18" s="158" t="inlineStr">
        <is>
          <t>EMPL 1</t>
        </is>
      </c>
      <c r="G18" s="158" t="inlineStr">
        <is>
          <t>EMPL 2</t>
        </is>
      </c>
      <c r="H18" s="158" t="inlineStr">
        <is>
          <t>EMPL 3</t>
        </is>
      </c>
      <c r="I18" s="158" t="inlineStr">
        <is>
          <t>EMPL 4</t>
        </is>
      </c>
      <c r="J18" s="158" t="inlineStr">
        <is>
          <t>EMPL 5</t>
        </is>
      </c>
      <c r="K18" s="158" t="inlineStr">
        <is>
          <t>EMPL 6</t>
        </is>
      </c>
      <c r="L18" s="158" t="inlineStr">
        <is>
          <t>Total EMPL</t>
        </is>
      </c>
      <c r="M18" s="158" t="inlineStr">
        <is>
          <t>CLIENT IN</t>
        </is>
      </c>
    </row>
    <row r="19">
      <c r="A19" s="159" t="n"/>
      <c r="B19" s="160" t="inlineStr">
        <is>
          <t>DD-AIV-202-004_SettAI_HalloweenFireTrial_DD-VEO-059-001_EN_30s</t>
        </is>
      </c>
      <c r="C19" s="159" t="n">
        <v>0.3</v>
      </c>
      <c r="D19" s="159">
        <f>C19*9</f>
        <v/>
      </c>
      <c r="E19" s="159" t="n"/>
      <c r="F19" s="159" t="n"/>
      <c r="G19" s="159" t="n"/>
      <c r="H19" s="159" t="n"/>
      <c r="I19" s="159" t="n"/>
      <c r="J19" s="159" t="n"/>
      <c r="K19" s="159" t="n"/>
      <c r="L19" s="159">
        <f>SUM(F19:K19)</f>
        <v/>
      </c>
      <c r="M19" s="159">
        <f>D19*35</f>
        <v/>
      </c>
    </row>
    <row r="20">
      <c r="A20" s="159" t="n"/>
      <c r="B20" s="160" t="inlineStr">
        <is>
          <t>DD-AIV-224-002_SettAI_HalloweenMario_DD-VEO-059-001_EN_30s</t>
        </is>
      </c>
      <c r="C20" s="159" t="n">
        <v>0.3</v>
      </c>
      <c r="D20" s="159">
        <f>C20*9</f>
        <v/>
      </c>
      <c r="E20" s="159" t="n"/>
      <c r="F20" s="159" t="n"/>
      <c r="G20" s="163">
        <f>D20*12</f>
        <v/>
      </c>
      <c r="H20" s="159" t="n"/>
      <c r="I20" s="159" t="n"/>
      <c r="J20" s="159" t="n"/>
      <c r="K20" s="159" t="n"/>
      <c r="L20" s="159">
        <f>SUM(F20:K20)</f>
        <v/>
      </c>
      <c r="M20" s="159">
        <f>D20*35</f>
        <v/>
      </c>
    </row>
    <row r="21">
      <c r="A21" s="159" t="n"/>
      <c r="B21" s="160" t="inlineStr">
        <is>
          <t>DD-AIV-225-002_SettAI_HalloweenTrap_DD-VEO-059-001_EN_30s</t>
        </is>
      </c>
      <c r="C21" s="159" t="n">
        <v>0.3</v>
      </c>
      <c r="D21" s="159">
        <f>C21*9</f>
        <v/>
      </c>
      <c r="E21" s="159" t="n"/>
      <c r="F21" s="159" t="n"/>
      <c r="G21" s="163">
        <f>D21*12</f>
        <v/>
      </c>
      <c r="H21" s="159" t="n"/>
      <c r="I21" s="159" t="n"/>
      <c r="J21" s="159" t="n"/>
      <c r="K21" s="159" t="n"/>
      <c r="L21" s="159">
        <f>SUM(F21:K21)</f>
        <v/>
      </c>
      <c r="M21" s="159">
        <f>D21*35</f>
        <v/>
      </c>
    </row>
    <row r="22">
      <c r="A22" s="159" t="n"/>
      <c r="B22" s="160" t="inlineStr">
        <is>
          <t>DD-AIV-227-002_SettAI_HalloweenBlastTreasure_DD-VEO-059-001_EN_24s</t>
        </is>
      </c>
      <c r="C22" s="159" t="n">
        <v>0.3</v>
      </c>
      <c r="D22" s="159">
        <f>C22*9</f>
        <v/>
      </c>
      <c r="E22" s="159" t="n"/>
      <c r="F22" s="159" t="n"/>
      <c r="G22" s="159" t="n"/>
      <c r="H22" s="159" t="n"/>
      <c r="I22" s="159" t="n"/>
      <c r="J22" s="159" t="n"/>
      <c r="K22" s="159" t="n"/>
      <c r="L22" s="159">
        <f>SUM(F22:K22)</f>
        <v/>
      </c>
      <c r="M22" s="159">
        <f>D22*35</f>
        <v/>
      </c>
    </row>
    <row r="23">
      <c r="A23" s="159" t="n"/>
      <c r="B23" s="160" t="inlineStr">
        <is>
          <t>DD-AIV-228-002_SettAI_HalloweenBlastTreasure_DD-VEO-059-001_EN_30s</t>
        </is>
      </c>
      <c r="C23" s="159" t="n">
        <v>0.3</v>
      </c>
      <c r="D23" s="159">
        <f>C23*9</f>
        <v/>
      </c>
      <c r="E23" s="159" t="n"/>
      <c r="F23" s="159" t="n"/>
      <c r="G23" s="159" t="n"/>
      <c r="H23" s="159" t="n"/>
      <c r="I23" s="159" t="n"/>
      <c r="J23" s="159" t="n"/>
      <c r="K23" s="159" t="n"/>
      <c r="L23" s="159">
        <f>SUM(F23:K23)</f>
        <v/>
      </c>
      <c r="M23" s="159">
        <f>D23*35</f>
        <v/>
      </c>
    </row>
    <row r="24">
      <c r="A24" s="159" t="n"/>
      <c r="B24" s="160" t="inlineStr">
        <is>
          <t>DD-AIV-229-002_SettAI_HalloweenMonopoly_DD-VEO-059-001_EN_30s</t>
        </is>
      </c>
      <c r="C24" s="159" t="n">
        <v>0.3</v>
      </c>
      <c r="D24" s="159">
        <f>C24*9</f>
        <v/>
      </c>
      <c r="E24" s="159" t="n"/>
      <c r="F24" s="159" t="n"/>
      <c r="G24" s="159" t="n"/>
      <c r="H24" s="159" t="n"/>
      <c r="I24" s="159" t="n"/>
      <c r="J24" s="159" t="n"/>
      <c r="K24" s="159" t="n"/>
      <c r="L24" s="159">
        <f>SUM(F24:K24)</f>
        <v/>
      </c>
      <c r="M24" s="159">
        <f>D24*35</f>
        <v/>
      </c>
    </row>
    <row r="25">
      <c r="A25" s="159" t="n"/>
      <c r="B25" s="160" t="inlineStr">
        <is>
          <t>DD-AIV-231-002_SettAI_SpookyJackpot_DD-VEO-059-001_EN_30s</t>
        </is>
      </c>
      <c r="C25" s="159" t="n">
        <v>0.3</v>
      </c>
      <c r="D25" s="159">
        <f>C25*9</f>
        <v/>
      </c>
      <c r="E25" s="159" t="n"/>
      <c r="F25" s="159" t="n"/>
      <c r="G25" s="159" t="n"/>
      <c r="H25" s="162">
        <f>D25*15</f>
        <v/>
      </c>
      <c r="I25" s="159" t="n"/>
      <c r="J25" s="159" t="n"/>
      <c r="K25" s="159" t="n"/>
      <c r="L25" s="159">
        <f>SUM(F25:K25)</f>
        <v/>
      </c>
      <c r="M25" s="159">
        <f>D25*35</f>
        <v/>
      </c>
    </row>
    <row r="26">
      <c r="A26" s="159" t="n"/>
      <c r="B26" s="160" t="inlineStr">
        <is>
          <t>DD-AIV-233-002_SettAI_HalloweenKindomBuild_DD-VEO-059-001_EN_60s</t>
        </is>
      </c>
      <c r="C26" s="159" t="n">
        <v>0.3</v>
      </c>
      <c r="D26" s="159">
        <f>C26*9</f>
        <v/>
      </c>
      <c r="E26" s="159" t="n"/>
      <c r="F26" s="159" t="n"/>
      <c r="G26" s="159" t="n"/>
      <c r="H26" s="159" t="n"/>
      <c r="I26" s="159" t="n"/>
      <c r="J26" s="159" t="n"/>
      <c r="K26" s="159" t="n"/>
      <c r="L26" s="159">
        <f>SUM(F26:K26)</f>
        <v/>
      </c>
      <c r="M26" s="159">
        <f>D26*35</f>
        <v/>
      </c>
    </row>
    <row r="27">
      <c r="A27" s="159" t="n"/>
      <c r="B27" s="160" t="inlineStr">
        <is>
          <t>DD-AIV-235-002_SettAI_WitchsPotion_DD-VEO-059-001_EN_30s</t>
        </is>
      </c>
      <c r="C27" s="159" t="n">
        <v>0.3</v>
      </c>
      <c r="D27" s="159">
        <f>C27*9</f>
        <v/>
      </c>
      <c r="E27" s="159" t="n"/>
      <c r="F27" s="159" t="n"/>
      <c r="G27" s="159" t="n"/>
      <c r="H27" s="159" t="n"/>
      <c r="I27" s="159" t="n"/>
      <c r="J27" s="159" t="n"/>
      <c r="K27" s="159" t="n"/>
      <c r="L27" s="159">
        <f>SUM(F27:K27)</f>
        <v/>
      </c>
      <c r="M27" s="159">
        <f>D27*35</f>
        <v/>
      </c>
    </row>
    <row r="28">
      <c r="A28" s="159" t="n"/>
      <c r="B28" s="160" t="inlineStr">
        <is>
          <t>DD-AIV-239-002_SettAI_HalloweenDiamondBlast_DD-VEO-059-001_EN_30s</t>
        </is>
      </c>
      <c r="C28" s="159" t="n">
        <v>0.3</v>
      </c>
      <c r="D28" s="159">
        <f>C28*9</f>
        <v/>
      </c>
      <c r="E28" s="159" t="n"/>
      <c r="F28" s="159" t="n"/>
      <c r="G28" s="159" t="n"/>
      <c r="H28" s="159" t="n"/>
      <c r="I28" s="159" t="n"/>
      <c r="J28" s="159" t="n"/>
      <c r="K28" s="159" t="n"/>
      <c r="L28" s="159">
        <f>SUM(F28:K28)</f>
        <v/>
      </c>
      <c r="M28" s="159">
        <f>D28*35</f>
        <v/>
      </c>
    </row>
    <row r="30">
      <c r="A30" s="158" t="inlineStr">
        <is>
          <t>total</t>
        </is>
      </c>
      <c r="B30" s="165" t="n"/>
      <c r="C30" s="158">
        <f>SUM(C6:C28)</f>
        <v/>
      </c>
      <c r="D30" s="158">
        <f>SUM(D6:D28)</f>
        <v/>
      </c>
      <c r="E30" s="158" t="n"/>
      <c r="F30" s="158">
        <f>SUM(F6:F28)</f>
        <v/>
      </c>
      <c r="G30" s="158">
        <f>SUM(G6:G28)</f>
        <v/>
      </c>
      <c r="H30" s="158">
        <f>SUM(H6:H28)</f>
        <v/>
      </c>
      <c r="I30" s="158">
        <f>SUM(I6:I28)</f>
        <v/>
      </c>
      <c r="J30" s="158">
        <f>SUM(J6:J28)</f>
        <v/>
      </c>
      <c r="K30" s="158">
        <f>SUM(K6:K28)</f>
        <v/>
      </c>
      <c r="L30" s="158">
        <f>SUM(F30:K30)</f>
        <v/>
      </c>
      <c r="M30" s="158">
        <f>SUM(M6:M28)</f>
        <v/>
      </c>
      <c r="O30" s="155" t="inlineStr">
        <is>
          <t>UAH</t>
        </is>
      </c>
      <c r="P30" s="155" t="inlineStr">
        <is>
          <t>USD</t>
        </is>
      </c>
    </row>
    <row r="31">
      <c r="F31">
        <f>F30*41.2</f>
        <v/>
      </c>
      <c r="G31">
        <f>G30*41.2</f>
        <v/>
      </c>
      <c r="H31">
        <f>H30*41.2</f>
        <v/>
      </c>
      <c r="I31">
        <f>I30*41.2</f>
        <v/>
      </c>
      <c r="J31">
        <f>J30*41.2</f>
        <v/>
      </c>
      <c r="K31">
        <f>K30*41.2</f>
        <v/>
      </c>
      <c r="L31">
        <f>L30*41.2</f>
        <v/>
      </c>
      <c r="M31">
        <f>M30*41.2</f>
        <v/>
      </c>
      <c r="N31" s="155" t="inlineStr">
        <is>
          <t>CLIENT IN</t>
        </is>
      </c>
      <c r="O31">
        <f>P31*41.2</f>
        <v/>
      </c>
      <c r="P31">
        <f>M30</f>
        <v/>
      </c>
    </row>
    <row r="32">
      <c r="N32" s="155" t="inlineStr">
        <is>
          <t>STUDIO (TAX)</t>
        </is>
      </c>
      <c r="O32">
        <f>P32*41.2</f>
        <v/>
      </c>
      <c r="P32">
        <f>P31-P31*0.05</f>
        <v/>
      </c>
    </row>
    <row r="33">
      <c r="N33" s="155" t="inlineStr">
        <is>
          <t>EMPL</t>
        </is>
      </c>
      <c r="O33">
        <f>P33*41.2</f>
        <v/>
      </c>
      <c r="P33">
        <f>L30</f>
        <v/>
      </c>
    </row>
    <row r="34">
      <c r="N34" s="155" t="inlineStr">
        <is>
          <t>STUDIO</t>
        </is>
      </c>
      <c r="O34">
        <f>P34*41.2</f>
        <v/>
      </c>
      <c r="P34">
        <f>P32-P33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"/>
  <sheetViews>
    <sheetView tabSelected="1" zoomScaleNormal="100" workbookViewId="0">
      <pane ySplit="2" topLeftCell="A11" activePane="bottomLeft" state="frozen"/>
      <selection pane="bottomLeft" activeCell="N47" sqref="N47"/>
    </sheetView>
  </sheetViews>
  <sheetFormatPr baseColWidth="10" defaultRowHeight="16"/>
  <cols>
    <col width="9.33203125" customWidth="1" style="1" min="1" max="1"/>
    <col width="62.6640625" customWidth="1" style="2" min="2" max="2"/>
    <col width="10.83203125" customWidth="1" style="1" min="3" max="4"/>
    <col width="9.83203125" customWidth="1" style="1" min="5" max="5"/>
    <col width="10.33203125" customWidth="1" style="1" min="6" max="6"/>
    <col width="10.83203125" customWidth="1" style="1" min="7" max="9"/>
    <col width="11.1640625" customWidth="1" style="1" min="10" max="10"/>
    <col width="10.6640625" customWidth="1" style="1" min="11" max="11"/>
    <col width="14.33203125" customWidth="1" style="1" min="12" max="12"/>
    <col width="12.33203125" customWidth="1" style="1" min="13" max="13"/>
    <col width="14" bestFit="1" customWidth="1" style="1" min="14" max="14"/>
    <col width="12.5" bestFit="1" customWidth="1" style="1" min="15" max="15"/>
    <col width="13" customWidth="1" style="1" min="16" max="16"/>
    <col width="10.83203125" customWidth="1" style="1" min="17" max="16384"/>
  </cols>
  <sheetData>
    <row r="1">
      <c r="A1" s="11" t="n"/>
      <c r="B1" s="10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>
      <c r="B2" s="133" t="inlineStr">
        <is>
          <t>2025 FEBRUARY</t>
        </is>
      </c>
      <c r="F2" s="41" t="inlineStr">
        <is>
          <t>Настя</t>
        </is>
      </c>
      <c r="G2" s="123" t="inlineStr">
        <is>
          <t>Маша</t>
        </is>
      </c>
      <c r="H2" s="38" t="inlineStr">
        <is>
          <t>Сергій</t>
        </is>
      </c>
      <c r="I2" s="113" t="inlineStr">
        <is>
          <t>Андрій</t>
        </is>
      </c>
    </row>
    <row r="3">
      <c r="F3" s="38" t="n"/>
      <c r="G3" s="38" t="n"/>
      <c r="H3" s="38" t="n"/>
      <c r="I3" s="38" t="n"/>
    </row>
    <row r="4" ht="21" customHeight="1">
      <c r="A4" s="120" t="n"/>
    </row>
    <row r="5" ht="25" customHeight="1">
      <c r="A5" s="129" t="inlineStr">
        <is>
          <t>DX</t>
        </is>
      </c>
      <c r="B5" s="129" t="inlineStr">
        <is>
          <t>MGX</t>
        </is>
      </c>
      <c r="C5" s="131" t="inlineStr">
        <is>
          <t>SHIFTS</t>
        </is>
      </c>
      <c r="D5" s="25" t="inlineStr">
        <is>
          <t>HOURS</t>
        </is>
      </c>
      <c r="E5" s="25" t="inlineStr">
        <is>
          <t>D.LINE</t>
        </is>
      </c>
      <c r="F5" s="102" t="inlineStr">
        <is>
          <t>EMPL 1</t>
        </is>
      </c>
      <c r="G5" s="114" t="inlineStr">
        <is>
          <t>EMPL 2</t>
        </is>
      </c>
      <c r="H5" s="114" t="inlineStr">
        <is>
          <t>EMPL 3</t>
        </is>
      </c>
      <c r="I5" s="102" t="inlineStr">
        <is>
          <t>EMPL 4</t>
        </is>
      </c>
      <c r="J5" s="31" t="inlineStr">
        <is>
          <t>Total EMPL</t>
        </is>
      </c>
      <c r="K5" s="39" t="inlineStr">
        <is>
          <t>STUDIO</t>
        </is>
      </c>
    </row>
    <row r="6">
      <c r="A6" s="147" t="n"/>
      <c r="B6" s="109" t="inlineStr">
        <is>
          <t>DX-B-011-010</t>
        </is>
      </c>
      <c r="C6" s="132" t="n">
        <v>0.5</v>
      </c>
      <c r="D6" s="1">
        <f>C6*9</f>
        <v/>
      </c>
      <c r="F6" s="33">
        <f>D6*15</f>
        <v/>
      </c>
      <c r="K6" s="33">
        <f>D6*35</f>
        <v/>
      </c>
      <c r="P6" s="33" t="n"/>
    </row>
    <row r="7">
      <c r="A7" s="147" t="n"/>
      <c r="B7" s="109" t="inlineStr">
        <is>
          <t>DX-B-015-010</t>
        </is>
      </c>
      <c r="C7" s="132" t="n">
        <v>0.5</v>
      </c>
      <c r="D7" s="1">
        <f>C7*9</f>
        <v/>
      </c>
      <c r="F7" s="33">
        <f>D7*15</f>
        <v/>
      </c>
      <c r="K7" s="33">
        <f>D7*35</f>
        <v/>
      </c>
      <c r="P7" s="33" t="n"/>
    </row>
    <row r="8">
      <c r="A8" s="148" t="n"/>
      <c r="B8" s="109" t="inlineStr">
        <is>
          <t>DX-B-020-002</t>
        </is>
      </c>
      <c r="C8" s="132" t="n">
        <v>0.5</v>
      </c>
      <c r="D8" s="1">
        <f>C8*9</f>
        <v/>
      </c>
      <c r="F8" s="33">
        <f>D8*15</f>
        <v/>
      </c>
      <c r="K8" s="33">
        <f>D8*35</f>
        <v/>
      </c>
      <c r="N8" s="109" t="n"/>
      <c r="P8" s="33" t="n"/>
    </row>
    <row r="9">
      <c r="A9" s="147" t="n"/>
      <c r="B9" s="109" t="inlineStr">
        <is>
          <t>DX-H-085-030_DE2024_Valentines+ DX-V-098-001_Hearts_DE_60s Length 30s | Hook Combo</t>
        </is>
      </c>
      <c r="C9" s="132" t="n">
        <v>0.3</v>
      </c>
      <c r="D9" s="1">
        <f>C9*9</f>
        <v/>
      </c>
      <c r="H9" s="33">
        <f>D9*15</f>
        <v/>
      </c>
      <c r="K9" s="33">
        <f>D9*35</f>
        <v/>
      </c>
      <c r="N9" s="109" t="n"/>
      <c r="P9" s="33" t="n"/>
    </row>
    <row r="10">
      <c r="A10" s="147" t="n"/>
      <c r="B10" s="109" t="inlineStr">
        <is>
          <t>DX-V-002-001_Worlds_CupidBlow_DX-H-099-001_DE_30s  |  Hook Combo</t>
        </is>
      </c>
      <c r="C10" s="132" t="n">
        <v>0.3</v>
      </c>
      <c r="D10" s="1">
        <f>C10*9</f>
        <v/>
      </c>
      <c r="H10" s="33">
        <f>D10*15</f>
        <v/>
      </c>
      <c r="K10" s="33">
        <f>D10*35</f>
        <v/>
      </c>
      <c r="N10" s="109" t="n"/>
      <c r="P10" s="33" t="n"/>
    </row>
    <row r="11">
      <c r="A11" s="147" t="n"/>
      <c r="B11" s="109" t="inlineStr">
        <is>
          <t>DX-V-098-001_Hearts_CupidBlow_DX-H-099-001_EN_60s  |  Hook Combo</t>
        </is>
      </c>
      <c r="C11" s="132" t="n">
        <v>0.3</v>
      </c>
      <c r="D11" s="1">
        <f>C11*9</f>
        <v/>
      </c>
      <c r="H11" s="33">
        <f>D11*15</f>
        <v/>
      </c>
      <c r="K11" s="33">
        <f>D11*35</f>
        <v/>
      </c>
      <c r="N11" s="109" t="n"/>
      <c r="P11" s="33" t="n"/>
    </row>
    <row r="12">
      <c r="A12" s="148" t="n"/>
      <c r="B12" s="109" t="inlineStr">
        <is>
          <t>DX-V-098-001_Hearts_EN_60s Length ITR  |  Comp</t>
        </is>
      </c>
      <c r="C12" s="132" t="n">
        <v>0.3</v>
      </c>
      <c r="D12" s="1">
        <f>C12*9</f>
        <v/>
      </c>
      <c r="I12" s="33">
        <f>D12*12</f>
        <v/>
      </c>
      <c r="K12" s="33">
        <f>D12*35</f>
        <v/>
      </c>
      <c r="N12" s="109" t="n"/>
      <c r="P12" s="33" t="n"/>
    </row>
    <row r="13">
      <c r="A13" s="148" t="n"/>
      <c r="B13" s="109" t="inlineStr">
        <is>
          <t>DX-V-098-001_Hearts_VdayRoses_DX-H-097-001_EN_30s  |  Hook Combo</t>
        </is>
      </c>
      <c r="C13" s="132" t="n">
        <v>0.3</v>
      </c>
      <c r="D13" s="1">
        <f>C13*9</f>
        <v/>
      </c>
      <c r="H13" s="33">
        <f>D13*15</f>
        <v/>
      </c>
      <c r="K13" s="33">
        <f>D13*35</f>
        <v/>
      </c>
      <c r="P13" s="33" t="n"/>
    </row>
    <row r="14">
      <c r="A14" s="148" t="n"/>
      <c r="B14" s="109" t="inlineStr">
        <is>
          <t>DX-V-098-001_Hearts_VDayRoses_DX-H-097-001_EN_60s  |  Hook Combo</t>
        </is>
      </c>
      <c r="C14" s="132" t="n">
        <v>0.3</v>
      </c>
      <c r="D14" s="1">
        <f>C14*9</f>
        <v/>
      </c>
      <c r="H14" s="33">
        <f>D14*15</f>
        <v/>
      </c>
      <c r="K14" s="33">
        <f>D14*35</f>
        <v/>
      </c>
      <c r="P14" s="33" t="n"/>
    </row>
    <row r="15">
      <c r="A15" s="148" t="n"/>
      <c r="B15" s="109" t="inlineStr">
        <is>
          <t>DX-V-098-002_Hearts_RT Length ITR  |  Comp</t>
        </is>
      </c>
      <c r="C15" s="132" t="n">
        <v>0.3</v>
      </c>
      <c r="D15" s="1">
        <f>C15*9</f>
        <v/>
      </c>
      <c r="I15" s="33">
        <f>D15*12</f>
        <v/>
      </c>
      <c r="K15" s="33">
        <f>D15*35</f>
        <v/>
      </c>
      <c r="P15" s="33" t="n"/>
    </row>
    <row r="16">
      <c r="A16" s="148" t="n"/>
      <c r="B16" s="109" t="inlineStr">
        <is>
          <t>DX-V-098-004_Hearts_DE2024_Valentines_DX-H-085-030_DE_60s  |  Hook Combo</t>
        </is>
      </c>
      <c r="C16" s="132" t="n">
        <v>0.3</v>
      </c>
      <c r="D16" s="1">
        <f>C16*9</f>
        <v/>
      </c>
      <c r="I16" s="33">
        <f>D16*12</f>
        <v/>
      </c>
      <c r="K16" s="33">
        <f>D16*35</f>
        <v/>
      </c>
      <c r="P16" s="33" t="n"/>
    </row>
    <row r="17">
      <c r="A17" s="148" t="n"/>
      <c r="B17" s="109" t="inlineStr">
        <is>
          <t>DX-V-106-003_BaseTrail_VDayRoses_DX-H-097-001_EN_30s  |  Hook Combo</t>
        </is>
      </c>
      <c r="C17" s="132" t="n">
        <v>0.3</v>
      </c>
      <c r="D17" s="1">
        <f>C17*9</f>
        <v/>
      </c>
      <c r="H17" s="33">
        <f>D17*15</f>
        <v/>
      </c>
      <c r="K17" s="33">
        <f>D17*35</f>
        <v/>
      </c>
      <c r="P17" s="33" t="n"/>
    </row>
    <row r="18">
      <c r="A18" s="148" t="n"/>
      <c r="B18" s="109" t="inlineStr">
        <is>
          <t>DX-V-107-002_RollBack_CupidBlow_DX-H-099-001_EN_60s  |  Hook Combo</t>
        </is>
      </c>
      <c r="C18" s="132" t="n">
        <v>0.3</v>
      </c>
      <c r="D18" s="1">
        <f>C18*9</f>
        <v/>
      </c>
      <c r="H18" s="33">
        <f>D18*15</f>
        <v/>
      </c>
      <c r="K18" s="33">
        <f>D18*35</f>
        <v/>
      </c>
      <c r="P18" s="33" t="n"/>
    </row>
    <row r="19">
      <c r="A19" s="147" t="n"/>
      <c r="B19" s="109" t="inlineStr">
        <is>
          <t>DX-B-020-002 dop resizes</t>
        </is>
      </c>
      <c r="C19" s="132" t="n">
        <v>0.3</v>
      </c>
      <c r="D19" s="1">
        <f>C19*9</f>
        <v/>
      </c>
      <c r="F19" s="33">
        <f>D19*15</f>
        <v/>
      </c>
      <c r="K19" s="33">
        <f>D19*35</f>
        <v/>
      </c>
      <c r="P19" s="33" t="n"/>
    </row>
    <row r="20">
      <c r="B20" s="109" t="inlineStr">
        <is>
          <t>DX-V-084-005</t>
        </is>
      </c>
      <c r="C20" s="132" t="n">
        <v>1</v>
      </c>
      <c r="D20" s="1">
        <f>C20*9</f>
        <v/>
      </c>
      <c r="F20" s="33" t="n"/>
      <c r="K20" s="33">
        <f>D20*35</f>
        <v/>
      </c>
      <c r="P20" s="33" t="n"/>
    </row>
    <row r="21">
      <c r="B21" s="109" t="inlineStr">
        <is>
          <t>DX-V-022-005</t>
        </is>
      </c>
      <c r="C21" s="132" t="n">
        <v>0.5</v>
      </c>
      <c r="D21" s="1">
        <f>C21*9</f>
        <v/>
      </c>
      <c r="F21" s="33" t="n"/>
      <c r="K21" s="33">
        <f>D21*35</f>
        <v/>
      </c>
      <c r="P21" s="33" t="n"/>
    </row>
    <row r="22">
      <c r="B22" s="109" t="inlineStr">
        <is>
          <t>DX-V-022-005</t>
        </is>
      </c>
      <c r="C22" s="132" t="n">
        <v>0.5</v>
      </c>
      <c r="D22" s="1">
        <f>C22*9</f>
        <v/>
      </c>
      <c r="F22" s="33" t="n"/>
      <c r="K22" s="33">
        <f>D22*35</f>
        <v/>
      </c>
      <c r="P22" s="33" t="n"/>
    </row>
    <row r="23">
      <c r="B23" s="109" t="n"/>
      <c r="C23" s="132" t="n"/>
      <c r="F23" s="33" t="n"/>
      <c r="K23" s="33" t="n"/>
      <c r="P23" s="33" t="n"/>
    </row>
    <row r="24">
      <c r="B24" s="109" t="n"/>
      <c r="C24" s="132" t="n"/>
      <c r="F24" s="33" t="n"/>
      <c r="K24" s="33" t="n"/>
      <c r="P24" s="33" t="n"/>
    </row>
    <row r="25">
      <c r="B25" s="109" t="n"/>
      <c r="C25" s="132" t="n"/>
      <c r="K25" s="33" t="n"/>
      <c r="P25" s="33" t="n"/>
    </row>
    <row r="26">
      <c r="A26" s="130" t="n"/>
      <c r="B26" s="109" t="n"/>
      <c r="C26" s="80" t="n"/>
      <c r="G26" s="33" t="n"/>
      <c r="H26" s="33" t="n"/>
      <c r="K26" s="33" t="n"/>
      <c r="R26" s="4" t="n"/>
      <c r="S26" s="4" t="n"/>
    </row>
    <row r="27" ht="25" customHeight="1">
      <c r="A27" s="129" t="inlineStr">
        <is>
          <t>DD</t>
        </is>
      </c>
      <c r="B27" s="129" t="inlineStr">
        <is>
          <t>MGX</t>
        </is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</row>
    <row r="28">
      <c r="A28" s="145" t="n"/>
      <c r="B28" s="109" t="inlineStr">
        <is>
          <t>DD-V-250-031</t>
        </is>
      </c>
      <c r="C28" s="132" t="n">
        <v>3</v>
      </c>
      <c r="D28" s="1">
        <f>C28*9</f>
        <v/>
      </c>
      <c r="F28" s="33" t="n"/>
      <c r="G28" s="33" t="n"/>
      <c r="H28" s="33">
        <f>D28*15</f>
        <v/>
      </c>
      <c r="I28" s="33" t="n"/>
      <c r="K28" s="33">
        <f>D28*35</f>
        <v/>
      </c>
    </row>
    <row r="29">
      <c r="A29" s="145" t="n"/>
      <c r="B29" s="109" t="inlineStr">
        <is>
          <t>DD-V-079-024</t>
        </is>
      </c>
      <c r="C29" s="132" t="n">
        <v>1</v>
      </c>
      <c r="D29" s="1">
        <f>C29*9</f>
        <v/>
      </c>
      <c r="F29" s="33" t="n"/>
      <c r="G29" s="33" t="n"/>
      <c r="H29" s="33" t="n"/>
      <c r="I29" s="33">
        <f>D29*12</f>
        <v/>
      </c>
      <c r="K29" s="33">
        <f>D29*35</f>
        <v/>
      </c>
    </row>
    <row r="30">
      <c r="A30" s="145" t="n"/>
      <c r="B30" s="109" t="inlineStr">
        <is>
          <t>DD-V-079-025</t>
        </is>
      </c>
      <c r="C30" s="132" t="n">
        <v>1</v>
      </c>
      <c r="D30" s="1">
        <f>C30*9</f>
        <v/>
      </c>
      <c r="F30" s="33" t="n"/>
      <c r="G30" s="33" t="n"/>
      <c r="H30" s="33" t="n"/>
      <c r="I30" s="33">
        <f>D30*12</f>
        <v/>
      </c>
      <c r="K30" s="33">
        <f>D30*35</f>
        <v/>
      </c>
    </row>
    <row r="31">
      <c r="A31" s="145" t="n"/>
      <c r="B31" s="109" t="inlineStr">
        <is>
          <t>DD-V-079-026</t>
        </is>
      </c>
      <c r="C31" s="132" t="n">
        <v>1</v>
      </c>
      <c r="D31" s="1">
        <f>C31*9</f>
        <v/>
      </c>
      <c r="F31" s="33" t="n"/>
      <c r="G31" s="33" t="n"/>
      <c r="H31" s="33" t="n"/>
      <c r="I31" s="33">
        <f>D31*12</f>
        <v/>
      </c>
      <c r="K31" s="33">
        <f>D31*35</f>
        <v/>
      </c>
    </row>
    <row r="32">
      <c r="A32" s="145" t="n"/>
      <c r="B32" s="109" t="inlineStr">
        <is>
          <t>DD-V-079-027</t>
        </is>
      </c>
      <c r="C32" s="132" t="n">
        <v>1</v>
      </c>
      <c r="D32" s="1">
        <f>C32*9</f>
        <v/>
      </c>
      <c r="F32" s="33" t="n"/>
      <c r="G32" s="33" t="n"/>
      <c r="H32" s="33" t="n"/>
      <c r="I32" s="33">
        <f>D32*12</f>
        <v/>
      </c>
      <c r="K32" s="33">
        <f>D32*35</f>
        <v/>
      </c>
    </row>
    <row r="33">
      <c r="A33" s="145" t="n"/>
      <c r="B33" s="109" t="inlineStr">
        <is>
          <t>DD-V-049-049</t>
        </is>
      </c>
      <c r="C33" s="132" t="n">
        <v>0.3</v>
      </c>
      <c r="D33" s="1">
        <f>C33*9</f>
        <v/>
      </c>
      <c r="F33" s="33">
        <f>D33*15</f>
        <v/>
      </c>
      <c r="G33" s="33" t="n"/>
      <c r="H33" s="33" t="n"/>
      <c r="I33" s="33" t="n"/>
      <c r="K33" s="33">
        <f>D33*35</f>
        <v/>
      </c>
    </row>
    <row r="34">
      <c r="A34" s="145" t="n"/>
      <c r="B34" s="109" t="inlineStr">
        <is>
          <t>DD-V-229-008</t>
        </is>
      </c>
      <c r="C34" s="132" t="n">
        <v>0.3</v>
      </c>
      <c r="D34" s="1">
        <f>C34*9</f>
        <v/>
      </c>
      <c r="F34" s="33">
        <f>D34*15</f>
        <v/>
      </c>
      <c r="G34" s="33" t="n"/>
      <c r="H34" s="33" t="n"/>
      <c r="I34" s="33" t="n"/>
      <c r="K34" s="33">
        <f>D34*35</f>
        <v/>
      </c>
    </row>
    <row r="35">
      <c r="A35" s="145" t="n"/>
      <c r="B35" s="109" t="inlineStr">
        <is>
          <t>DD-V-223-017</t>
        </is>
      </c>
      <c r="C35" s="132" t="n">
        <v>0.3</v>
      </c>
      <c r="D35" s="1">
        <f>C35*9</f>
        <v/>
      </c>
      <c r="F35" s="33">
        <f>D35*15</f>
        <v/>
      </c>
      <c r="G35" s="33" t="n"/>
      <c r="H35" s="33" t="n"/>
      <c r="I35" s="33" t="n"/>
      <c r="K35" s="33">
        <f>D35*35</f>
        <v/>
      </c>
    </row>
    <row r="36">
      <c r="A36" s="145" t="n"/>
      <c r="B36" s="109" t="inlineStr">
        <is>
          <t>DD-V-223-018</t>
        </is>
      </c>
      <c r="C36" s="132" t="n">
        <v>0.3</v>
      </c>
      <c r="D36" s="1">
        <f>C36*9</f>
        <v/>
      </c>
      <c r="F36" s="33">
        <f>D36*15</f>
        <v/>
      </c>
      <c r="G36" s="33" t="n"/>
      <c r="H36" s="33" t="n"/>
      <c r="I36" s="33" t="n"/>
      <c r="K36" s="33">
        <f>D36*35</f>
        <v/>
      </c>
    </row>
    <row r="37">
      <c r="A37" s="145" t="n"/>
      <c r="B37" s="109" t="inlineStr">
        <is>
          <t>DD-V-034-034</t>
        </is>
      </c>
      <c r="C37" s="132" t="n">
        <v>0.3</v>
      </c>
      <c r="D37" s="1">
        <f>C37*9</f>
        <v/>
      </c>
      <c r="F37" s="33" t="n"/>
      <c r="G37" s="33">
        <f>D37*12</f>
        <v/>
      </c>
      <c r="I37" s="33" t="n"/>
      <c r="K37" s="33">
        <f>D37*35</f>
        <v/>
      </c>
    </row>
    <row r="38">
      <c r="A38" s="145" t="n"/>
      <c r="B38" s="109" t="inlineStr">
        <is>
          <t>DD-V-034-035</t>
        </is>
      </c>
      <c r="C38" s="132" t="n">
        <v>0.3</v>
      </c>
      <c r="D38" s="1">
        <f>C38*9</f>
        <v/>
      </c>
      <c r="F38" s="33" t="n"/>
      <c r="G38" s="33">
        <f>D38*12</f>
        <v/>
      </c>
      <c r="I38" s="33" t="n"/>
      <c r="K38" s="33">
        <f>D38*35</f>
        <v/>
      </c>
    </row>
    <row r="39">
      <c r="A39" s="145" t="n"/>
      <c r="B39" s="109" t="inlineStr">
        <is>
          <t>DD-V-250-024</t>
        </is>
      </c>
      <c r="C39" s="132" t="n">
        <v>0.5</v>
      </c>
      <c r="D39" s="1">
        <f>C39*9</f>
        <v/>
      </c>
      <c r="F39" s="33" t="n"/>
      <c r="G39" s="33" t="n"/>
      <c r="I39" s="33" t="n"/>
      <c r="K39" s="33">
        <f>D39*35</f>
        <v/>
      </c>
    </row>
    <row r="40">
      <c r="B40" s="109" t="inlineStr">
        <is>
          <t>DD-V-143-003</t>
        </is>
      </c>
      <c r="C40" s="132" t="n">
        <v>0.5</v>
      </c>
      <c r="D40" s="1">
        <f>C40*9</f>
        <v/>
      </c>
      <c r="F40" s="33" t="n"/>
      <c r="G40" s="33" t="n"/>
      <c r="I40" s="33" t="n"/>
      <c r="K40" s="33">
        <f>D40*35</f>
        <v/>
      </c>
    </row>
    <row r="41">
      <c r="B41" s="109" t="n"/>
      <c r="C41" s="132" t="n"/>
      <c r="F41" s="33" t="n"/>
      <c r="G41" s="33" t="n"/>
      <c r="I41" s="33" t="n"/>
      <c r="K41" s="33" t="n"/>
    </row>
    <row r="42">
      <c r="B42" s="109" t="n"/>
      <c r="C42" s="132" t="n"/>
      <c r="F42" s="33" t="n"/>
      <c r="G42" s="33" t="n"/>
      <c r="I42" s="33" t="n"/>
      <c r="K42" s="33" t="n"/>
    </row>
    <row r="43">
      <c r="Q43" s="4" t="n"/>
      <c r="R43" s="4" t="n"/>
      <c r="S43" s="4" t="n"/>
    </row>
    <row r="44">
      <c r="A44" s="122" t="inlineStr">
        <is>
          <t>total</t>
        </is>
      </c>
      <c r="B44" s="61" t="n"/>
      <c r="C44" s="11">
        <f>SUM(C6:C43)</f>
        <v/>
      </c>
      <c r="D44" s="11">
        <f>SUM(D6:D43)</f>
        <v/>
      </c>
      <c r="E44" s="62" t="n"/>
      <c r="F44" s="63">
        <f>SUM(F6:F33)</f>
        <v/>
      </c>
      <c r="G44" s="63">
        <f>SUM(G6:G43)</f>
        <v/>
      </c>
      <c r="H44" s="63">
        <f>SUM(H6:H33)</f>
        <v/>
      </c>
      <c r="I44" s="63">
        <f>SUM(I6:I33)</f>
        <v/>
      </c>
      <c r="J44" s="63">
        <f>SUM(F44:I44)</f>
        <v/>
      </c>
      <c r="K44" s="64">
        <f>SUM(K6:K43)</f>
        <v/>
      </c>
      <c r="L44" s="39" t="n"/>
      <c r="M44" s="29" t="inlineStr">
        <is>
          <t>UAH</t>
        </is>
      </c>
      <c r="N44" s="16" t="inlineStr">
        <is>
          <t>USD</t>
        </is>
      </c>
    </row>
    <row r="45">
      <c r="F45" s="7">
        <f>F44*40</f>
        <v/>
      </c>
      <c r="G45" s="33">
        <f>G44*40</f>
        <v/>
      </c>
      <c r="H45" s="33">
        <f>H44*40</f>
        <v/>
      </c>
      <c r="I45" s="33">
        <f>I44*40</f>
        <v/>
      </c>
      <c r="J45" s="33">
        <f>J44*40</f>
        <v/>
      </c>
      <c r="K45" s="33">
        <f>K44*40</f>
        <v/>
      </c>
      <c r="L45" s="5" t="inlineStr">
        <is>
          <t>CLIENT IN</t>
        </is>
      </c>
      <c r="M45" s="7">
        <f>N45*40</f>
        <v/>
      </c>
      <c r="N45" s="8">
        <f>K44</f>
        <v/>
      </c>
      <c r="S45" s="4" t="n"/>
    </row>
    <row r="46">
      <c r="G46" s="33" t="n"/>
      <c r="H46" s="127" t="n"/>
      <c r="I46" s="127" t="n"/>
      <c r="L46" s="5" t="inlineStr">
        <is>
          <t>STUDIO (TAX)</t>
        </is>
      </c>
      <c r="M46" s="7">
        <f>N46*40</f>
        <v/>
      </c>
      <c r="N46" s="8">
        <f>N45-N45*0.05</f>
        <v/>
      </c>
    </row>
    <row r="47">
      <c r="B47" s="1" t="n"/>
      <c r="G47" s="33" t="n"/>
      <c r="L47" s="5" t="inlineStr">
        <is>
          <t>EMPL</t>
        </is>
      </c>
      <c r="M47" s="7">
        <f>N47*40</f>
        <v/>
      </c>
      <c r="N47" s="8">
        <f>J44</f>
        <v/>
      </c>
    </row>
    <row r="48">
      <c r="B48" s="1" t="n"/>
      <c r="L48" s="37" t="inlineStr">
        <is>
          <t>STUDIO</t>
        </is>
      </c>
      <c r="M48" s="7">
        <f>N48*40</f>
        <v/>
      </c>
      <c r="N48" s="8">
        <f>N46-N47</f>
        <v/>
      </c>
    </row>
    <row r="49">
      <c r="B49" s="1" t="n"/>
    </row>
    <row r="50">
      <c r="B50" s="1" t="n"/>
    </row>
    <row r="51">
      <c r="B51" s="1" t="n"/>
    </row>
    <row r="52">
      <c r="B52" s="1" t="n"/>
    </row>
    <row r="53">
      <c r="B53" s="1" t="n"/>
    </row>
    <row r="54">
      <c r="B54" s="1" t="n"/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6"/>
  <sheetViews>
    <sheetView zoomScaleNormal="100" workbookViewId="0">
      <pane ySplit="2" topLeftCell="A53" activePane="bottomLeft" state="frozen"/>
      <selection pane="bottomLeft" activeCell="L80" sqref="L80:N80"/>
    </sheetView>
  </sheetViews>
  <sheetFormatPr baseColWidth="10" defaultRowHeight="16"/>
  <cols>
    <col width="9.33203125" customWidth="1" style="1" min="1" max="1"/>
    <col width="21.33203125" customWidth="1" style="2" min="2" max="2"/>
    <col width="10.83203125" customWidth="1" style="1" min="3" max="4"/>
    <col width="9.83203125" customWidth="1" style="1" min="5" max="5"/>
    <col width="10.33203125" customWidth="1" style="1" min="6" max="6"/>
    <col width="10.83203125" customWidth="1" style="1" min="7" max="9"/>
    <col width="11.1640625" customWidth="1" style="1" min="10" max="10"/>
    <col width="10.6640625" customWidth="1" style="1" min="11" max="11"/>
    <col width="14.33203125" customWidth="1" style="1" min="12" max="12"/>
    <col width="12.33203125" customWidth="1" style="1" min="13" max="13"/>
    <col width="14" bestFit="1" customWidth="1" style="1" min="14" max="14"/>
    <col width="12.5" bestFit="1" customWidth="1" style="1" min="15" max="15"/>
    <col width="13" customWidth="1" style="1" min="16" max="16"/>
    <col width="10.83203125" customWidth="1" style="1" min="17" max="16384"/>
  </cols>
  <sheetData>
    <row r="1">
      <c r="A1" s="11" t="n"/>
      <c r="B1" s="10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>
      <c r="B2" s="133" t="inlineStr">
        <is>
          <t>2025 JANUARY</t>
        </is>
      </c>
      <c r="F2" s="41" t="inlineStr">
        <is>
          <t>Настя</t>
        </is>
      </c>
      <c r="G2" s="123" t="inlineStr">
        <is>
          <t>Маша</t>
        </is>
      </c>
      <c r="H2" s="38" t="inlineStr">
        <is>
          <t>Сергій</t>
        </is>
      </c>
      <c r="I2" s="113" t="inlineStr">
        <is>
          <t>Андрій</t>
        </is>
      </c>
    </row>
    <row r="3">
      <c r="F3" s="38" t="n"/>
      <c r="G3" s="38" t="n"/>
      <c r="H3" s="38" t="n"/>
      <c r="I3" s="38" t="n"/>
    </row>
    <row r="4" ht="21" customHeight="1">
      <c r="A4" s="120" t="n"/>
    </row>
    <row r="5" ht="25" customHeight="1">
      <c r="A5" s="129" t="inlineStr">
        <is>
          <t>DX</t>
        </is>
      </c>
      <c r="B5" s="129" t="inlineStr">
        <is>
          <t>MGX</t>
        </is>
      </c>
      <c r="C5" s="131" t="inlineStr">
        <is>
          <t>SHIFTS</t>
        </is>
      </c>
      <c r="D5" s="25" t="inlineStr">
        <is>
          <t>HOURS</t>
        </is>
      </c>
      <c r="E5" s="25" t="inlineStr">
        <is>
          <t>D.LINE</t>
        </is>
      </c>
      <c r="F5" s="102" t="inlineStr">
        <is>
          <t>EMPL 1</t>
        </is>
      </c>
      <c r="G5" s="114" t="inlineStr">
        <is>
          <t>EMPL 2</t>
        </is>
      </c>
      <c r="H5" s="114" t="inlineStr">
        <is>
          <t>EMPL 3</t>
        </is>
      </c>
      <c r="I5" s="102" t="inlineStr">
        <is>
          <t>EMPL 4</t>
        </is>
      </c>
      <c r="J5" s="31" t="inlineStr">
        <is>
          <t>Total EMPL</t>
        </is>
      </c>
      <c r="K5" s="39" t="inlineStr">
        <is>
          <t>STUDIO</t>
        </is>
      </c>
    </row>
    <row r="6">
      <c r="A6" s="126" t="n"/>
      <c r="B6" s="109" t="inlineStr">
        <is>
          <t>DX-V-060-054</t>
        </is>
      </c>
      <c r="C6" s="132" t="n">
        <v>0.3</v>
      </c>
      <c r="D6" s="1">
        <f>C6*9</f>
        <v/>
      </c>
      <c r="F6" s="33" t="n"/>
      <c r="G6" s="33">
        <f>D6*12</f>
        <v/>
      </c>
      <c r="H6" s="33" t="n"/>
      <c r="I6" s="33" t="n"/>
      <c r="K6" s="33">
        <f>D6*35</f>
        <v/>
      </c>
      <c r="P6" s="33" t="n"/>
    </row>
    <row r="7">
      <c r="A7" s="126" t="n"/>
      <c r="B7" s="109" t="inlineStr">
        <is>
          <t>DX-V-060-055</t>
        </is>
      </c>
      <c r="C7" s="132" t="n">
        <v>0.3</v>
      </c>
      <c r="D7" s="1">
        <f>C7*9</f>
        <v/>
      </c>
      <c r="F7" s="33" t="n"/>
      <c r="G7" s="33">
        <f>D7*12</f>
        <v/>
      </c>
      <c r="H7" s="33" t="n"/>
      <c r="I7" s="33" t="n"/>
      <c r="K7" s="33">
        <f>D7*35</f>
        <v/>
      </c>
      <c r="P7" s="33" t="n"/>
    </row>
    <row r="8">
      <c r="A8" s="126" t="n"/>
      <c r="B8" s="109" t="inlineStr">
        <is>
          <t>DX-V-026-011</t>
        </is>
      </c>
      <c r="C8" s="132" t="n">
        <v>0.3</v>
      </c>
      <c r="D8" s="1">
        <f>C8*9</f>
        <v/>
      </c>
      <c r="G8" s="33">
        <f>D8*12</f>
        <v/>
      </c>
      <c r="H8" s="33" t="n"/>
      <c r="I8" s="33" t="n"/>
      <c r="K8" s="33">
        <f>D8*35</f>
        <v/>
      </c>
      <c r="P8" s="33" t="n"/>
    </row>
    <row r="9">
      <c r="A9" s="126" t="n"/>
      <c r="B9" s="109" t="inlineStr">
        <is>
          <t>DX-V-015-027</t>
        </is>
      </c>
      <c r="C9" s="132" t="n">
        <v>0.3</v>
      </c>
      <c r="D9" s="1">
        <f>C9*9</f>
        <v/>
      </c>
      <c r="G9" s="33">
        <f>D9*12</f>
        <v/>
      </c>
      <c r="H9" s="33" t="n"/>
      <c r="I9" s="33" t="n"/>
      <c r="K9" s="33">
        <f>D9*35</f>
        <v/>
      </c>
      <c r="P9" s="33" t="n"/>
    </row>
    <row r="10">
      <c r="A10" s="126" t="n"/>
      <c r="B10" s="109" t="inlineStr">
        <is>
          <t>DX-V-084-001</t>
        </is>
      </c>
      <c r="C10" s="132" t="n">
        <v>0.3</v>
      </c>
      <c r="D10" s="1">
        <f>C10*9</f>
        <v/>
      </c>
      <c r="F10" s="33">
        <f>D10*15</f>
        <v/>
      </c>
      <c r="G10" s="33" t="n"/>
      <c r="H10" s="33" t="n"/>
      <c r="I10" s="33" t="n"/>
      <c r="K10" s="33">
        <f>D10*35</f>
        <v/>
      </c>
      <c r="P10" s="33" t="n"/>
    </row>
    <row r="11">
      <c r="A11" s="126" t="n"/>
      <c r="B11" s="109" t="inlineStr">
        <is>
          <t>DX-V-088-004</t>
        </is>
      </c>
      <c r="C11" s="132" t="n">
        <v>0.3</v>
      </c>
      <c r="D11" s="1">
        <f>C11*9</f>
        <v/>
      </c>
      <c r="F11" s="33">
        <f>D11*15</f>
        <v/>
      </c>
      <c r="G11" s="33" t="n"/>
      <c r="H11" s="33" t="n"/>
      <c r="I11" s="33" t="n"/>
      <c r="K11" s="33">
        <f>D11*35</f>
        <v/>
      </c>
      <c r="P11" s="33" t="n"/>
    </row>
    <row r="12">
      <c r="A12" s="126" t="n"/>
      <c r="B12" s="109" t="inlineStr">
        <is>
          <t>DX-V-002-025</t>
        </is>
      </c>
      <c r="C12" s="132" t="n">
        <v>0.3</v>
      </c>
      <c r="D12" s="1">
        <f>C12*9</f>
        <v/>
      </c>
      <c r="F12" s="33">
        <f>D12*15</f>
        <v/>
      </c>
      <c r="G12" s="33" t="n"/>
      <c r="H12" s="33" t="n"/>
      <c r="I12" s="33" t="n"/>
      <c r="K12" s="33">
        <f>D12*35</f>
        <v/>
      </c>
      <c r="P12" s="33" t="n"/>
    </row>
    <row r="13">
      <c r="A13" s="126" t="n"/>
      <c r="B13" s="109" t="inlineStr">
        <is>
          <t>DX-V-032-020</t>
        </is>
      </c>
      <c r="C13" s="132" t="n">
        <v>0.3</v>
      </c>
      <c r="D13" s="1">
        <f>C13*9</f>
        <v/>
      </c>
      <c r="F13" s="33">
        <f>D13*15</f>
        <v/>
      </c>
      <c r="G13" s="33" t="n"/>
      <c r="H13" s="33" t="n"/>
      <c r="I13" s="33" t="n"/>
      <c r="K13" s="33">
        <f>D13*35</f>
        <v/>
      </c>
      <c r="P13" s="33" t="n"/>
    </row>
    <row r="14">
      <c r="A14" s="126" t="n"/>
      <c r="B14" s="109" t="inlineStr">
        <is>
          <t>DX-V-060-056</t>
        </is>
      </c>
      <c r="C14" s="132" t="n">
        <v>0.3</v>
      </c>
      <c r="D14" s="1">
        <f>C14*9</f>
        <v/>
      </c>
      <c r="G14" s="33">
        <f>D14*12</f>
        <v/>
      </c>
      <c r="H14" s="33" t="n"/>
      <c r="I14" s="33" t="n"/>
      <c r="K14" s="33">
        <f>D14*35</f>
        <v/>
      </c>
      <c r="P14" s="33" t="n"/>
    </row>
    <row r="15">
      <c r="A15" s="126" t="n"/>
      <c r="B15" s="109" t="inlineStr">
        <is>
          <t>DX-V-033-019</t>
        </is>
      </c>
      <c r="C15" s="132" t="n">
        <v>0.3</v>
      </c>
      <c r="D15" s="1">
        <f>C15*9</f>
        <v/>
      </c>
      <c r="F15" s="33">
        <f>D15*15</f>
        <v/>
      </c>
      <c r="H15" s="33" t="n"/>
      <c r="I15" s="33" t="n"/>
      <c r="K15" s="33">
        <f>D15*35</f>
        <v/>
      </c>
      <c r="P15" s="33" t="n"/>
    </row>
    <row r="16">
      <c r="A16" s="126" t="n"/>
      <c r="B16" s="109" t="inlineStr">
        <is>
          <t>DX-V-031-005</t>
        </is>
      </c>
      <c r="C16" s="132" t="n">
        <v>0.3</v>
      </c>
      <c r="D16" s="1">
        <f>C16*9</f>
        <v/>
      </c>
      <c r="F16" s="33" t="n"/>
      <c r="H16" s="33">
        <f>D16*15</f>
        <v/>
      </c>
      <c r="I16" s="33" t="n"/>
      <c r="K16" s="33">
        <f>D16*35</f>
        <v/>
      </c>
      <c r="N16" s="143" t="n"/>
      <c r="P16" s="33" t="n"/>
    </row>
    <row r="17">
      <c r="A17" s="126" t="n"/>
      <c r="B17" s="109" t="inlineStr">
        <is>
          <t>DX-V-033-020</t>
        </is>
      </c>
      <c r="C17" s="132" t="n">
        <v>0.3</v>
      </c>
      <c r="D17" s="1">
        <f>C17*9</f>
        <v/>
      </c>
      <c r="F17" s="33" t="n"/>
      <c r="G17" s="33">
        <f>D17*12</f>
        <v/>
      </c>
      <c r="H17" s="33" t="n"/>
      <c r="I17" s="33" t="n"/>
      <c r="K17" s="33">
        <f>D17*35</f>
        <v/>
      </c>
      <c r="N17" s="143" t="n"/>
      <c r="P17" s="33" t="n"/>
    </row>
    <row r="18">
      <c r="A18" s="144" t="n"/>
      <c r="B18" s="109" t="inlineStr">
        <is>
          <t>DX-V-087-005</t>
        </is>
      </c>
      <c r="C18" s="132" t="n">
        <v>0.3</v>
      </c>
      <c r="D18" s="1">
        <f>C18*9</f>
        <v/>
      </c>
      <c r="F18" s="33" t="n"/>
      <c r="G18" s="33">
        <f>D18*12</f>
        <v/>
      </c>
      <c r="H18" s="33" t="n"/>
      <c r="I18" s="33" t="n"/>
      <c r="K18" s="33">
        <f>D18*35</f>
        <v/>
      </c>
      <c r="N18" s="143" t="n"/>
      <c r="P18" s="33" t="n"/>
    </row>
    <row r="19">
      <c r="A19" s="144" t="n"/>
      <c r="B19" s="109" t="inlineStr">
        <is>
          <t>DX-V-060-060</t>
        </is>
      </c>
      <c r="C19" s="132" t="n">
        <v>0.3</v>
      </c>
      <c r="D19" s="1">
        <f>C19*9</f>
        <v/>
      </c>
      <c r="F19" s="33">
        <f>D19*15</f>
        <v/>
      </c>
      <c r="H19" s="33" t="n"/>
      <c r="I19" s="33" t="n"/>
      <c r="K19" s="33">
        <f>D19*35</f>
        <v/>
      </c>
      <c r="N19" s="143" t="n"/>
      <c r="P19" s="33" t="n"/>
    </row>
    <row r="20">
      <c r="A20" s="144" t="n"/>
      <c r="B20" s="109" t="inlineStr">
        <is>
          <t>DX-V-081-005</t>
        </is>
      </c>
      <c r="C20" s="132" t="n">
        <v>0.3</v>
      </c>
      <c r="D20" s="1">
        <f>C20*9</f>
        <v/>
      </c>
      <c r="F20" s="33">
        <f>D20*15</f>
        <v/>
      </c>
      <c r="H20" s="33" t="n"/>
      <c r="I20" s="33" t="n"/>
      <c r="K20" s="33">
        <f>D20*35</f>
        <v/>
      </c>
      <c r="N20" s="143" t="n"/>
      <c r="P20" s="33" t="n"/>
    </row>
    <row r="21">
      <c r="A21" s="144" t="n"/>
      <c r="B21" s="109" t="inlineStr">
        <is>
          <t>DX-V-017-016</t>
        </is>
      </c>
      <c r="C21" s="132" t="n">
        <v>0.3</v>
      </c>
      <c r="D21" s="1">
        <f>C21*9</f>
        <v/>
      </c>
      <c r="F21" s="33">
        <f>D21*15</f>
        <v/>
      </c>
      <c r="G21" s="33" t="n"/>
      <c r="H21" s="33" t="n"/>
      <c r="I21" s="33" t="n"/>
      <c r="K21" s="33">
        <f>D21*35</f>
        <v/>
      </c>
      <c r="P21" s="33" t="n"/>
    </row>
    <row r="22">
      <c r="A22" s="126" t="n"/>
      <c r="B22" s="117" t="inlineStr">
        <is>
          <t>DX-V-002-001</t>
        </is>
      </c>
      <c r="C22" s="132" t="n">
        <v>0.5</v>
      </c>
      <c r="D22" s="1">
        <f>C22*9</f>
        <v/>
      </c>
      <c r="F22" s="33">
        <f>D22*15</f>
        <v/>
      </c>
      <c r="G22" s="33" t="n"/>
      <c r="K22" s="33">
        <f>D22*35</f>
        <v/>
      </c>
      <c r="P22" s="33" t="n"/>
    </row>
    <row r="23">
      <c r="A23" s="126" t="n"/>
      <c r="B23" s="117" t="inlineStr">
        <is>
          <t>DX-V-007-002</t>
        </is>
      </c>
      <c r="C23" s="132" t="n">
        <v>0.5</v>
      </c>
      <c r="D23" s="1">
        <f>C23*9</f>
        <v/>
      </c>
      <c r="H23" s="33">
        <f>D23*15</f>
        <v/>
      </c>
      <c r="K23" s="33">
        <f>D23*35</f>
        <v/>
      </c>
      <c r="P23" s="33" t="n"/>
    </row>
    <row r="24">
      <c r="A24" s="126" t="n"/>
      <c r="B24" s="109" t="inlineStr">
        <is>
          <t>DX-V-088-005</t>
        </is>
      </c>
      <c r="C24" s="132" t="n">
        <v>0.3</v>
      </c>
      <c r="D24" s="1">
        <f>C24*9</f>
        <v/>
      </c>
      <c r="H24" s="33">
        <f>D24*15</f>
        <v/>
      </c>
      <c r="K24" s="33">
        <f>D24*35</f>
        <v/>
      </c>
      <c r="P24" s="33" t="n"/>
    </row>
    <row r="25">
      <c r="A25" s="126" t="n"/>
      <c r="B25" s="109" t="inlineStr">
        <is>
          <t>DX-V-088-006</t>
        </is>
      </c>
      <c r="C25" s="132" t="n">
        <v>0.3</v>
      </c>
      <c r="D25" s="1">
        <f>C25*9</f>
        <v/>
      </c>
      <c r="G25" s="33">
        <f>D25*12</f>
        <v/>
      </c>
      <c r="K25" s="33">
        <f>D25*35</f>
        <v/>
      </c>
      <c r="P25" s="33" t="n"/>
    </row>
    <row r="26">
      <c r="A26" s="126" t="n"/>
      <c r="B26" s="109" t="inlineStr">
        <is>
          <t>DX-V-088-007</t>
        </is>
      </c>
      <c r="C26" s="132" t="n">
        <v>0.3</v>
      </c>
      <c r="D26" s="1">
        <f>C26*9</f>
        <v/>
      </c>
      <c r="G26" s="33">
        <f>D26*12</f>
        <v/>
      </c>
      <c r="K26" s="33">
        <f>D26*35</f>
        <v/>
      </c>
      <c r="P26" s="33" t="n"/>
    </row>
    <row r="27">
      <c r="A27" s="126" t="n"/>
      <c r="B27" s="109" t="inlineStr">
        <is>
          <t>DX-V-084-002</t>
        </is>
      </c>
      <c r="C27" s="132" t="n">
        <v>0.3</v>
      </c>
      <c r="D27" s="1">
        <f>C27*9</f>
        <v/>
      </c>
      <c r="G27" s="33">
        <f>D27*12</f>
        <v/>
      </c>
      <c r="K27" s="33">
        <f>D27*35</f>
        <v/>
      </c>
      <c r="M27" s="109" t="n"/>
      <c r="P27" s="33" t="n"/>
    </row>
    <row r="28">
      <c r="A28" s="126" t="n"/>
      <c r="B28" s="109" t="inlineStr">
        <is>
          <t>DX-V-084-003</t>
        </is>
      </c>
      <c r="C28" s="132" t="n">
        <v>0.3</v>
      </c>
      <c r="D28" s="1">
        <f>C28*9</f>
        <v/>
      </c>
      <c r="G28" s="33">
        <f>D28*12</f>
        <v/>
      </c>
      <c r="K28" s="33">
        <f>D28*35</f>
        <v/>
      </c>
      <c r="P28" s="33" t="n"/>
    </row>
    <row r="29">
      <c r="A29" s="126" t="n"/>
      <c r="B29" s="109" t="inlineStr">
        <is>
          <t>DX-V-084-004</t>
        </is>
      </c>
      <c r="C29" s="132" t="n">
        <v>0.3</v>
      </c>
      <c r="D29" s="1">
        <f>C29*9</f>
        <v/>
      </c>
      <c r="G29" s="33">
        <f>D29*12</f>
        <v/>
      </c>
      <c r="K29" s="33">
        <f>D29*35</f>
        <v/>
      </c>
      <c r="M29" s="109" t="n"/>
      <c r="P29" s="33" t="n"/>
    </row>
    <row r="30">
      <c r="A30" s="126" t="n"/>
      <c r="B30" s="109" t="inlineStr">
        <is>
          <t>DX-V-084-005</t>
        </is>
      </c>
      <c r="C30" s="132" t="n">
        <v>0.3</v>
      </c>
      <c r="D30" s="1">
        <f>C30*9</f>
        <v/>
      </c>
      <c r="H30" s="33">
        <f>D30*15</f>
        <v/>
      </c>
      <c r="K30" s="33">
        <f>D30*35</f>
        <v/>
      </c>
      <c r="P30" s="33" t="n"/>
    </row>
    <row r="31">
      <c r="A31" s="126" t="n"/>
      <c r="B31" s="109" t="inlineStr">
        <is>
          <t>DX-V-073-003</t>
        </is>
      </c>
      <c r="C31" s="132" t="n">
        <v>0.3</v>
      </c>
      <c r="D31" s="1">
        <f>C31*9</f>
        <v/>
      </c>
      <c r="H31" s="33">
        <f>D31*15</f>
        <v/>
      </c>
      <c r="K31" s="33">
        <f>D31*35</f>
        <v/>
      </c>
      <c r="M31" s="109" t="n"/>
      <c r="P31" s="33" t="n"/>
    </row>
    <row r="32">
      <c r="A32" s="126" t="n"/>
      <c r="B32" s="109" t="inlineStr">
        <is>
          <t>DX-V-038-004</t>
        </is>
      </c>
      <c r="C32" s="132" t="n">
        <v>0.5</v>
      </c>
      <c r="D32" s="1">
        <f>C32*9</f>
        <v/>
      </c>
      <c r="F32" s="33">
        <f>D32*15</f>
        <v/>
      </c>
      <c r="K32" s="33">
        <f>D32*35</f>
        <v/>
      </c>
      <c r="P32" s="33" t="n"/>
    </row>
    <row r="33">
      <c r="A33" s="126" t="n"/>
      <c r="B33" s="109" t="inlineStr">
        <is>
          <t>DX-V-087-002</t>
        </is>
      </c>
      <c r="C33" s="132" t="n">
        <v>0.5</v>
      </c>
      <c r="D33" s="1">
        <f>C33*9</f>
        <v/>
      </c>
      <c r="F33" s="33">
        <f>D33*15</f>
        <v/>
      </c>
      <c r="K33" s="33">
        <f>D33*35</f>
        <v/>
      </c>
      <c r="M33" s="109" t="n"/>
      <c r="P33" s="33" t="n"/>
    </row>
    <row r="34">
      <c r="A34" s="126" t="n"/>
      <c r="B34" s="109" t="inlineStr">
        <is>
          <t>DX-V-065-001</t>
        </is>
      </c>
      <c r="C34" s="132" t="n">
        <v>0.5</v>
      </c>
      <c r="D34" s="1">
        <f>C34*9</f>
        <v/>
      </c>
      <c r="F34" s="33">
        <f>D34*15</f>
        <v/>
      </c>
      <c r="K34" s="33">
        <f>D34*35</f>
        <v/>
      </c>
      <c r="P34" s="33" t="n"/>
    </row>
    <row r="35">
      <c r="A35" s="126" t="n"/>
      <c r="B35" s="109" t="inlineStr">
        <is>
          <t>DX-V-051-008</t>
        </is>
      </c>
      <c r="C35" s="132" t="n">
        <v>0.3</v>
      </c>
      <c r="D35" s="1">
        <f>C35*9</f>
        <v/>
      </c>
      <c r="G35" s="33">
        <f>D35*12</f>
        <v/>
      </c>
      <c r="K35" s="33">
        <f>D35*35</f>
        <v/>
      </c>
      <c r="M35" s="109" t="n"/>
      <c r="P35" s="33" t="n"/>
    </row>
    <row r="36">
      <c r="A36" s="126" t="n"/>
      <c r="B36" s="109" t="inlineStr">
        <is>
          <t>DX-V-087-006</t>
        </is>
      </c>
      <c r="C36" s="132" t="n">
        <v>0.3</v>
      </c>
      <c r="D36" s="1">
        <f>C36*9</f>
        <v/>
      </c>
      <c r="G36" s="33">
        <f>D36*12</f>
        <v/>
      </c>
      <c r="K36" s="33">
        <f>D36*35</f>
        <v/>
      </c>
      <c r="P36" s="33" t="n"/>
    </row>
    <row r="37">
      <c r="A37" s="138" t="n"/>
      <c r="B37" s="109" t="inlineStr">
        <is>
          <t>DX-V-074-001</t>
        </is>
      </c>
      <c r="C37" s="132" t="n">
        <v>0.5</v>
      </c>
      <c r="D37" s="1">
        <f>C37*9</f>
        <v/>
      </c>
      <c r="F37" s="33">
        <f>D37*15</f>
        <v/>
      </c>
      <c r="K37" s="33">
        <f>D37*35</f>
        <v/>
      </c>
      <c r="P37" s="33" t="n"/>
    </row>
    <row r="38">
      <c r="B38" s="1" t="n"/>
      <c r="C38" s="132" t="n"/>
      <c r="K38" s="33" t="n"/>
      <c r="P38" s="33" t="n"/>
    </row>
    <row r="39">
      <c r="B39" s="109" t="n"/>
      <c r="C39" s="132" t="n"/>
      <c r="K39" s="33" t="n"/>
      <c r="P39" s="33" t="n"/>
    </row>
    <row r="40">
      <c r="A40" s="130" t="n"/>
      <c r="B40" s="109" t="n"/>
      <c r="C40" s="80" t="n"/>
      <c r="G40" s="33" t="n"/>
      <c r="H40" s="33" t="n"/>
      <c r="K40" s="33" t="n"/>
      <c r="R40" s="4" t="n"/>
      <c r="S40" s="4" t="n"/>
    </row>
    <row r="41" ht="25" customHeight="1">
      <c r="A41" s="129" t="inlineStr">
        <is>
          <t>DD</t>
        </is>
      </c>
      <c r="B41" s="129" t="inlineStr">
        <is>
          <t>MGX</t>
        </is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</row>
    <row r="42">
      <c r="A42" s="126" t="n"/>
      <c r="B42" s="109" t="inlineStr">
        <is>
          <t>DD-V-045-009</t>
        </is>
      </c>
      <c r="C42" s="132" t="n">
        <v>0.3</v>
      </c>
      <c r="D42" s="1">
        <f>C42*9</f>
        <v/>
      </c>
      <c r="G42" s="33">
        <f>D42*12</f>
        <v/>
      </c>
      <c r="I42" s="33" t="n"/>
      <c r="K42" s="33">
        <f>D42*35</f>
        <v/>
      </c>
    </row>
    <row r="43">
      <c r="A43" s="126" t="n"/>
      <c r="B43" s="109" t="inlineStr">
        <is>
          <t>DD-V-079-023</t>
        </is>
      </c>
      <c r="C43" s="132" t="n">
        <v>0.3</v>
      </c>
      <c r="D43" s="1">
        <f>C43*9</f>
        <v/>
      </c>
      <c r="F43" s="33">
        <f>D43*15</f>
        <v/>
      </c>
      <c r="I43" s="33" t="n"/>
      <c r="K43" s="33">
        <f>D43*35</f>
        <v/>
      </c>
    </row>
    <row r="44">
      <c r="A44" s="126" t="n"/>
      <c r="B44" s="109" t="inlineStr">
        <is>
          <t>DD-V-126-033</t>
        </is>
      </c>
      <c r="C44" s="132" t="n">
        <v>0.3</v>
      </c>
      <c r="D44" s="1">
        <f>C44*9</f>
        <v/>
      </c>
      <c r="F44" s="33" t="n"/>
      <c r="G44" s="33">
        <f>D44*12</f>
        <v/>
      </c>
      <c r="H44" s="33" t="n"/>
      <c r="I44" s="33" t="n"/>
      <c r="K44" s="33">
        <f>D44*35</f>
        <v/>
      </c>
    </row>
    <row r="45">
      <c r="A45" s="126" t="n"/>
      <c r="B45" s="109" t="inlineStr">
        <is>
          <t>DD-V-162-013</t>
        </is>
      </c>
      <c r="C45" s="132" t="n">
        <v>0.3</v>
      </c>
      <c r="D45" s="1">
        <f>C45*9</f>
        <v/>
      </c>
      <c r="F45" s="33">
        <f>D45*15</f>
        <v/>
      </c>
      <c r="G45" s="33" t="n"/>
      <c r="H45" s="33" t="n"/>
      <c r="I45" s="33" t="n"/>
      <c r="K45" s="33">
        <f>D45*35</f>
        <v/>
      </c>
    </row>
    <row r="46">
      <c r="A46" s="126" t="n"/>
      <c r="B46" s="109" t="inlineStr">
        <is>
          <t>DD-V-162-014</t>
        </is>
      </c>
      <c r="C46" s="132" t="n">
        <v>0.3</v>
      </c>
      <c r="D46" s="1">
        <f>C46*9</f>
        <v/>
      </c>
      <c r="F46" s="33">
        <f>D46*15</f>
        <v/>
      </c>
      <c r="G46" s="33" t="n"/>
      <c r="H46" s="33" t="n"/>
      <c r="I46" s="33" t="n"/>
      <c r="K46" s="33">
        <f>D46*35</f>
        <v/>
      </c>
    </row>
    <row r="47">
      <c r="A47" s="126" t="n"/>
      <c r="B47" s="109" t="inlineStr">
        <is>
          <t>DD-V-229-005</t>
        </is>
      </c>
      <c r="C47" s="132" t="n">
        <v>0.3</v>
      </c>
      <c r="D47" s="1">
        <f>C47*9</f>
        <v/>
      </c>
      <c r="F47" s="33" t="n"/>
      <c r="G47" s="33">
        <f>D47*12</f>
        <v/>
      </c>
      <c r="H47" s="33" t="n"/>
      <c r="I47" s="33" t="n"/>
      <c r="K47" s="33">
        <f>D47*35</f>
        <v/>
      </c>
    </row>
    <row r="48">
      <c r="A48" s="126" t="n"/>
      <c r="B48" s="109" t="inlineStr">
        <is>
          <t>DD-V-229-006</t>
        </is>
      </c>
      <c r="C48" s="132" t="n">
        <v>0.3</v>
      </c>
      <c r="D48" s="1">
        <f>C48*9</f>
        <v/>
      </c>
      <c r="F48" s="33" t="n"/>
      <c r="G48" s="33">
        <f>D48*12</f>
        <v/>
      </c>
      <c r="H48" s="33" t="n"/>
      <c r="I48" s="33" t="n"/>
      <c r="K48" s="33">
        <f>D48*35</f>
        <v/>
      </c>
    </row>
    <row r="49">
      <c r="A49" s="126" t="n"/>
      <c r="B49" s="109" t="inlineStr">
        <is>
          <t>DD-V-235-011 FR</t>
        </is>
      </c>
      <c r="C49" s="132" t="n">
        <v>0.3</v>
      </c>
      <c r="D49" s="1">
        <f>C49*9</f>
        <v/>
      </c>
      <c r="F49" s="33" t="n"/>
      <c r="G49" s="33">
        <f>D49*12</f>
        <v/>
      </c>
      <c r="H49" s="33" t="n"/>
      <c r="I49" s="33" t="n"/>
      <c r="K49" s="33">
        <f>D49*35</f>
        <v/>
      </c>
    </row>
    <row r="50">
      <c r="A50" s="126" t="n"/>
      <c r="B50" s="109" t="inlineStr">
        <is>
          <t>DD-V-235-011 DE</t>
        </is>
      </c>
      <c r="C50" s="132" t="n">
        <v>0.3</v>
      </c>
      <c r="D50" s="1">
        <f>C50*9</f>
        <v/>
      </c>
      <c r="F50" s="33" t="n"/>
      <c r="G50" s="33">
        <f>D50*12</f>
        <v/>
      </c>
      <c r="H50" s="33" t="n"/>
      <c r="I50" s="33" t="n"/>
      <c r="K50" s="33">
        <f>D50*35</f>
        <v/>
      </c>
    </row>
    <row r="51">
      <c r="A51" s="126" t="n"/>
      <c r="B51" s="109" t="inlineStr">
        <is>
          <t>DD-V-247-002</t>
        </is>
      </c>
      <c r="C51" s="132" t="n">
        <v>0.3</v>
      </c>
      <c r="D51" s="1">
        <f>C51*9</f>
        <v/>
      </c>
      <c r="F51" s="33">
        <f>D51*15</f>
        <v/>
      </c>
      <c r="G51" s="33" t="n"/>
      <c r="H51" s="33" t="n"/>
      <c r="I51" s="33" t="n"/>
      <c r="K51" s="33">
        <f>D51*35</f>
        <v/>
      </c>
    </row>
    <row r="52">
      <c r="A52" s="126" t="n"/>
      <c r="B52" s="109" t="inlineStr">
        <is>
          <t>DD-V-255-002</t>
        </is>
      </c>
      <c r="C52" s="132" t="n">
        <v>0.3</v>
      </c>
      <c r="D52" s="1">
        <f>C52*9</f>
        <v/>
      </c>
      <c r="F52" s="33">
        <f>D52*15</f>
        <v/>
      </c>
      <c r="G52" s="33" t="n"/>
      <c r="H52" s="33" t="n"/>
      <c r="I52" s="33" t="n"/>
      <c r="K52" s="33">
        <f>D52*35</f>
        <v/>
      </c>
    </row>
    <row r="53">
      <c r="A53" s="126" t="n"/>
      <c r="B53" s="109" t="inlineStr">
        <is>
          <t>DD-V-049-043</t>
        </is>
      </c>
      <c r="C53" s="132" t="n">
        <v>0.3</v>
      </c>
      <c r="D53" s="1">
        <f>C53*9</f>
        <v/>
      </c>
      <c r="F53" s="33">
        <f>D53*15</f>
        <v/>
      </c>
      <c r="G53" s="33" t="n"/>
      <c r="H53" s="33" t="n"/>
      <c r="I53" s="33" t="n"/>
      <c r="K53" s="33">
        <f>D53*35</f>
        <v/>
      </c>
    </row>
    <row r="54">
      <c r="A54" s="126" t="n"/>
      <c r="B54" s="109" t="inlineStr">
        <is>
          <t>DD-V-144-034</t>
        </is>
      </c>
      <c r="C54" s="132" t="n">
        <v>0.3</v>
      </c>
      <c r="D54" s="1">
        <f>C54*9</f>
        <v/>
      </c>
      <c r="F54" s="33">
        <f>D54*15</f>
        <v/>
      </c>
      <c r="G54" s="33" t="n"/>
      <c r="H54" s="33" t="n"/>
      <c r="I54" s="33" t="n"/>
      <c r="K54" s="33">
        <f>D54*35</f>
        <v/>
      </c>
    </row>
    <row r="55">
      <c r="A55" s="126" t="n"/>
      <c r="B55" s="109" t="inlineStr">
        <is>
          <t>DD-V-209-003</t>
        </is>
      </c>
      <c r="C55" s="132" t="n">
        <v>0.3</v>
      </c>
      <c r="D55" s="1">
        <f>C55*9</f>
        <v/>
      </c>
      <c r="F55" s="33" t="n"/>
      <c r="G55" s="33">
        <f>D55*12</f>
        <v/>
      </c>
      <c r="H55" s="33" t="n"/>
      <c r="I55" s="33" t="n"/>
      <c r="K55" s="33">
        <f>D55*35</f>
        <v/>
      </c>
    </row>
    <row r="56">
      <c r="A56" s="126" t="n"/>
      <c r="B56" s="109" t="inlineStr">
        <is>
          <t>DD-V-049-044</t>
        </is>
      </c>
      <c r="C56" s="132" t="n">
        <v>0.3</v>
      </c>
      <c r="D56" s="1">
        <f>C56*9</f>
        <v/>
      </c>
      <c r="F56" s="33">
        <f>D56*15</f>
        <v/>
      </c>
      <c r="G56" s="33" t="n"/>
      <c r="H56" s="33" t="n"/>
      <c r="I56" s="33" t="n"/>
      <c r="K56" s="33">
        <f>D56*35</f>
        <v/>
      </c>
    </row>
    <row r="57">
      <c r="A57" s="126" t="n"/>
      <c r="B57" s="109" t="inlineStr">
        <is>
          <t>DD-V-049-045</t>
        </is>
      </c>
      <c r="C57" s="132" t="n">
        <v>0.3</v>
      </c>
      <c r="D57" s="1">
        <f>C57*9</f>
        <v/>
      </c>
      <c r="F57" s="33">
        <f>D57*15</f>
        <v/>
      </c>
      <c r="G57" s="33" t="n"/>
      <c r="H57" s="33" t="n"/>
      <c r="I57" s="33" t="n"/>
      <c r="K57" s="33">
        <f>D57*35</f>
        <v/>
      </c>
    </row>
    <row r="58">
      <c r="A58" s="144" t="n"/>
      <c r="B58" s="109" t="inlineStr">
        <is>
          <t>DD-V-056-009</t>
        </is>
      </c>
      <c r="C58" s="132" t="n">
        <v>0.3</v>
      </c>
      <c r="D58" s="1">
        <f>C58*9</f>
        <v/>
      </c>
      <c r="F58" s="33" t="n"/>
      <c r="G58" s="33">
        <f>D58*12</f>
        <v/>
      </c>
      <c r="H58" s="33" t="n"/>
      <c r="I58" s="33" t="n"/>
      <c r="K58" s="33">
        <f>D58*35</f>
        <v/>
      </c>
    </row>
    <row r="59">
      <c r="A59" s="126" t="n"/>
      <c r="B59" s="109" t="inlineStr">
        <is>
          <t>DD-V-056-010</t>
        </is>
      </c>
      <c r="C59" s="132" t="n">
        <v>0.3</v>
      </c>
      <c r="D59" s="1">
        <f>C59*9</f>
        <v/>
      </c>
      <c r="F59" s="33" t="n"/>
      <c r="G59" s="33">
        <f>D59*12</f>
        <v/>
      </c>
      <c r="H59" s="33" t="n"/>
      <c r="I59" s="33" t="n"/>
      <c r="K59" s="33">
        <f>D59*35</f>
        <v/>
      </c>
    </row>
    <row r="60">
      <c r="A60" s="144" t="n"/>
      <c r="B60" s="109" t="inlineStr">
        <is>
          <t>DD-V-126-034</t>
        </is>
      </c>
      <c r="C60" s="132" t="n">
        <v>0.3</v>
      </c>
      <c r="D60" s="1">
        <f>C60*9</f>
        <v/>
      </c>
      <c r="F60" s="33" t="n"/>
      <c r="G60" s="33">
        <f>D60*12</f>
        <v/>
      </c>
      <c r="H60" s="33" t="n"/>
      <c r="I60" s="33" t="n"/>
      <c r="K60" s="33">
        <f>D60*35</f>
        <v/>
      </c>
    </row>
    <row r="61">
      <c r="A61" s="126" t="n"/>
      <c r="B61" s="109" t="inlineStr">
        <is>
          <t>DD-V-223-012</t>
        </is>
      </c>
      <c r="C61" s="132" t="n">
        <v>0.3</v>
      </c>
      <c r="D61" s="1">
        <f>C61*9</f>
        <v/>
      </c>
      <c r="F61" s="33">
        <f>D61*15</f>
        <v/>
      </c>
      <c r="G61" s="33" t="n"/>
      <c r="H61" s="33" t="n"/>
      <c r="I61" s="33" t="n"/>
      <c r="K61" s="33">
        <f>D61*35</f>
        <v/>
      </c>
    </row>
    <row r="62">
      <c r="A62" s="126" t="n"/>
      <c r="B62" s="109" t="inlineStr">
        <is>
          <t>DD-V-223-013</t>
        </is>
      </c>
      <c r="C62" s="132" t="n">
        <v>0.3</v>
      </c>
      <c r="D62" s="1">
        <f>C62*9</f>
        <v/>
      </c>
      <c r="F62" s="33">
        <f>D62*15</f>
        <v/>
      </c>
      <c r="G62" s="33" t="n"/>
      <c r="H62" s="33" t="n"/>
      <c r="I62" s="33" t="n"/>
      <c r="K62" s="33">
        <f>D62*35</f>
        <v/>
      </c>
    </row>
    <row r="63">
      <c r="A63" s="126" t="n"/>
      <c r="B63" s="109" t="inlineStr">
        <is>
          <t>DD-V-229-007</t>
        </is>
      </c>
      <c r="C63" s="132" t="n">
        <v>0.3</v>
      </c>
      <c r="D63" s="1">
        <f>C63*9</f>
        <v/>
      </c>
      <c r="F63" s="33" t="n"/>
      <c r="G63" s="33">
        <f>D63*12</f>
        <v/>
      </c>
      <c r="H63" s="33" t="n"/>
      <c r="I63" s="33" t="n"/>
      <c r="K63" s="33">
        <f>D63*35</f>
        <v/>
      </c>
    </row>
    <row r="64">
      <c r="A64" s="144" t="n"/>
      <c r="B64" s="109" t="inlineStr">
        <is>
          <t>DD-V-126-035</t>
        </is>
      </c>
      <c r="C64" s="132" t="n">
        <v>0.3</v>
      </c>
      <c r="D64" s="1">
        <f>C64*9</f>
        <v/>
      </c>
      <c r="F64" s="33" t="n"/>
      <c r="G64" s="33">
        <f>D64*12</f>
        <v/>
      </c>
      <c r="H64" s="33" t="n"/>
      <c r="I64" s="33" t="n"/>
      <c r="K64" s="33">
        <f>D64*35</f>
        <v/>
      </c>
    </row>
    <row r="65">
      <c r="A65" s="144" t="n"/>
      <c r="B65" s="109" t="inlineStr">
        <is>
          <t>DD-V-223-014</t>
        </is>
      </c>
      <c r="C65" s="132" t="n">
        <v>0.5</v>
      </c>
      <c r="D65" s="1">
        <f>C65*9</f>
        <v/>
      </c>
      <c r="F65" s="33">
        <f>D65*15</f>
        <v/>
      </c>
      <c r="G65" s="33" t="n"/>
      <c r="H65" s="33" t="n"/>
      <c r="I65" s="33" t="n"/>
      <c r="K65" s="33">
        <f>D65*35</f>
        <v/>
      </c>
    </row>
    <row r="66">
      <c r="A66" s="144" t="n"/>
      <c r="B66" s="109" t="inlineStr">
        <is>
          <t>DD-V-223-015</t>
        </is>
      </c>
      <c r="C66" s="132" t="n">
        <v>0.5</v>
      </c>
      <c r="D66" s="1">
        <f>C66*9</f>
        <v/>
      </c>
      <c r="F66" s="33">
        <f>D66*15</f>
        <v/>
      </c>
      <c r="G66" s="33" t="n"/>
      <c r="H66" s="33" t="n"/>
      <c r="I66" s="33" t="n"/>
      <c r="K66" s="33">
        <f>D66*35</f>
        <v/>
      </c>
    </row>
    <row r="67">
      <c r="A67" s="144" t="n"/>
      <c r="B67" s="109" t="inlineStr">
        <is>
          <t>DD-V-257-002</t>
        </is>
      </c>
      <c r="C67" s="132" t="n">
        <v>4.5</v>
      </c>
      <c r="D67" s="1">
        <f>C67*9</f>
        <v/>
      </c>
      <c r="F67" s="33">
        <f>D67*15</f>
        <v/>
      </c>
      <c r="G67" s="33" t="n"/>
      <c r="H67" s="33" t="n"/>
      <c r="I67" s="33" t="n"/>
      <c r="K67" s="33">
        <f>D67*35</f>
        <v/>
      </c>
    </row>
    <row r="68">
      <c r="A68" s="146" t="n"/>
      <c r="B68" s="109" t="inlineStr">
        <is>
          <t>DD-V-049-050</t>
        </is>
      </c>
      <c r="C68" s="132" t="n">
        <v>0.3</v>
      </c>
      <c r="D68" s="1">
        <f>C68*9</f>
        <v/>
      </c>
      <c r="F68" s="33" t="n"/>
      <c r="G68" s="33">
        <f>D68*12</f>
        <v/>
      </c>
      <c r="H68" s="33" t="n"/>
      <c r="I68" s="33" t="n"/>
      <c r="K68" s="33">
        <f>D68*35</f>
        <v/>
      </c>
    </row>
    <row r="69">
      <c r="A69" s="146" t="n"/>
      <c r="B69" s="109" t="inlineStr">
        <is>
          <t>DD-V-049-051</t>
        </is>
      </c>
      <c r="C69" s="132" t="n">
        <v>0.3</v>
      </c>
      <c r="D69" s="1">
        <f>C69*9</f>
        <v/>
      </c>
      <c r="F69" s="33" t="n"/>
      <c r="G69" s="33">
        <f>D69*12</f>
        <v/>
      </c>
      <c r="H69" s="33" t="n"/>
      <c r="I69" s="33" t="n"/>
      <c r="K69" s="33">
        <f>D69*35</f>
        <v/>
      </c>
    </row>
    <row r="70">
      <c r="A70" s="146" t="n"/>
      <c r="B70" s="109" t="inlineStr">
        <is>
          <t>DD-V-049-053</t>
        </is>
      </c>
      <c r="C70" s="132" t="n">
        <v>0.3</v>
      </c>
      <c r="D70" s="1">
        <f>C70*9</f>
        <v/>
      </c>
      <c r="F70" s="33" t="n"/>
      <c r="G70" s="33">
        <f>D70*12</f>
        <v/>
      </c>
      <c r="H70" s="33" t="n"/>
      <c r="I70" s="33" t="n"/>
      <c r="K70" s="33">
        <f>D70*35</f>
        <v/>
      </c>
    </row>
    <row r="71">
      <c r="A71" s="144" t="n"/>
      <c r="B71" s="109" t="inlineStr">
        <is>
          <t>DD-V-134-003</t>
        </is>
      </c>
      <c r="C71" s="132" t="n">
        <v>0.3</v>
      </c>
      <c r="D71" s="1">
        <f>C71*9</f>
        <v/>
      </c>
      <c r="F71" s="33">
        <f>D71*15</f>
        <v/>
      </c>
      <c r="G71" s="33" t="n"/>
      <c r="H71" s="33" t="n"/>
      <c r="I71" s="33" t="n"/>
      <c r="K71" s="33">
        <f>D71*35</f>
        <v/>
      </c>
    </row>
    <row r="72">
      <c r="A72" s="146" t="n"/>
      <c r="B72" s="109" t="inlineStr">
        <is>
          <t>DD-V-188-002</t>
        </is>
      </c>
      <c r="C72" s="132" t="n">
        <v>0.3</v>
      </c>
      <c r="D72" s="1">
        <f>C72*9</f>
        <v/>
      </c>
      <c r="F72" s="33">
        <f>D72*15</f>
        <v/>
      </c>
      <c r="G72" s="33" t="n"/>
      <c r="H72" s="33" t="n"/>
      <c r="I72" s="33" t="n"/>
      <c r="K72" s="33">
        <f>D72*35</f>
        <v/>
      </c>
    </row>
    <row r="73">
      <c r="A73" s="146" t="n"/>
      <c r="B73" s="109" t="inlineStr">
        <is>
          <t>DD-V-194-002</t>
        </is>
      </c>
      <c r="C73" s="132" t="n">
        <v>0.3</v>
      </c>
      <c r="D73" s="1">
        <f>C73*9</f>
        <v/>
      </c>
      <c r="F73" s="33">
        <f>D73*15</f>
        <v/>
      </c>
      <c r="G73" s="33" t="n"/>
      <c r="H73" s="33" t="n"/>
      <c r="I73" s="33" t="n"/>
      <c r="K73" s="33">
        <f>D73*35</f>
        <v/>
      </c>
    </row>
    <row r="74">
      <c r="A74" s="130" t="n"/>
      <c r="B74" s="109" t="n"/>
      <c r="C74" s="80" t="n"/>
      <c r="F74" s="33" t="n"/>
      <c r="G74" s="33" t="n"/>
      <c r="H74" s="33" t="n"/>
      <c r="I74" s="33" t="n"/>
      <c r="K74" s="33" t="n"/>
    </row>
    <row r="75">
      <c r="Q75" s="4" t="n"/>
      <c r="R75" s="4" t="n"/>
      <c r="S75" s="4" t="n"/>
    </row>
    <row r="76">
      <c r="A76" s="122" t="inlineStr">
        <is>
          <t>total</t>
        </is>
      </c>
      <c r="B76" s="61" t="n"/>
      <c r="C76" s="11">
        <f>SUM(C6:C74)</f>
        <v/>
      </c>
      <c r="D76" s="11">
        <f>SUM(D6:D74)</f>
        <v/>
      </c>
      <c r="E76" s="62" t="n"/>
      <c r="F76" s="63">
        <f>SUM(F6:F74)</f>
        <v/>
      </c>
      <c r="G76" s="63">
        <f>SUM(G6:G75)</f>
        <v/>
      </c>
      <c r="H76" s="63">
        <f>SUM(H6:H74)</f>
        <v/>
      </c>
      <c r="I76" s="63">
        <f>SUM(I6:I74)</f>
        <v/>
      </c>
      <c r="J76" s="63">
        <f>SUM(F76:I76)</f>
        <v/>
      </c>
      <c r="K76" s="64">
        <f>SUM(K6:K75)</f>
        <v/>
      </c>
      <c r="L76" s="39" t="n"/>
      <c r="M76" s="29" t="inlineStr">
        <is>
          <t>UAH</t>
        </is>
      </c>
      <c r="N76" s="16" t="inlineStr">
        <is>
          <t>USD</t>
        </is>
      </c>
    </row>
    <row r="77">
      <c r="F77" s="7">
        <f>F76*40</f>
        <v/>
      </c>
      <c r="G77" s="33">
        <f>G76*40</f>
        <v/>
      </c>
      <c r="H77" s="33">
        <f>H76*40</f>
        <v/>
      </c>
      <c r="I77" s="33">
        <f>I76*40</f>
        <v/>
      </c>
      <c r="J77" s="33">
        <f>J76*40</f>
        <v/>
      </c>
      <c r="K77" s="33">
        <f>K76*40</f>
        <v/>
      </c>
      <c r="L77" s="5" t="inlineStr">
        <is>
          <t>CLIENT IN</t>
        </is>
      </c>
      <c r="M77" s="7">
        <f>N77*40</f>
        <v/>
      </c>
      <c r="N77" s="8">
        <f>K76</f>
        <v/>
      </c>
      <c r="S77" s="4" t="n"/>
    </row>
    <row r="78">
      <c r="G78" s="33" t="n"/>
      <c r="H78" s="127" t="n"/>
      <c r="I78" s="127" t="n"/>
      <c r="L78" s="5" t="inlineStr">
        <is>
          <t>STUDIO (TAX)</t>
        </is>
      </c>
      <c r="M78" s="7">
        <f>N78*40</f>
        <v/>
      </c>
      <c r="N78" s="8">
        <f>N77-N77*0.05</f>
        <v/>
      </c>
    </row>
    <row r="79">
      <c r="G79" s="33" t="n"/>
      <c r="L79" s="5" t="inlineStr">
        <is>
          <t>EMPL</t>
        </is>
      </c>
      <c r="M79" s="7">
        <f>N79*40</f>
        <v/>
      </c>
      <c r="N79" s="8">
        <f>J76</f>
        <v/>
      </c>
    </row>
    <row r="80">
      <c r="B80" s="1" t="n"/>
      <c r="L80" s="37" t="inlineStr">
        <is>
          <t>STUDIO</t>
        </is>
      </c>
      <c r="M80" s="7">
        <f>N80*40</f>
        <v/>
      </c>
      <c r="N80" s="8">
        <f>N78-N79</f>
        <v/>
      </c>
    </row>
    <row r="81">
      <c r="B81" s="1" t="n"/>
    </row>
    <row r="82">
      <c r="B82" s="1" t="n"/>
    </row>
    <row r="83">
      <c r="B83" s="1" t="n"/>
    </row>
    <row r="84">
      <c r="B84" s="1" t="n"/>
    </row>
    <row r="85">
      <c r="B85" s="1" t="n"/>
    </row>
    <row r="86">
      <c r="B86" s="1" t="n"/>
    </row>
  </sheetData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8"/>
  <sheetViews>
    <sheetView zoomScaleNormal="100" workbookViewId="0">
      <pane ySplit="2" topLeftCell="A33" activePane="bottomLeft" state="frozen"/>
      <selection pane="bottomLeft" activeCell="H59" sqref="H59"/>
    </sheetView>
  </sheetViews>
  <sheetFormatPr baseColWidth="10" defaultRowHeight="16"/>
  <cols>
    <col width="9.33203125" customWidth="1" style="1" min="1" max="1"/>
    <col width="21.33203125" customWidth="1" style="2" min="2" max="2"/>
    <col width="10.83203125" customWidth="1" style="1" min="3" max="4"/>
    <col width="9.83203125" customWidth="1" style="1" min="5" max="5"/>
    <col width="10.33203125" customWidth="1" style="1" min="6" max="6"/>
    <col width="10.83203125" customWidth="1" style="1" min="7" max="9"/>
    <col width="11.1640625" customWidth="1" style="1" min="10" max="10"/>
    <col width="10.6640625" customWidth="1" style="1" min="11" max="11"/>
    <col width="14.33203125" customWidth="1" style="1" min="12" max="12"/>
    <col width="12.33203125" customWidth="1" style="1" min="13" max="13"/>
    <col width="14" bestFit="1" customWidth="1" style="1" min="14" max="14"/>
    <col width="12.5" bestFit="1" customWidth="1" style="1" min="15" max="15"/>
    <col width="13" customWidth="1" style="1" min="16" max="16"/>
    <col width="10.83203125" customWidth="1" style="1" min="17" max="16384"/>
  </cols>
  <sheetData>
    <row r="1">
      <c r="A1" s="11" t="n"/>
      <c r="B1" s="10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>
      <c r="B2" s="133" t="inlineStr">
        <is>
          <t>2024 NOVEMBER</t>
        </is>
      </c>
      <c r="F2" s="41" t="inlineStr">
        <is>
          <t>Настя</t>
        </is>
      </c>
      <c r="G2" s="123" t="inlineStr">
        <is>
          <t>Маша</t>
        </is>
      </c>
      <c r="H2" s="38" t="inlineStr">
        <is>
          <t>Сергій</t>
        </is>
      </c>
      <c r="I2" s="113" t="inlineStr">
        <is>
          <t>Андрій</t>
        </is>
      </c>
    </row>
    <row r="3">
      <c r="F3" s="38" t="n"/>
      <c r="G3" s="38" t="n"/>
      <c r="H3" s="38" t="n"/>
      <c r="I3" s="38" t="n"/>
    </row>
    <row r="4" ht="21" customHeight="1">
      <c r="A4" s="120" t="n"/>
    </row>
    <row r="5" ht="25" customHeight="1">
      <c r="A5" s="129" t="inlineStr">
        <is>
          <t>DX</t>
        </is>
      </c>
      <c r="B5" s="129" t="inlineStr">
        <is>
          <t>MGX</t>
        </is>
      </c>
      <c r="C5" s="131" t="inlineStr">
        <is>
          <t>SHIFTS</t>
        </is>
      </c>
      <c r="D5" s="25" t="inlineStr">
        <is>
          <t>HOURS</t>
        </is>
      </c>
      <c r="E5" s="25" t="inlineStr">
        <is>
          <t>D.LINE</t>
        </is>
      </c>
      <c r="F5" s="102" t="inlineStr">
        <is>
          <t>EMPL 1</t>
        </is>
      </c>
      <c r="G5" s="114" t="inlineStr">
        <is>
          <t>EMPL 2</t>
        </is>
      </c>
      <c r="H5" s="114" t="inlineStr">
        <is>
          <t>EMPL 3</t>
        </is>
      </c>
      <c r="I5" s="102" t="inlineStr">
        <is>
          <t>EMPL 4</t>
        </is>
      </c>
      <c r="J5" s="31" t="inlineStr">
        <is>
          <t>Total EMPL</t>
        </is>
      </c>
      <c r="K5" s="39" t="inlineStr">
        <is>
          <t>STUDIO</t>
        </is>
      </c>
    </row>
    <row r="6">
      <c r="A6" s="94" t="n"/>
      <c r="B6" s="109" t="inlineStr">
        <is>
          <t>DX-V-060-014</t>
        </is>
      </c>
      <c r="C6" s="132" t="n">
        <v>1</v>
      </c>
      <c r="D6" s="1">
        <f>C6*9</f>
        <v/>
      </c>
      <c r="F6" s="33">
        <f>D6*15</f>
        <v/>
      </c>
      <c r="G6" s="33" t="n"/>
      <c r="H6" s="33" t="n"/>
      <c r="I6" s="33" t="n"/>
      <c r="K6" s="33">
        <f>D6*35</f>
        <v/>
      </c>
      <c r="P6" s="33" t="n"/>
    </row>
    <row r="7">
      <c r="A7" s="94" t="n"/>
      <c r="B7" s="109" t="inlineStr">
        <is>
          <t>DX-V-060-045</t>
        </is>
      </c>
      <c r="C7" s="132" t="n">
        <v>0.6</v>
      </c>
      <c r="D7" s="1">
        <f>C7*9</f>
        <v/>
      </c>
      <c r="F7" s="33">
        <f>D7*15</f>
        <v/>
      </c>
      <c r="G7" s="33" t="n"/>
      <c r="H7" s="33" t="n"/>
      <c r="I7" s="33" t="n"/>
      <c r="K7" s="33">
        <f>D7*35</f>
        <v/>
      </c>
      <c r="P7" s="33" t="n"/>
    </row>
    <row r="8">
      <c r="A8" s="94" t="n"/>
      <c r="B8" s="109" t="inlineStr">
        <is>
          <t>DX-V-060-046</t>
        </is>
      </c>
      <c r="C8" s="132" t="n">
        <v>0.3</v>
      </c>
      <c r="D8" s="1">
        <f>C8*9</f>
        <v/>
      </c>
      <c r="G8" s="33">
        <f>D8*12</f>
        <v/>
      </c>
      <c r="H8" s="33" t="n"/>
      <c r="I8" s="33" t="n"/>
      <c r="K8" s="33">
        <f>D8*35</f>
        <v/>
      </c>
      <c r="P8" s="33" t="n"/>
    </row>
    <row r="9">
      <c r="A9" s="94" t="n"/>
      <c r="B9" s="109" t="inlineStr">
        <is>
          <t>DX-V-060-047</t>
        </is>
      </c>
      <c r="C9" s="132" t="n">
        <v>0.3</v>
      </c>
      <c r="D9" s="1">
        <f>C9*9</f>
        <v/>
      </c>
      <c r="G9" s="33">
        <f>D9*12</f>
        <v/>
      </c>
      <c r="H9" s="33" t="n"/>
      <c r="I9" s="33" t="n"/>
      <c r="K9" s="33">
        <f>D9*35</f>
        <v/>
      </c>
      <c r="P9" s="33" t="n"/>
    </row>
    <row r="10">
      <c r="A10" s="94" t="n"/>
      <c r="B10" s="109" t="inlineStr">
        <is>
          <t>DX-V-060-048</t>
        </is>
      </c>
      <c r="C10" s="132" t="n">
        <v>0.3</v>
      </c>
      <c r="D10" s="1">
        <f>C10*9</f>
        <v/>
      </c>
      <c r="G10" s="33">
        <f>D10*12</f>
        <v/>
      </c>
      <c r="H10" s="33" t="n"/>
      <c r="I10" s="33" t="n"/>
      <c r="K10" s="33">
        <f>D10*35</f>
        <v/>
      </c>
      <c r="P10" s="33" t="n"/>
    </row>
    <row r="11">
      <c r="A11" s="94" t="n"/>
      <c r="B11" s="109" t="inlineStr">
        <is>
          <t>DX-V-060-049</t>
        </is>
      </c>
      <c r="C11" s="132" t="n">
        <v>0.3</v>
      </c>
      <c r="D11" s="1">
        <f>C11*9</f>
        <v/>
      </c>
      <c r="G11" s="33">
        <f>D11*12</f>
        <v/>
      </c>
      <c r="H11" s="33" t="n"/>
      <c r="I11" s="33" t="n"/>
      <c r="K11" s="33">
        <f>D11*35</f>
        <v/>
      </c>
      <c r="P11" s="33" t="n"/>
    </row>
    <row r="12">
      <c r="A12" s="94" t="n"/>
      <c r="B12" s="109" t="inlineStr">
        <is>
          <t>DX-V-060-023</t>
        </is>
      </c>
      <c r="C12" s="132" t="n">
        <v>0.5</v>
      </c>
      <c r="D12" s="1">
        <f>C12*9</f>
        <v/>
      </c>
      <c r="F12" s="33">
        <f>D12*15</f>
        <v/>
      </c>
      <c r="G12" s="33" t="n"/>
      <c r="H12" s="33" t="n"/>
      <c r="I12" s="33" t="n"/>
      <c r="K12" s="33">
        <f>D12*35</f>
        <v/>
      </c>
      <c r="P12" s="33" t="n"/>
    </row>
    <row r="13">
      <c r="A13" s="136" t="n"/>
      <c r="B13" s="109" t="inlineStr">
        <is>
          <t>DX-V-060-051</t>
        </is>
      </c>
      <c r="C13" s="132" t="n">
        <v>0.3</v>
      </c>
      <c r="D13" s="1">
        <f>C13*9</f>
        <v/>
      </c>
      <c r="F13" s="33" t="n"/>
      <c r="G13" s="33" t="n"/>
      <c r="H13" s="33" t="n"/>
      <c r="I13" s="33">
        <f>D13*12</f>
        <v/>
      </c>
      <c r="K13" s="33">
        <f>D13*35</f>
        <v/>
      </c>
      <c r="P13" s="33" t="n"/>
    </row>
    <row r="14">
      <c r="A14" s="94" t="n"/>
      <c r="B14" s="109" t="inlineStr">
        <is>
          <t>DX-V-073-002</t>
        </is>
      </c>
      <c r="C14" s="132" t="n">
        <v>1</v>
      </c>
      <c r="D14" s="1">
        <f>C14*9</f>
        <v/>
      </c>
      <c r="H14" s="33" t="n"/>
      <c r="I14" s="33">
        <f>D14*12</f>
        <v/>
      </c>
      <c r="K14" s="33">
        <f>D14*35</f>
        <v/>
      </c>
      <c r="P14" s="33" t="n"/>
    </row>
    <row r="15">
      <c r="A15" s="94" t="n"/>
      <c r="B15" s="109" t="inlineStr">
        <is>
          <t>DX-V-087-004</t>
        </is>
      </c>
      <c r="C15" s="132" t="n">
        <v>0.5</v>
      </c>
      <c r="D15" s="1">
        <f>C15*9</f>
        <v/>
      </c>
      <c r="H15" s="33" t="n"/>
      <c r="I15" s="33">
        <f>D15*12</f>
        <v/>
      </c>
      <c r="K15" s="33">
        <f>D15*35</f>
        <v/>
      </c>
      <c r="P15" s="33" t="n"/>
    </row>
    <row r="16">
      <c r="A16" s="94" t="n"/>
      <c r="B16" s="109" t="inlineStr">
        <is>
          <t>DX-V-060-014</t>
        </is>
      </c>
      <c r="C16" s="132" t="n">
        <v>0.3</v>
      </c>
      <c r="D16" s="1">
        <f>C16*9</f>
        <v/>
      </c>
      <c r="F16" s="33">
        <f>D16*15</f>
        <v/>
      </c>
      <c r="G16" s="33" t="n"/>
      <c r="H16" s="33" t="n"/>
      <c r="I16" s="33" t="n"/>
      <c r="K16" s="33">
        <f>D16*35</f>
        <v/>
      </c>
      <c r="P16" s="33" t="n"/>
    </row>
    <row r="17">
      <c r="A17" s="94" t="n"/>
      <c r="B17" s="109" t="inlineStr">
        <is>
          <t>DX-V-060-050</t>
        </is>
      </c>
      <c r="C17" s="132" t="n">
        <v>0.3</v>
      </c>
      <c r="D17" s="1">
        <f>C17*9</f>
        <v/>
      </c>
      <c r="G17" s="33" t="n"/>
      <c r="H17" s="33" t="n"/>
      <c r="I17" s="33">
        <f>D17*12</f>
        <v/>
      </c>
      <c r="K17" s="33">
        <f>D17*35</f>
        <v/>
      </c>
      <c r="P17" s="33" t="n"/>
    </row>
    <row r="18">
      <c r="A18" s="94" t="n"/>
      <c r="B18" s="109" t="inlineStr">
        <is>
          <t>DX-V-032-011</t>
        </is>
      </c>
      <c r="C18" s="132" t="n">
        <v>0.3</v>
      </c>
      <c r="D18" s="1">
        <f>C18*9</f>
        <v/>
      </c>
      <c r="G18" s="33">
        <f>D18*12</f>
        <v/>
      </c>
      <c r="K18" s="33">
        <f>D18*35</f>
        <v/>
      </c>
      <c r="P18" s="33" t="n"/>
    </row>
    <row r="19">
      <c r="A19" s="94" t="n"/>
      <c r="B19" s="109" t="inlineStr">
        <is>
          <t>DX-V-002-022</t>
        </is>
      </c>
      <c r="C19" s="132" t="n">
        <v>0.3</v>
      </c>
      <c r="D19" s="1">
        <f>C19*9</f>
        <v/>
      </c>
      <c r="F19" s="33">
        <f>D19*15</f>
        <v/>
      </c>
      <c r="K19" s="33">
        <f>D19*35</f>
        <v/>
      </c>
      <c r="P19" s="33" t="n"/>
    </row>
    <row r="20">
      <c r="A20" s="94" t="n"/>
      <c r="B20" s="109" t="inlineStr">
        <is>
          <t>DX-V-015-025</t>
        </is>
      </c>
      <c r="C20" s="132" t="n">
        <v>0.3</v>
      </c>
      <c r="D20" s="1">
        <f>C20*9</f>
        <v/>
      </c>
      <c r="G20" s="33">
        <f>D20*12</f>
        <v/>
      </c>
      <c r="K20" s="33">
        <f>D20*35</f>
        <v/>
      </c>
      <c r="P20" s="33" t="n"/>
    </row>
    <row r="21">
      <c r="A21" s="94" t="n"/>
      <c r="B21" s="109" t="inlineStr">
        <is>
          <t>DX-V-032-019</t>
        </is>
      </c>
      <c r="C21" s="132" t="n">
        <v>0.3</v>
      </c>
      <c r="D21" s="1">
        <f>C21*9</f>
        <v/>
      </c>
      <c r="G21" s="33">
        <f>D21*12</f>
        <v/>
      </c>
      <c r="K21" s="33">
        <f>D21*35</f>
        <v/>
      </c>
      <c r="P21" s="33" t="n"/>
    </row>
    <row r="22">
      <c r="A22" s="94" t="n"/>
      <c r="B22" s="109" t="inlineStr">
        <is>
          <t>DX-V-033-016</t>
        </is>
      </c>
      <c r="C22" s="132" t="n">
        <v>0.3</v>
      </c>
      <c r="D22" s="1">
        <f>C22*9</f>
        <v/>
      </c>
      <c r="G22" s="33">
        <f>D22*12</f>
        <v/>
      </c>
      <c r="K22" s="33">
        <f>D22*35</f>
        <v/>
      </c>
      <c r="P22" s="33" t="n"/>
    </row>
    <row r="23">
      <c r="A23" s="94" t="n"/>
      <c r="B23" s="109" t="inlineStr">
        <is>
          <t>DX-V-050-003</t>
        </is>
      </c>
      <c r="C23" s="132" t="n">
        <v>0.3</v>
      </c>
      <c r="D23" s="1">
        <f>C23*9</f>
        <v/>
      </c>
      <c r="F23" s="33">
        <f>D23*15</f>
        <v/>
      </c>
      <c r="K23" s="33">
        <f>D23*35</f>
        <v/>
      </c>
      <c r="P23" s="33" t="n"/>
    </row>
    <row r="24">
      <c r="A24" s="94" t="n"/>
      <c r="B24" s="109" t="inlineStr">
        <is>
          <t>DX-V-033-017</t>
        </is>
      </c>
      <c r="C24" s="132" t="n">
        <v>0.3</v>
      </c>
      <c r="D24" s="1">
        <f>C24*9</f>
        <v/>
      </c>
      <c r="G24" s="33">
        <f>D24*12</f>
        <v/>
      </c>
      <c r="K24" s="33">
        <f>D24*35</f>
        <v/>
      </c>
      <c r="P24" s="33" t="n"/>
    </row>
    <row r="25">
      <c r="A25" s="94" t="n"/>
      <c r="B25" s="109" t="inlineStr">
        <is>
          <t>DX-V-028-014</t>
        </is>
      </c>
      <c r="C25" s="132" t="n">
        <v>0.3</v>
      </c>
      <c r="D25" s="1">
        <f>C25*9</f>
        <v/>
      </c>
      <c r="F25" s="33">
        <f>D25*15</f>
        <v/>
      </c>
      <c r="K25" s="33">
        <f>D25*35</f>
        <v/>
      </c>
      <c r="P25" s="33" t="n"/>
    </row>
    <row r="26">
      <c r="A26" s="94" t="n"/>
      <c r="B26" s="109" t="inlineStr">
        <is>
          <t>DX-V-060-052</t>
        </is>
      </c>
      <c r="C26" s="132" t="n">
        <v>0.3</v>
      </c>
      <c r="D26" s="1">
        <f>C26*9</f>
        <v/>
      </c>
      <c r="F26" s="33">
        <f>D26*15</f>
        <v/>
      </c>
      <c r="K26" s="33">
        <f>D26*35</f>
        <v/>
      </c>
      <c r="P26" s="33" t="n"/>
    </row>
    <row r="27">
      <c r="A27" s="94" t="n"/>
      <c r="B27" s="109" t="inlineStr">
        <is>
          <t>DX-V-060-053</t>
        </is>
      </c>
      <c r="C27" s="132" t="n">
        <v>0.5</v>
      </c>
      <c r="D27" s="1">
        <f>C27*9</f>
        <v/>
      </c>
      <c r="F27" s="33">
        <f>D27*15</f>
        <v/>
      </c>
      <c r="K27" s="33">
        <f>D27*35</f>
        <v/>
      </c>
      <c r="P27" s="33" t="n"/>
    </row>
    <row r="28">
      <c r="A28" s="94" t="n"/>
      <c r="B28" s="109" t="inlineStr">
        <is>
          <t>DX-V-017-010</t>
        </is>
      </c>
      <c r="C28" s="132" t="n">
        <v>0.3</v>
      </c>
      <c r="D28" s="1">
        <f>C28*9</f>
        <v/>
      </c>
      <c r="G28" s="33">
        <f>D28*12</f>
        <v/>
      </c>
      <c r="K28" s="33">
        <f>D28*35</f>
        <v/>
      </c>
      <c r="P28" s="33" t="n"/>
    </row>
    <row r="29">
      <c r="A29" s="94" t="n"/>
      <c r="B29" s="109" t="inlineStr">
        <is>
          <t>DX-V-002-023</t>
        </is>
      </c>
      <c r="C29" s="132" t="n">
        <v>0.3</v>
      </c>
      <c r="D29" s="1">
        <f>C29*9</f>
        <v/>
      </c>
      <c r="G29" s="33">
        <f>D29*12</f>
        <v/>
      </c>
      <c r="K29" s="33">
        <f>D29*35</f>
        <v/>
      </c>
      <c r="P29" s="33" t="n"/>
    </row>
    <row r="30">
      <c r="A30" s="94" t="n"/>
      <c r="B30" s="109" t="inlineStr">
        <is>
          <t>DX-V-017-011</t>
        </is>
      </c>
      <c r="C30" s="132" t="n">
        <v>0.3</v>
      </c>
      <c r="D30" s="1">
        <f>C30*9</f>
        <v/>
      </c>
      <c r="G30" s="33">
        <f>D30*12</f>
        <v/>
      </c>
      <c r="K30" s="33">
        <f>D30*35</f>
        <v/>
      </c>
      <c r="P30" s="33" t="n"/>
    </row>
    <row r="31">
      <c r="A31" s="94" t="n"/>
      <c r="B31" s="109" t="inlineStr">
        <is>
          <t>DX-V-017-012</t>
        </is>
      </c>
      <c r="C31" s="132" t="n">
        <v>0.3</v>
      </c>
      <c r="D31" s="1">
        <f>C31*9</f>
        <v/>
      </c>
      <c r="G31" s="33">
        <f>D31*12</f>
        <v/>
      </c>
      <c r="K31" s="33">
        <f>D31*35</f>
        <v/>
      </c>
      <c r="P31" s="33" t="n"/>
    </row>
    <row r="32">
      <c r="A32" s="94" t="n"/>
      <c r="B32" s="109" t="inlineStr">
        <is>
          <t>DX-V-017-013</t>
        </is>
      </c>
      <c r="C32" s="132" t="n">
        <v>0.3</v>
      </c>
      <c r="D32" s="1">
        <f>C32*9</f>
        <v/>
      </c>
      <c r="G32" s="33">
        <f>D32*12</f>
        <v/>
      </c>
      <c r="K32" s="33">
        <f>D32*35</f>
        <v/>
      </c>
      <c r="P32" s="33" t="n"/>
    </row>
    <row r="33">
      <c r="A33" s="94" t="n"/>
      <c r="B33" s="109" t="inlineStr">
        <is>
          <t>DX-V-017-014</t>
        </is>
      </c>
      <c r="C33" s="132" t="n">
        <v>0.3</v>
      </c>
      <c r="D33" s="1">
        <f>C33*9</f>
        <v/>
      </c>
      <c r="G33" s="33">
        <f>D33*12</f>
        <v/>
      </c>
      <c r="K33" s="33">
        <f>D33*35</f>
        <v/>
      </c>
      <c r="P33" s="33" t="n"/>
    </row>
    <row r="34">
      <c r="A34" s="94" t="n"/>
      <c r="B34" s="109" t="inlineStr">
        <is>
          <t>DX-V-017-015</t>
        </is>
      </c>
      <c r="C34" s="132" t="n">
        <v>0.3</v>
      </c>
      <c r="D34" s="1">
        <f>C34*9</f>
        <v/>
      </c>
      <c r="G34" s="33">
        <f>D34*12</f>
        <v/>
      </c>
      <c r="K34" s="33">
        <f>D34*35</f>
        <v/>
      </c>
      <c r="P34" s="33" t="n"/>
    </row>
    <row r="35">
      <c r="A35" s="94" t="n"/>
      <c r="B35" s="109" t="inlineStr">
        <is>
          <t>DX-V-028-015</t>
        </is>
      </c>
      <c r="C35" s="132" t="n">
        <v>0.3</v>
      </c>
      <c r="D35" s="1">
        <f>C35*9</f>
        <v/>
      </c>
      <c r="F35" s="139" t="inlineStr">
        <is>
          <t>$41</t>
        </is>
      </c>
      <c r="K35" s="33">
        <f>D35*35</f>
        <v/>
      </c>
      <c r="P35" s="33" t="n"/>
    </row>
    <row r="36">
      <c r="A36" s="94" t="n"/>
      <c r="B36" s="109" t="inlineStr">
        <is>
          <t>DX-V-031-004</t>
        </is>
      </c>
      <c r="C36" s="132" t="n">
        <v>0.3</v>
      </c>
      <c r="D36" s="1">
        <f>C36*9</f>
        <v/>
      </c>
      <c r="F36" s="139" t="inlineStr">
        <is>
          <t>$41</t>
        </is>
      </c>
      <c r="K36" s="33">
        <f>D36*35</f>
        <v/>
      </c>
      <c r="P36" s="33" t="n"/>
    </row>
    <row r="37">
      <c r="A37" s="94" t="n"/>
      <c r="B37" s="109" t="inlineStr">
        <is>
          <t>DX-V-050-014</t>
        </is>
      </c>
      <c r="C37" s="132" t="n">
        <v>0.3</v>
      </c>
      <c r="D37" s="1">
        <f>C37*9</f>
        <v/>
      </c>
      <c r="F37" s="139" t="inlineStr">
        <is>
          <t>$41</t>
        </is>
      </c>
      <c r="K37" s="33">
        <f>D37*35</f>
        <v/>
      </c>
      <c r="P37" s="33" t="n"/>
    </row>
    <row r="38">
      <c r="A38" s="94" t="n"/>
      <c r="B38" s="109" t="inlineStr">
        <is>
          <t>DX-V-058-002</t>
        </is>
      </c>
      <c r="C38" s="132" t="n">
        <v>0.3</v>
      </c>
      <c r="D38" s="1">
        <f>C38*9</f>
        <v/>
      </c>
      <c r="F38" s="139" t="inlineStr">
        <is>
          <t>$41</t>
        </is>
      </c>
      <c r="K38" s="33">
        <f>D38*35</f>
        <v/>
      </c>
      <c r="P38" s="33" t="n"/>
    </row>
    <row r="39">
      <c r="A39" s="94" t="n"/>
      <c r="B39" s="109" t="inlineStr">
        <is>
          <t>DX-V-079-005</t>
        </is>
      </c>
      <c r="C39" s="132" t="n">
        <v>0.3</v>
      </c>
      <c r="D39" s="1">
        <f>C39*9</f>
        <v/>
      </c>
      <c r="F39" s="139" t="inlineStr">
        <is>
          <t>$41</t>
        </is>
      </c>
      <c r="K39" s="33">
        <f>D39*35</f>
        <v/>
      </c>
      <c r="P39" s="33" t="n"/>
    </row>
    <row r="40">
      <c r="A40" s="94" t="n"/>
      <c r="B40" s="109" t="inlineStr">
        <is>
          <t>DX-V-033-018</t>
        </is>
      </c>
      <c r="C40" s="132" t="n">
        <v>0.3</v>
      </c>
      <c r="D40" s="1">
        <f>C40*9</f>
        <v/>
      </c>
      <c r="K40" s="33">
        <f>D40*35</f>
        <v/>
      </c>
      <c r="P40" s="33" t="n"/>
    </row>
    <row r="41">
      <c r="L41" s="109" t="n"/>
      <c r="P41" s="33" t="n"/>
    </row>
    <row r="42" ht="25" customHeight="1">
      <c r="A42" s="129" t="inlineStr">
        <is>
          <t>DD</t>
        </is>
      </c>
      <c r="B42" s="129" t="inlineStr">
        <is>
          <t>MGX</t>
        </is>
      </c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</row>
    <row r="43">
      <c r="A43" s="136" t="n"/>
      <c r="B43" s="109" t="inlineStr">
        <is>
          <t>DD-V-116-025</t>
        </is>
      </c>
      <c r="C43" s="132" t="n">
        <v>0.3</v>
      </c>
      <c r="D43" s="1">
        <f>C43*9</f>
        <v/>
      </c>
      <c r="F43" s="33" t="n"/>
      <c r="G43" s="33">
        <f>D44*12</f>
        <v/>
      </c>
      <c r="H43" s="33" t="n"/>
      <c r="I43" s="33" t="n"/>
      <c r="K43" s="33">
        <f>D43*35</f>
        <v/>
      </c>
      <c r="M43" s="109" t="n"/>
    </row>
    <row r="44">
      <c r="A44" s="136" t="n"/>
      <c r="B44" s="109" t="inlineStr">
        <is>
          <t>DD-V-186-003</t>
        </is>
      </c>
      <c r="C44" s="132" t="n">
        <v>0.3</v>
      </c>
      <c r="D44" s="1">
        <f>C44*9</f>
        <v/>
      </c>
      <c r="F44" s="33" t="n"/>
      <c r="G44" s="33">
        <f>D44*12</f>
        <v/>
      </c>
      <c r="H44" s="33" t="n"/>
      <c r="I44" s="33" t="n"/>
      <c r="K44" s="33">
        <f>D44*35</f>
        <v/>
      </c>
      <c r="M44" s="109" t="n"/>
    </row>
    <row r="45">
      <c r="A45" s="136" t="n"/>
      <c r="B45" s="109" t="inlineStr">
        <is>
          <t>DD-V-235-004</t>
        </is>
      </c>
      <c r="C45" s="132" t="n">
        <v>0.3</v>
      </c>
      <c r="D45" s="1">
        <f>C45*9</f>
        <v/>
      </c>
      <c r="F45" s="33">
        <f>D45*15</f>
        <v/>
      </c>
      <c r="H45" s="33" t="n"/>
      <c r="I45" s="33" t="n"/>
      <c r="K45" s="33">
        <f>D45*35</f>
        <v/>
      </c>
      <c r="M45" s="109" t="n"/>
    </row>
    <row r="46">
      <c r="A46" s="136" t="n"/>
      <c r="B46" s="109" t="inlineStr">
        <is>
          <t>DD-V-235-005</t>
        </is>
      </c>
      <c r="C46" s="132" t="n">
        <v>0.3</v>
      </c>
      <c r="D46" s="1">
        <f>C46*9</f>
        <v/>
      </c>
      <c r="F46" s="33">
        <f>D46*15</f>
        <v/>
      </c>
      <c r="G46" s="33" t="n"/>
      <c r="H46" s="33" t="n"/>
      <c r="I46" s="33" t="n"/>
      <c r="K46" s="33">
        <f>D46*35</f>
        <v/>
      </c>
      <c r="M46" s="109" t="n"/>
    </row>
    <row r="47">
      <c r="A47" s="136" t="n"/>
      <c r="B47" s="109" t="inlineStr">
        <is>
          <t>DD-V-235-006</t>
        </is>
      </c>
      <c r="C47" s="132" t="n">
        <v>0.3</v>
      </c>
      <c r="D47" s="1">
        <f>C47*9</f>
        <v/>
      </c>
      <c r="F47" s="33">
        <f>D47*15</f>
        <v/>
      </c>
      <c r="G47" s="33" t="n"/>
      <c r="H47" s="33" t="n"/>
      <c r="I47" s="33" t="n"/>
      <c r="K47" s="33">
        <f>D47*35</f>
        <v/>
      </c>
      <c r="M47" s="109" t="n"/>
    </row>
    <row r="48">
      <c r="A48" s="136" t="n"/>
      <c r="B48" s="109" t="inlineStr">
        <is>
          <t>DD-V-034-030</t>
        </is>
      </c>
      <c r="C48" s="132" t="n">
        <v>0.3</v>
      </c>
      <c r="D48" s="1">
        <f>C48*9</f>
        <v/>
      </c>
      <c r="F48" s="33">
        <f>D48*15</f>
        <v/>
      </c>
      <c r="G48" s="33" t="n"/>
      <c r="H48" s="33" t="n"/>
      <c r="I48" s="33" t="n"/>
      <c r="K48" s="33">
        <f>D48*35</f>
        <v/>
      </c>
    </row>
    <row r="49">
      <c r="A49" s="136" t="n"/>
      <c r="B49" s="109" t="inlineStr">
        <is>
          <t>DD-V-034-031</t>
        </is>
      </c>
      <c r="C49" s="132" t="n">
        <v>0.3</v>
      </c>
      <c r="D49" s="1">
        <f>C49*9</f>
        <v/>
      </c>
      <c r="F49" s="33">
        <f>D49*15</f>
        <v/>
      </c>
      <c r="G49" s="33" t="n"/>
      <c r="H49" s="33" t="n"/>
      <c r="I49" s="33" t="n"/>
      <c r="K49" s="33">
        <f>D49*35</f>
        <v/>
      </c>
    </row>
    <row r="50">
      <c r="A50" s="136" t="n"/>
      <c r="B50" s="109" t="inlineStr">
        <is>
          <t>DD-V-034-032</t>
        </is>
      </c>
      <c r="C50" s="132" t="n">
        <v>0.3</v>
      </c>
      <c r="D50" s="1">
        <f>C50*9</f>
        <v/>
      </c>
      <c r="F50" s="33">
        <f>D50*15</f>
        <v/>
      </c>
      <c r="G50" s="33" t="n"/>
      <c r="H50" s="33" t="n"/>
      <c r="I50" s="33" t="n"/>
      <c r="K50" s="33">
        <f>D50*35</f>
        <v/>
      </c>
    </row>
    <row r="51">
      <c r="A51" s="136" t="n"/>
      <c r="B51" s="109" t="inlineStr">
        <is>
          <t>DD-V-034-033</t>
        </is>
      </c>
      <c r="C51" s="132" t="n">
        <v>0.3</v>
      </c>
      <c r="D51" s="1">
        <f>C51*9</f>
        <v/>
      </c>
      <c r="F51" s="33">
        <f>D51*15</f>
        <v/>
      </c>
      <c r="G51" s="33" t="n"/>
      <c r="H51" s="33" t="n"/>
      <c r="I51" s="33" t="n"/>
      <c r="K51" s="33">
        <f>D51*35</f>
        <v/>
      </c>
    </row>
    <row r="52">
      <c r="A52" s="136" t="n"/>
      <c r="B52" s="109" t="inlineStr">
        <is>
          <t>DD-V-049-039</t>
        </is>
      </c>
      <c r="C52" s="132" t="n">
        <v>0.3</v>
      </c>
      <c r="D52" s="1">
        <f>C52*9</f>
        <v/>
      </c>
      <c r="F52" s="33" t="n"/>
      <c r="G52" s="33">
        <f>D52*12</f>
        <v/>
      </c>
      <c r="H52" s="33" t="n"/>
      <c r="I52" s="33" t="n"/>
      <c r="K52" s="33">
        <f>D52*35</f>
        <v/>
      </c>
    </row>
    <row r="53">
      <c r="A53" s="136" t="n"/>
      <c r="B53" s="109" t="inlineStr">
        <is>
          <t>DD-V-049-040</t>
        </is>
      </c>
      <c r="C53" s="132" t="n">
        <v>0.3</v>
      </c>
      <c r="D53" s="1">
        <f>C53*9</f>
        <v/>
      </c>
      <c r="F53" s="33" t="n"/>
      <c r="G53" s="33">
        <f>D53*12</f>
        <v/>
      </c>
      <c r="H53" s="33" t="n"/>
      <c r="I53" s="33" t="n"/>
      <c r="K53" s="33">
        <f>D53*35</f>
        <v/>
      </c>
    </row>
    <row r="54">
      <c r="A54" s="136" t="n"/>
      <c r="B54" s="109" t="inlineStr">
        <is>
          <t>DD-V-049-041</t>
        </is>
      </c>
      <c r="C54" s="132" t="n">
        <v>0.3</v>
      </c>
      <c r="D54" s="1">
        <f>C54*9</f>
        <v/>
      </c>
      <c r="F54" s="33" t="n"/>
      <c r="G54" s="33">
        <f>D54*12</f>
        <v/>
      </c>
      <c r="H54" s="33" t="n"/>
      <c r="I54" s="33" t="n"/>
      <c r="K54" s="33">
        <f>D54*35</f>
        <v/>
      </c>
    </row>
    <row r="55">
      <c r="A55" s="136" t="n"/>
      <c r="B55" s="109" t="inlineStr">
        <is>
          <t>DD-V-049-042</t>
        </is>
      </c>
      <c r="C55" s="132" t="n">
        <v>0.3</v>
      </c>
      <c r="D55" s="1">
        <f>C55*9</f>
        <v/>
      </c>
      <c r="F55" s="33" t="n"/>
      <c r="G55" s="33">
        <f>D55*12</f>
        <v/>
      </c>
      <c r="H55" s="33" t="n"/>
      <c r="I55" s="33" t="n"/>
      <c r="K55" s="33">
        <f>D55*35</f>
        <v/>
      </c>
    </row>
    <row r="56">
      <c r="B56" s="118" t="n"/>
      <c r="C56" s="80" t="n"/>
      <c r="F56" s="33" t="n"/>
      <c r="G56" s="33" t="n"/>
      <c r="K56" s="33" t="n"/>
      <c r="Q56" s="4" t="n"/>
      <c r="R56" s="4" t="n"/>
      <c r="S56" s="4" t="n"/>
    </row>
    <row r="57">
      <c r="Q57" s="4" t="n"/>
      <c r="R57" s="4" t="n"/>
      <c r="S57" s="4" t="n"/>
    </row>
    <row r="58">
      <c r="A58" s="122" t="inlineStr">
        <is>
          <t>total</t>
        </is>
      </c>
      <c r="B58" s="61" t="n"/>
      <c r="C58" s="11">
        <f>SUM(C6:C55)</f>
        <v/>
      </c>
      <c r="D58" s="11">
        <f>SUM(D6:D55)</f>
        <v/>
      </c>
      <c r="E58" s="62" t="n"/>
      <c r="F58" s="63">
        <f>SUM(F6:F55)</f>
        <v/>
      </c>
      <c r="G58" s="63">
        <f>SUM(G6:G57)</f>
        <v/>
      </c>
      <c r="H58" s="63">
        <f>SUM(H6:H55)</f>
        <v/>
      </c>
      <c r="I58" s="63">
        <f>SUM(I6:I55)</f>
        <v/>
      </c>
      <c r="J58" s="63">
        <f>SUM(F58:I58)</f>
        <v/>
      </c>
      <c r="K58" s="64">
        <f>SUM(K6:K57)</f>
        <v/>
      </c>
      <c r="L58" s="39" t="n"/>
      <c r="M58" s="29" t="inlineStr">
        <is>
          <t>UAH</t>
        </is>
      </c>
      <c r="N58" s="16" t="inlineStr">
        <is>
          <t>USD</t>
        </is>
      </c>
    </row>
    <row r="59">
      <c r="F59" s="149">
        <f>F58*40</f>
        <v/>
      </c>
      <c r="G59" s="149">
        <f>G58*40</f>
        <v/>
      </c>
      <c r="H59" s="149">
        <f>H58*40</f>
        <v/>
      </c>
      <c r="I59" s="149">
        <f>I58*40</f>
        <v/>
      </c>
      <c r="J59" s="149">
        <f>J58*40</f>
        <v/>
      </c>
      <c r="K59" s="149">
        <f>K58*40</f>
        <v/>
      </c>
      <c r="L59" s="5" t="inlineStr">
        <is>
          <t>CLIENT IN</t>
        </is>
      </c>
      <c r="M59" s="7">
        <f>N59*40</f>
        <v/>
      </c>
      <c r="N59" s="8">
        <f>K58</f>
        <v/>
      </c>
      <c r="S59" s="4" t="n"/>
    </row>
    <row r="60">
      <c r="G60" s="33" t="n"/>
      <c r="H60" s="127" t="n"/>
      <c r="I60" s="127" t="n"/>
      <c r="L60" s="5" t="inlineStr">
        <is>
          <t>STUDIO (TAX)</t>
        </is>
      </c>
      <c r="M60" s="7">
        <f>N60*40</f>
        <v/>
      </c>
      <c r="N60" s="8">
        <f>N59-N59*0.05</f>
        <v/>
      </c>
    </row>
    <row r="61">
      <c r="G61" s="33" t="n"/>
      <c r="L61" s="5" t="inlineStr">
        <is>
          <t>EMPL</t>
        </is>
      </c>
      <c r="M61" s="7">
        <f>N61*40</f>
        <v/>
      </c>
      <c r="N61" s="8">
        <f>J58</f>
        <v/>
      </c>
    </row>
    <row r="62">
      <c r="B62" s="1" t="n"/>
      <c r="L62" s="37" t="inlineStr">
        <is>
          <t>STUDIO</t>
        </is>
      </c>
      <c r="M62" s="7">
        <f>N62*40</f>
        <v/>
      </c>
      <c r="N62" s="8">
        <f>N60-N61</f>
        <v/>
      </c>
    </row>
    <row r="63">
      <c r="B63" s="1" t="n"/>
    </row>
    <row r="64">
      <c r="B64" s="1" t="n"/>
    </row>
    <row r="65">
      <c r="B65" s="1" t="n"/>
    </row>
    <row r="66">
      <c r="B66" s="1" t="n"/>
    </row>
    <row r="67">
      <c r="B67" s="1" t="n"/>
    </row>
    <row r="68">
      <c r="B68" s="1" t="n"/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0"/>
  <sheetViews>
    <sheetView zoomScaleNormal="100" workbookViewId="0">
      <pane ySplit="2" topLeftCell="A32" activePane="bottomLeft" state="frozen"/>
      <selection pane="bottomLeft" activeCell="J64" sqref="J64"/>
    </sheetView>
  </sheetViews>
  <sheetFormatPr baseColWidth="10" defaultRowHeight="16"/>
  <cols>
    <col width="9.33203125" customWidth="1" style="1" min="1" max="1"/>
    <col width="21.33203125" customWidth="1" style="2" min="2" max="2"/>
    <col width="10.83203125" customWidth="1" style="1" min="3" max="4"/>
    <col width="9.83203125" customWidth="1" style="1" min="5" max="5"/>
    <col width="10.33203125" customWidth="1" style="1" min="6" max="6"/>
    <col width="10.83203125" customWidth="1" style="1" min="7" max="9"/>
    <col width="11.1640625" customWidth="1" style="1" min="10" max="10"/>
    <col width="10.6640625" customWidth="1" style="1" min="11" max="11"/>
    <col width="14.33203125" customWidth="1" style="1" min="12" max="12"/>
    <col width="12.33203125" customWidth="1" style="1" min="13" max="13"/>
    <col width="14" bestFit="1" customWidth="1" style="1" min="14" max="14"/>
    <col width="12.5" bestFit="1" customWidth="1" style="1" min="15" max="15"/>
    <col width="13" customWidth="1" style="1" min="16" max="16"/>
    <col width="10.83203125" customWidth="1" style="1" min="17" max="16384"/>
  </cols>
  <sheetData>
    <row r="1">
      <c r="A1" s="11" t="n"/>
      <c r="B1" s="10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>
      <c r="B2" s="133" t="inlineStr">
        <is>
          <t>2024 NOVEMBER</t>
        </is>
      </c>
      <c r="F2" s="41" t="inlineStr">
        <is>
          <t>Настя</t>
        </is>
      </c>
      <c r="G2" s="123" t="inlineStr">
        <is>
          <t>Маша</t>
        </is>
      </c>
      <c r="H2" s="38" t="inlineStr">
        <is>
          <t>Сергій</t>
        </is>
      </c>
      <c r="I2" s="113" t="inlineStr">
        <is>
          <t>Андрій</t>
        </is>
      </c>
    </row>
    <row r="3">
      <c r="F3" s="38" t="n"/>
      <c r="G3" s="38" t="n"/>
      <c r="H3" s="38" t="n"/>
      <c r="I3" s="38" t="n"/>
    </row>
    <row r="4" ht="21" customHeight="1">
      <c r="A4" s="120" t="n"/>
    </row>
    <row r="5" ht="25" customHeight="1">
      <c r="A5" s="129" t="inlineStr">
        <is>
          <t>DX</t>
        </is>
      </c>
      <c r="B5" s="129" t="inlineStr">
        <is>
          <t>MGX</t>
        </is>
      </c>
      <c r="C5" s="131" t="inlineStr">
        <is>
          <t>SHIFTS</t>
        </is>
      </c>
      <c r="D5" s="25" t="inlineStr">
        <is>
          <t>HOURS</t>
        </is>
      </c>
      <c r="E5" s="25" t="inlineStr">
        <is>
          <t>D.LINE</t>
        </is>
      </c>
      <c r="F5" s="102" t="inlineStr">
        <is>
          <t>EMPL 1</t>
        </is>
      </c>
      <c r="G5" s="114" t="inlineStr">
        <is>
          <t>EMPL 2</t>
        </is>
      </c>
      <c r="H5" s="114" t="inlineStr">
        <is>
          <t>EMPL 3</t>
        </is>
      </c>
      <c r="I5" s="102" t="inlineStr">
        <is>
          <t>EMPL 4</t>
        </is>
      </c>
      <c r="J5" s="31" t="inlineStr">
        <is>
          <t>Total EMPL</t>
        </is>
      </c>
      <c r="K5" s="39" t="inlineStr">
        <is>
          <t>STUDIO</t>
        </is>
      </c>
    </row>
    <row r="6">
      <c r="A6" s="94" t="n"/>
      <c r="B6" s="109" t="inlineStr">
        <is>
          <t>DX-V-060-023</t>
        </is>
      </c>
      <c r="C6" s="132" t="n">
        <v>0.3</v>
      </c>
      <c r="D6" s="1">
        <f>C6*9</f>
        <v/>
      </c>
      <c r="F6" s="33">
        <f>D6*15</f>
        <v/>
      </c>
      <c r="G6" s="33" t="n"/>
      <c r="H6" s="33" t="n"/>
      <c r="I6" s="33" t="n"/>
      <c r="K6" s="33">
        <f>D6*35</f>
        <v/>
      </c>
      <c r="P6" s="33" t="n"/>
    </row>
    <row r="7">
      <c r="A7" s="94" t="n"/>
      <c r="B7" s="109" t="inlineStr">
        <is>
          <t>DX-V-023-003</t>
        </is>
      </c>
      <c r="C7" s="80" t="n">
        <v>1</v>
      </c>
      <c r="D7" s="1">
        <f>C7*9</f>
        <v/>
      </c>
      <c r="G7" s="33" t="n"/>
      <c r="H7" s="33" t="n"/>
      <c r="I7" s="33">
        <f>D7*12</f>
        <v/>
      </c>
      <c r="K7" s="33">
        <f>D7*35</f>
        <v/>
      </c>
      <c r="P7" s="33" t="n"/>
    </row>
    <row r="8">
      <c r="A8" s="94" t="n"/>
      <c r="B8" s="109" t="inlineStr">
        <is>
          <t>DX-V-002-001</t>
        </is>
      </c>
      <c r="C8" s="132" t="n">
        <v>0.5</v>
      </c>
      <c r="D8" s="1">
        <f>C8*9</f>
        <v/>
      </c>
      <c r="G8" s="33" t="n"/>
      <c r="H8" s="33" t="n"/>
      <c r="I8" s="33">
        <f>D8*12</f>
        <v/>
      </c>
      <c r="K8" s="33">
        <f>D8*35</f>
        <v/>
      </c>
      <c r="P8" s="33" t="n"/>
    </row>
    <row r="9">
      <c r="A9" s="94" t="n"/>
      <c r="B9" s="109" t="inlineStr">
        <is>
          <t>DX-V-026-001</t>
        </is>
      </c>
      <c r="C9" s="132" t="n">
        <v>0.5</v>
      </c>
      <c r="D9" s="1">
        <f>C9*9</f>
        <v/>
      </c>
      <c r="G9" s="33" t="n"/>
      <c r="H9" s="33">
        <f>D9*15</f>
        <v/>
      </c>
      <c r="I9" s="33" t="n"/>
      <c r="K9" s="33">
        <f>D9*35</f>
        <v/>
      </c>
      <c r="P9" s="33" t="n"/>
    </row>
    <row r="10">
      <c r="A10" s="94" t="n"/>
      <c r="B10" s="109" t="inlineStr">
        <is>
          <t>DX-V-015-015</t>
        </is>
      </c>
      <c r="C10" s="132" t="n">
        <v>0.5</v>
      </c>
      <c r="D10" s="1">
        <f>C10*9</f>
        <v/>
      </c>
      <c r="F10" s="33">
        <f>D10*15</f>
        <v/>
      </c>
      <c r="G10" s="33" t="n"/>
      <c r="H10" s="33" t="n"/>
      <c r="I10" s="33" t="n"/>
      <c r="K10" s="33">
        <f>D10*35</f>
        <v/>
      </c>
      <c r="P10" s="33" t="n"/>
    </row>
    <row r="11">
      <c r="A11" s="94" t="n"/>
      <c r="B11" s="109" t="inlineStr">
        <is>
          <t>DX-V-028-001</t>
        </is>
      </c>
      <c r="C11" s="132" t="n">
        <v>0.5</v>
      </c>
      <c r="D11" s="1">
        <f>C11*9</f>
        <v/>
      </c>
      <c r="G11" s="33" t="n"/>
      <c r="H11" s="33">
        <f>D11*15</f>
        <v/>
      </c>
      <c r="I11" s="33" t="n"/>
      <c r="K11" s="33">
        <f>D11*35</f>
        <v/>
      </c>
      <c r="P11" s="33" t="n"/>
    </row>
    <row r="12">
      <c r="A12" s="94" t="n"/>
      <c r="B12" s="109" t="inlineStr">
        <is>
          <t>DX-V-026-009</t>
        </is>
      </c>
      <c r="C12" s="132" t="n">
        <v>0.3</v>
      </c>
      <c r="D12" s="1">
        <f>C12*9</f>
        <v/>
      </c>
      <c r="G12" s="33" t="n"/>
      <c r="H12" s="33">
        <f>D12*15</f>
        <v/>
      </c>
      <c r="I12" s="33" t="n"/>
      <c r="K12" s="33">
        <f>D12*35</f>
        <v/>
      </c>
      <c r="P12" s="33" t="n"/>
    </row>
    <row r="13">
      <c r="A13" s="94" t="n"/>
      <c r="B13" s="109" t="inlineStr">
        <is>
          <t>DX-V-042-005</t>
        </is>
      </c>
      <c r="C13" s="132" t="n">
        <v>0.3</v>
      </c>
      <c r="D13" s="1">
        <f>C13*9</f>
        <v/>
      </c>
      <c r="F13" s="33" t="n"/>
      <c r="G13" s="33" t="n"/>
      <c r="H13" s="33" t="n"/>
      <c r="I13" s="33">
        <f>D13*12</f>
        <v/>
      </c>
      <c r="K13" s="33">
        <f>D13*35</f>
        <v/>
      </c>
      <c r="P13" s="33" t="n"/>
    </row>
    <row r="14">
      <c r="A14" s="94" t="n"/>
      <c r="B14" s="109" t="inlineStr">
        <is>
          <t>DX-V-065-002</t>
        </is>
      </c>
      <c r="C14" s="132" t="n">
        <v>0.3</v>
      </c>
      <c r="D14" s="1">
        <f>C14*9</f>
        <v/>
      </c>
      <c r="F14" s="33">
        <f>D14*15</f>
        <v/>
      </c>
      <c r="G14" s="33" t="n"/>
      <c r="H14" s="33" t="n"/>
      <c r="I14" s="33" t="n"/>
      <c r="K14" s="33">
        <f>D14*35</f>
        <v/>
      </c>
      <c r="P14" s="33" t="n"/>
    </row>
    <row r="15">
      <c r="A15" s="94" t="n"/>
      <c r="B15" s="109" t="inlineStr">
        <is>
          <t>DX-V-033-015</t>
        </is>
      </c>
      <c r="C15" s="132" t="n">
        <v>0.3</v>
      </c>
      <c r="D15" s="1">
        <f>C15*9</f>
        <v/>
      </c>
      <c r="F15" s="33" t="n"/>
      <c r="G15" s="33" t="n"/>
      <c r="H15" s="33" t="n"/>
      <c r="I15" s="33">
        <f>D15*12</f>
        <v/>
      </c>
      <c r="K15" s="33">
        <f>D15*35</f>
        <v/>
      </c>
      <c r="P15" s="33" t="n"/>
    </row>
    <row r="16">
      <c r="A16" s="94" t="n"/>
      <c r="B16" s="109" t="inlineStr">
        <is>
          <t>DX-V-026-010</t>
        </is>
      </c>
      <c r="C16" s="132" t="n">
        <v>0.3</v>
      </c>
      <c r="D16" s="1">
        <f>C16*9</f>
        <v/>
      </c>
      <c r="F16" s="33">
        <f>D16*15</f>
        <v/>
      </c>
      <c r="G16" s="33" t="n"/>
      <c r="H16" s="33" t="n"/>
      <c r="I16" s="33" t="n"/>
      <c r="K16" s="33">
        <f>D16*35</f>
        <v/>
      </c>
      <c r="P16" s="33" t="n"/>
    </row>
    <row r="17">
      <c r="A17" s="94" t="n"/>
      <c r="B17" s="109" t="inlineStr">
        <is>
          <t>DX-V-042-006</t>
        </is>
      </c>
      <c r="C17" s="132" t="n">
        <v>0.3</v>
      </c>
      <c r="D17" s="1">
        <f>C17*9</f>
        <v/>
      </c>
      <c r="F17" s="33" t="n"/>
      <c r="G17" s="33" t="n"/>
      <c r="H17" s="33" t="n"/>
      <c r="I17" s="33">
        <f>D17*12</f>
        <v/>
      </c>
      <c r="K17" s="33">
        <f>D17*35</f>
        <v/>
      </c>
      <c r="P17" s="33" t="n"/>
    </row>
    <row r="18">
      <c r="A18" s="94" t="n"/>
      <c r="B18" s="109" t="inlineStr">
        <is>
          <t>DX-V-051-001</t>
        </is>
      </c>
      <c r="C18" s="132" t="n">
        <v>0.5</v>
      </c>
      <c r="D18" s="1">
        <f>C18*9</f>
        <v/>
      </c>
      <c r="F18" s="33" t="n"/>
      <c r="G18" s="33" t="n"/>
      <c r="H18" s="33">
        <f>D18*15</f>
        <v/>
      </c>
      <c r="I18" s="33" t="n"/>
      <c r="K18" s="33">
        <f>D18*35</f>
        <v/>
      </c>
      <c r="P18" s="33" t="n"/>
    </row>
    <row r="19">
      <c r="A19" s="94" t="n"/>
      <c r="B19" s="109" t="inlineStr">
        <is>
          <t>DX-V-051-002</t>
        </is>
      </c>
      <c r="C19" s="132" t="n">
        <v>0.5</v>
      </c>
      <c r="D19" s="1">
        <f>C19*9</f>
        <v/>
      </c>
      <c r="G19" s="33" t="n"/>
      <c r="H19" s="33">
        <f>D19*15</f>
        <v/>
      </c>
      <c r="I19" s="33" t="n"/>
      <c r="K19" s="33">
        <f>D19*35</f>
        <v/>
      </c>
      <c r="P19" s="33" t="n"/>
    </row>
    <row r="20">
      <c r="A20" s="94" t="n"/>
      <c r="B20" s="109" t="inlineStr">
        <is>
          <t>DX-V-088-003</t>
        </is>
      </c>
      <c r="C20" s="132" t="n">
        <v>0.3</v>
      </c>
      <c r="D20" s="1">
        <f>C20*9</f>
        <v/>
      </c>
      <c r="F20" s="33">
        <f>D20*15</f>
        <v/>
      </c>
      <c r="G20" s="33" t="n"/>
      <c r="H20" s="33" t="n"/>
      <c r="I20" s="33" t="n"/>
      <c r="K20" s="33">
        <f>D20*35</f>
        <v/>
      </c>
      <c r="P20" s="33" t="n"/>
    </row>
    <row r="21">
      <c r="A21" s="94" t="n"/>
      <c r="B21" s="109" t="inlineStr">
        <is>
          <t>DX-V-032-017</t>
        </is>
      </c>
      <c r="C21" s="132" t="n">
        <v>0.5</v>
      </c>
      <c r="D21" s="1">
        <f>C21*9</f>
        <v/>
      </c>
      <c r="G21" s="33" t="n"/>
      <c r="H21" s="33" t="n"/>
      <c r="I21" s="33">
        <f>D21*12</f>
        <v/>
      </c>
      <c r="K21" s="33">
        <f>D21*35</f>
        <v/>
      </c>
      <c r="P21" s="33" t="n"/>
    </row>
    <row r="22">
      <c r="A22" s="94" t="n"/>
      <c r="B22" s="109" t="inlineStr">
        <is>
          <t>DX-V-079-003</t>
        </is>
      </c>
      <c r="C22" s="132" t="n">
        <v>0.5</v>
      </c>
      <c r="D22" s="1">
        <f>C22*9</f>
        <v/>
      </c>
      <c r="G22" s="33" t="n"/>
      <c r="H22" s="33">
        <f>D22*15</f>
        <v/>
      </c>
      <c r="I22" s="33" t="n"/>
      <c r="K22" s="33">
        <f>D22*35</f>
        <v/>
      </c>
      <c r="P22" s="33" t="n"/>
    </row>
    <row r="23">
      <c r="A23" s="94" t="n"/>
      <c r="B23" s="109" t="inlineStr">
        <is>
          <t>DX-V-060-031</t>
        </is>
      </c>
      <c r="C23" s="132" t="n">
        <v>0.3</v>
      </c>
      <c r="D23" s="1">
        <f>C23*9</f>
        <v/>
      </c>
      <c r="G23" s="33" t="n"/>
      <c r="H23" s="33" t="n"/>
      <c r="I23" s="33">
        <f>D23*12</f>
        <v/>
      </c>
      <c r="K23" s="33">
        <f>D23*35</f>
        <v/>
      </c>
      <c r="P23" s="33" t="n"/>
    </row>
    <row r="24">
      <c r="A24" s="94" t="n"/>
      <c r="B24" s="109" t="inlineStr">
        <is>
          <t>DX-V-060-030</t>
        </is>
      </c>
      <c r="C24" s="132" t="n">
        <v>0.3</v>
      </c>
      <c r="D24" s="1">
        <f>C24*9</f>
        <v/>
      </c>
      <c r="F24" s="33">
        <f>D24*15</f>
        <v/>
      </c>
      <c r="G24" s="33" t="n"/>
      <c r="H24" s="33" t="n"/>
      <c r="I24" s="33" t="n"/>
      <c r="K24" s="33">
        <f>D24*35</f>
        <v/>
      </c>
      <c r="P24" s="33" t="n"/>
    </row>
    <row r="25">
      <c r="A25" s="94" t="n"/>
      <c r="B25" s="109" t="inlineStr">
        <is>
          <t>DX-V-065-001</t>
        </is>
      </c>
      <c r="C25" s="132" t="n">
        <v>0.5</v>
      </c>
      <c r="D25" s="1">
        <f>C25*9</f>
        <v/>
      </c>
      <c r="G25" s="33" t="n"/>
      <c r="H25" s="33">
        <f>D25*15</f>
        <v/>
      </c>
      <c r="I25" s="33" t="n"/>
      <c r="K25" s="33">
        <f>D25*35</f>
        <v/>
      </c>
      <c r="P25" s="33" t="n"/>
    </row>
    <row r="26">
      <c r="A26" s="94" t="n"/>
      <c r="B26" s="109" t="inlineStr">
        <is>
          <t>DX-V-033-014</t>
        </is>
      </c>
      <c r="C26" s="132" t="n">
        <v>0.3</v>
      </c>
      <c r="D26" s="1">
        <f>C26*9</f>
        <v/>
      </c>
      <c r="F26" s="138" t="n"/>
      <c r="G26" s="138" t="n"/>
      <c r="H26" s="33">
        <f>D26*15</f>
        <v/>
      </c>
      <c r="I26" s="33" t="n"/>
      <c r="K26" s="33">
        <f>D26*35</f>
        <v/>
      </c>
      <c r="P26" s="33" t="n"/>
    </row>
    <row r="27">
      <c r="A27" s="94" t="n"/>
      <c r="B27" s="109" t="inlineStr">
        <is>
          <t>DX-V-060-014</t>
        </is>
      </c>
      <c r="C27" s="132" t="n">
        <v>0.5</v>
      </c>
      <c r="D27" s="1">
        <f>C27*9</f>
        <v/>
      </c>
      <c r="F27" s="33">
        <f>D27*15</f>
        <v/>
      </c>
      <c r="G27" s="138" t="n"/>
      <c r="H27" s="138" t="n"/>
      <c r="I27" s="33" t="n"/>
      <c r="K27" s="33">
        <f>D27*35</f>
        <v/>
      </c>
      <c r="P27" s="33" t="n"/>
    </row>
    <row r="28">
      <c r="A28" s="126" t="n"/>
      <c r="B28" s="109" t="inlineStr">
        <is>
          <t>DX-V-032-002</t>
        </is>
      </c>
      <c r="C28" s="132" t="n">
        <v>0.5</v>
      </c>
      <c r="D28" s="1">
        <f>C28*9</f>
        <v/>
      </c>
      <c r="F28" s="33">
        <f>D28*15</f>
        <v/>
      </c>
      <c r="G28" s="138" t="n"/>
      <c r="H28" s="138" t="n"/>
      <c r="I28" s="33" t="n"/>
      <c r="K28" s="33">
        <f>D28*35</f>
        <v/>
      </c>
      <c r="P28" s="33" t="n"/>
    </row>
    <row r="29">
      <c r="A29" s="126" t="n"/>
      <c r="B29" s="109" t="inlineStr">
        <is>
          <t>DX-V-060-034</t>
        </is>
      </c>
      <c r="C29" s="132" t="n">
        <v>0.3</v>
      </c>
      <c r="D29" s="1">
        <f>C29*9</f>
        <v/>
      </c>
      <c r="F29" s="138" t="n"/>
      <c r="G29" s="138" t="n"/>
      <c r="H29" s="33">
        <f>D29*15</f>
        <v/>
      </c>
      <c r="I29" s="33" t="n"/>
      <c r="K29" s="33">
        <f>D29*35</f>
        <v/>
      </c>
      <c r="P29" s="33" t="n"/>
    </row>
    <row r="30">
      <c r="A30" s="126" t="n"/>
      <c r="B30" s="109" t="inlineStr">
        <is>
          <t>DX-V-083-002</t>
        </is>
      </c>
      <c r="C30" s="80" t="n">
        <v>1</v>
      </c>
      <c r="D30" s="1">
        <f>C30*9</f>
        <v/>
      </c>
      <c r="F30" s="138" t="n"/>
      <c r="G30" s="138" t="n"/>
      <c r="H30" s="33">
        <f>D30*15</f>
        <v/>
      </c>
      <c r="I30" s="33" t="n"/>
      <c r="K30" s="33">
        <f>D30*35</f>
        <v/>
      </c>
      <c r="P30" s="33" t="n"/>
    </row>
    <row r="31">
      <c r="A31" s="126" t="n"/>
      <c r="B31" s="109" t="inlineStr">
        <is>
          <t>DX-V-050-003</t>
        </is>
      </c>
      <c r="C31" s="132" t="n">
        <v>0.5</v>
      </c>
      <c r="D31" s="1">
        <f>C31*9</f>
        <v/>
      </c>
      <c r="F31" s="138" t="n"/>
      <c r="G31" s="138" t="n"/>
      <c r="H31" s="33">
        <f>D31*15</f>
        <v/>
      </c>
      <c r="I31" s="33" t="n"/>
      <c r="K31" s="33">
        <f>D31*35</f>
        <v/>
      </c>
      <c r="P31" s="33" t="n"/>
    </row>
    <row r="32">
      <c r="A32" s="134" t="n"/>
      <c r="B32" s="109" t="inlineStr">
        <is>
          <t>DX-V-060-035</t>
        </is>
      </c>
      <c r="C32" s="132" t="n">
        <v>0.3</v>
      </c>
      <c r="D32" s="1">
        <f>C32*9</f>
        <v/>
      </c>
      <c r="G32" s="33" t="n"/>
      <c r="H32" s="33">
        <f>D32*15</f>
        <v/>
      </c>
      <c r="I32" s="33" t="n"/>
      <c r="K32" s="33">
        <f>D32*35</f>
        <v/>
      </c>
      <c r="P32" s="33" t="n"/>
    </row>
    <row r="33">
      <c r="A33" s="134" t="n"/>
      <c r="B33" s="109" t="inlineStr">
        <is>
          <t>DX-V-060-036</t>
        </is>
      </c>
      <c r="C33" s="132" t="n">
        <v>0.3</v>
      </c>
      <c r="D33" s="1">
        <f>C33*9</f>
        <v/>
      </c>
      <c r="G33" s="33" t="n"/>
      <c r="H33" s="33">
        <f>D33*15</f>
        <v/>
      </c>
      <c r="I33" s="33" t="n"/>
      <c r="K33" s="33">
        <f>D33*35</f>
        <v/>
      </c>
      <c r="P33" s="33" t="n"/>
    </row>
    <row r="34">
      <c r="A34" s="134" t="n"/>
      <c r="B34" s="109" t="inlineStr">
        <is>
          <t>DX-V-060-037</t>
        </is>
      </c>
      <c r="C34" s="132" t="n">
        <v>0.3</v>
      </c>
      <c r="D34" s="1">
        <f>C34*9</f>
        <v/>
      </c>
      <c r="G34" s="33" t="n"/>
      <c r="H34" s="33">
        <f>D34*15</f>
        <v/>
      </c>
      <c r="I34" s="33" t="n"/>
      <c r="K34" s="33">
        <f>D34*35</f>
        <v/>
      </c>
      <c r="P34" s="33" t="n"/>
    </row>
    <row r="35">
      <c r="A35" s="134" t="n"/>
      <c r="B35" s="109" t="inlineStr">
        <is>
          <t>DX-V-060-038</t>
        </is>
      </c>
      <c r="C35" s="132" t="n">
        <v>0.3</v>
      </c>
      <c r="D35" s="1">
        <f>C35*9</f>
        <v/>
      </c>
      <c r="F35" s="33">
        <f>D35*15</f>
        <v/>
      </c>
      <c r="G35" s="33" t="n"/>
      <c r="H35" s="33" t="n"/>
      <c r="I35" s="33" t="n"/>
      <c r="K35" s="33">
        <f>D35*35</f>
        <v/>
      </c>
      <c r="P35" s="33" t="n"/>
    </row>
    <row r="36">
      <c r="A36" s="134" t="n"/>
      <c r="B36" s="109" t="inlineStr">
        <is>
          <t>DX-V-060-039</t>
        </is>
      </c>
      <c r="C36" s="132" t="n">
        <v>0.3</v>
      </c>
      <c r="D36" s="1">
        <f>C36*9</f>
        <v/>
      </c>
      <c r="F36" s="33">
        <f>D36*15</f>
        <v/>
      </c>
      <c r="G36" s="33" t="n"/>
      <c r="H36" s="33" t="n"/>
      <c r="I36" s="33" t="n"/>
      <c r="K36" s="33">
        <f>D36*35</f>
        <v/>
      </c>
      <c r="P36" s="33" t="n"/>
    </row>
    <row r="37">
      <c r="A37" s="134" t="n"/>
      <c r="B37" s="109" t="inlineStr">
        <is>
          <t>DX-V-060-040</t>
        </is>
      </c>
      <c r="C37" s="132" t="n">
        <v>0.3</v>
      </c>
      <c r="D37" s="1">
        <f>C37*9</f>
        <v/>
      </c>
      <c r="F37" s="33">
        <f>D37*15</f>
        <v/>
      </c>
      <c r="G37" s="33" t="n"/>
      <c r="H37" s="33" t="n"/>
      <c r="I37" s="33" t="n"/>
      <c r="K37" s="33">
        <f>D37*35</f>
        <v/>
      </c>
      <c r="P37" s="33" t="n"/>
    </row>
    <row r="38">
      <c r="A38" s="134" t="n"/>
      <c r="B38" s="109" t="inlineStr">
        <is>
          <t>DX-V-060-041</t>
        </is>
      </c>
      <c r="C38" s="132" t="n">
        <v>0.3</v>
      </c>
      <c r="D38" s="1">
        <f>C38*9</f>
        <v/>
      </c>
      <c r="G38" s="33" t="n"/>
      <c r="H38" s="33" t="n"/>
      <c r="I38" s="33">
        <f>D38*12</f>
        <v/>
      </c>
      <c r="K38" s="33">
        <f>D38*35</f>
        <v/>
      </c>
      <c r="P38" s="33" t="n"/>
    </row>
    <row r="39">
      <c r="A39" s="134" t="n"/>
      <c r="B39" s="109" t="inlineStr">
        <is>
          <t>DX-V-060-042</t>
        </is>
      </c>
      <c r="C39" s="132" t="n">
        <v>0.3</v>
      </c>
      <c r="D39" s="1">
        <f>C39*9</f>
        <v/>
      </c>
      <c r="G39" s="33" t="n"/>
      <c r="H39" s="33" t="n"/>
      <c r="I39" s="33">
        <f>D39*12</f>
        <v/>
      </c>
      <c r="K39" s="33">
        <f>D39*35</f>
        <v/>
      </c>
      <c r="P39" s="33" t="n"/>
    </row>
    <row r="40">
      <c r="A40" s="134" t="n"/>
      <c r="B40" s="109" t="inlineStr">
        <is>
          <t>DX-V-060-043</t>
        </is>
      </c>
      <c r="C40" s="132" t="n">
        <v>0.3</v>
      </c>
      <c r="D40" s="1">
        <f>C40*9</f>
        <v/>
      </c>
      <c r="G40" s="33" t="n"/>
      <c r="H40" s="33" t="n"/>
      <c r="I40" s="33">
        <f>D40*12</f>
        <v/>
      </c>
      <c r="K40" s="33">
        <f>D40*35</f>
        <v/>
      </c>
      <c r="P40" s="33" t="n"/>
    </row>
    <row r="41">
      <c r="A41" s="134" t="n"/>
      <c r="B41" s="109" t="inlineStr">
        <is>
          <t>DX-V-060-044</t>
        </is>
      </c>
      <c r="C41" s="132" t="n">
        <v>0.3</v>
      </c>
      <c r="D41" s="1">
        <f>C41*9</f>
        <v/>
      </c>
      <c r="G41" s="33" t="n"/>
      <c r="H41" s="33" t="n"/>
      <c r="I41" s="33">
        <f>D41*12</f>
        <v/>
      </c>
      <c r="K41" s="33">
        <f>D41*35</f>
        <v/>
      </c>
      <c r="P41" s="33" t="n"/>
    </row>
    <row r="42">
      <c r="A42" s="134" t="n"/>
      <c r="B42" s="109" t="inlineStr">
        <is>
          <t>DX-V-083-004</t>
        </is>
      </c>
      <c r="C42" s="132" t="n">
        <v>0.3</v>
      </c>
      <c r="D42" s="1">
        <f>C42*9</f>
        <v/>
      </c>
      <c r="G42" s="33" t="n"/>
      <c r="H42" s="33">
        <f>D42*15</f>
        <v/>
      </c>
      <c r="I42" s="33" t="n"/>
      <c r="K42" s="33">
        <f>D42*35</f>
        <v/>
      </c>
      <c r="P42" s="33" t="n"/>
    </row>
    <row r="43">
      <c r="B43" s="109" t="n"/>
      <c r="C43" s="80" t="n"/>
      <c r="F43" s="33" t="n"/>
      <c r="I43" s="33" t="n"/>
      <c r="K43" s="33" t="n"/>
    </row>
    <row r="44" ht="25" customHeight="1">
      <c r="A44" s="115" t="n"/>
      <c r="B44" s="129" t="inlineStr">
        <is>
          <t>2D</t>
        </is>
      </c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</row>
    <row r="45">
      <c r="A45" s="130" t="n"/>
      <c r="B45" s="109" t="n"/>
      <c r="C45" s="80" t="n">
        <v>0</v>
      </c>
      <c r="D45" s="1">
        <f>C45*9</f>
        <v/>
      </c>
      <c r="F45" s="33" t="n"/>
      <c r="G45" s="33" t="n"/>
      <c r="H45" s="33" t="n"/>
      <c r="I45" s="33" t="n"/>
      <c r="K45" s="33">
        <f>D45*35</f>
        <v/>
      </c>
    </row>
    <row r="46">
      <c r="A46" s="130" t="n"/>
      <c r="B46" s="109" t="n"/>
      <c r="C46" s="80" t="n"/>
      <c r="G46" s="33" t="n"/>
      <c r="H46" s="33" t="n"/>
      <c r="K46" s="33" t="n"/>
      <c r="R46" s="4" t="n"/>
      <c r="S46" s="4" t="n"/>
    </row>
    <row r="47" ht="21" customHeight="1">
      <c r="A47" s="120" t="n"/>
      <c r="B47" s="109" t="n"/>
      <c r="C47" s="80" t="n"/>
      <c r="E47" s="135" t="inlineStr">
        <is>
          <t xml:space="preserve"> </t>
        </is>
      </c>
      <c r="G47" s="33" t="n"/>
      <c r="H47" s="33" t="n"/>
      <c r="I47" s="33" t="n"/>
      <c r="K47" s="33" t="n"/>
      <c r="R47" s="4" t="n"/>
      <c r="S47" s="4" t="n"/>
    </row>
    <row r="48" ht="25" customHeight="1">
      <c r="A48" s="129" t="inlineStr">
        <is>
          <t>DD</t>
        </is>
      </c>
      <c r="B48" s="129" t="inlineStr">
        <is>
          <t>MGX</t>
        </is>
      </c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</row>
    <row r="49">
      <c r="A49" s="136" t="n"/>
      <c r="B49" s="109" t="inlineStr">
        <is>
          <t>DD-V-137-039</t>
        </is>
      </c>
      <c r="C49" s="132" t="n">
        <v>0.5</v>
      </c>
      <c r="D49" s="1">
        <f>C49*9</f>
        <v/>
      </c>
      <c r="F49" s="33">
        <f>D49*15</f>
        <v/>
      </c>
      <c r="G49" s="33" t="n"/>
      <c r="H49" s="33" t="n"/>
      <c r="I49" s="33" t="n"/>
      <c r="K49" s="33">
        <f>D49*35</f>
        <v/>
      </c>
    </row>
    <row r="50">
      <c r="A50" s="136" t="n"/>
      <c r="B50" s="109" t="inlineStr">
        <is>
          <t>DD-V-202-001</t>
        </is>
      </c>
      <c r="C50" s="132" t="n">
        <v>0.5</v>
      </c>
      <c r="D50" s="1">
        <f>C50*9</f>
        <v/>
      </c>
      <c r="F50" s="33">
        <f>D50*15</f>
        <v/>
      </c>
      <c r="G50" s="33" t="n"/>
      <c r="H50" s="33" t="n"/>
      <c r="I50" s="33" t="n"/>
      <c r="K50" s="33">
        <f>D50*35</f>
        <v/>
      </c>
    </row>
    <row r="51">
      <c r="A51" s="136" t="n"/>
      <c r="B51" s="109" t="inlineStr">
        <is>
          <t>DD-V-045-002</t>
        </is>
      </c>
      <c r="C51" s="132" t="n">
        <v>0.5</v>
      </c>
      <c r="D51" s="1">
        <f>C51*9</f>
        <v/>
      </c>
      <c r="F51" s="33" t="n"/>
      <c r="G51" s="33" t="n"/>
      <c r="H51" s="33" t="n"/>
      <c r="I51" s="33">
        <f>D51*12</f>
        <v/>
      </c>
      <c r="K51" s="33">
        <f>D51*35</f>
        <v/>
      </c>
    </row>
    <row r="52">
      <c r="A52" s="136" t="n"/>
      <c r="B52" s="109" t="inlineStr">
        <is>
          <t>DD-V-078-001</t>
        </is>
      </c>
      <c r="C52" s="132" t="n">
        <v>0.5</v>
      </c>
      <c r="D52" s="1">
        <f>C52*9</f>
        <v/>
      </c>
      <c r="F52" s="33" t="n"/>
      <c r="G52" s="33" t="n"/>
      <c r="H52" s="33">
        <f>D52*15</f>
        <v/>
      </c>
      <c r="I52" s="33" t="n"/>
      <c r="K52" s="33">
        <f>D52*35</f>
        <v/>
      </c>
    </row>
    <row r="53">
      <c r="A53" s="130" t="n"/>
      <c r="B53" s="109" t="n"/>
      <c r="C53" s="80" t="n"/>
      <c r="F53" s="33" t="n"/>
      <c r="G53" s="33" t="n"/>
      <c r="H53" s="33" t="n"/>
      <c r="I53" s="33" t="n"/>
      <c r="K53" s="33" t="n"/>
    </row>
    <row r="54">
      <c r="A54" s="130" t="n"/>
      <c r="B54" s="109" t="n"/>
      <c r="C54" s="80" t="n"/>
      <c r="F54" s="33" t="n"/>
      <c r="G54" s="33" t="n"/>
      <c r="H54" s="33" t="n"/>
      <c r="I54" s="33" t="n"/>
      <c r="K54" s="33" t="n"/>
    </row>
    <row r="55" ht="25" customHeight="1">
      <c r="A55" s="115" t="n"/>
      <c r="B55" s="129" t="inlineStr">
        <is>
          <t>2D</t>
        </is>
      </c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</row>
    <row r="56">
      <c r="B56" s="109" t="n"/>
      <c r="C56" s="80" t="n">
        <v>0</v>
      </c>
      <c r="D56" s="1">
        <f>C56*9</f>
        <v/>
      </c>
      <c r="F56" s="33" t="n"/>
      <c r="G56" s="33" t="n"/>
      <c r="K56" s="33">
        <f>D56*35</f>
        <v/>
      </c>
      <c r="Q56" s="4" t="n"/>
      <c r="R56" s="4" t="n"/>
      <c r="S56" s="4" t="n"/>
    </row>
    <row r="57">
      <c r="B57" s="109" t="n"/>
      <c r="C57" s="80" t="n"/>
      <c r="F57" s="33" t="n"/>
      <c r="G57" s="33" t="n"/>
      <c r="K57" s="33" t="n"/>
      <c r="Q57" s="4" t="n"/>
      <c r="R57" s="4" t="n"/>
      <c r="S57" s="4" t="n"/>
    </row>
    <row r="58">
      <c r="B58" s="118" t="n"/>
      <c r="C58" s="80" t="n"/>
      <c r="F58" s="33" t="n"/>
      <c r="G58" s="33" t="n"/>
      <c r="K58" s="33" t="n"/>
      <c r="Q58" s="4" t="n"/>
      <c r="R58" s="4" t="n"/>
      <c r="S58" s="4" t="n"/>
    </row>
    <row r="59">
      <c r="Q59" s="4" t="n"/>
      <c r="R59" s="4" t="n"/>
      <c r="S59" s="4" t="n"/>
    </row>
    <row r="60">
      <c r="A60" s="122" t="inlineStr">
        <is>
          <t>total</t>
        </is>
      </c>
      <c r="B60" s="61" t="n"/>
      <c r="C60" s="11">
        <f>SUM(C6:C56)</f>
        <v/>
      </c>
      <c r="D60" s="11">
        <f>SUM(D6:D57)</f>
        <v/>
      </c>
      <c r="E60" s="62" t="n"/>
      <c r="F60" s="63">
        <f>SUM(F6:F54)</f>
        <v/>
      </c>
      <c r="G60" s="63">
        <f>SUM(G6:G59)</f>
        <v/>
      </c>
      <c r="H60" s="63">
        <f>SUM(H6:H54)</f>
        <v/>
      </c>
      <c r="I60" s="63">
        <f>SUM(I6:I54)</f>
        <v/>
      </c>
      <c r="J60" s="63">
        <f>SUM(F60:I60)</f>
        <v/>
      </c>
      <c r="K60" s="64">
        <f>SUM(K6:K59)</f>
        <v/>
      </c>
      <c r="L60" s="39" t="n"/>
      <c r="M60" s="29" t="inlineStr">
        <is>
          <t>UAH</t>
        </is>
      </c>
      <c r="N60" s="16" t="inlineStr">
        <is>
          <t>USD</t>
        </is>
      </c>
    </row>
    <row r="61">
      <c r="F61" s="116">
        <f>F60*40</f>
        <v/>
      </c>
      <c r="G61" s="116">
        <f>G60*40</f>
        <v/>
      </c>
      <c r="H61" s="116">
        <f>H60*40</f>
        <v/>
      </c>
      <c r="I61" s="116">
        <f>I60*40</f>
        <v/>
      </c>
      <c r="J61" s="116">
        <f>J60*40</f>
        <v/>
      </c>
      <c r="K61" s="116">
        <f>K60*40</f>
        <v/>
      </c>
      <c r="L61" s="5" t="inlineStr">
        <is>
          <t>CLIENT IN</t>
        </is>
      </c>
      <c r="M61" s="7">
        <f>N61*40</f>
        <v/>
      </c>
      <c r="N61" s="8">
        <f>K60</f>
        <v/>
      </c>
      <c r="S61" s="4" t="n"/>
    </row>
    <row r="62">
      <c r="G62" s="33" t="n"/>
      <c r="H62" s="127" t="n"/>
      <c r="I62" s="127" t="n"/>
      <c r="L62" s="5" t="inlineStr">
        <is>
          <t>STUDIO (TAX)</t>
        </is>
      </c>
      <c r="M62" s="7">
        <f>N62*40</f>
        <v/>
      </c>
      <c r="N62" s="8">
        <f>N61-N61*0.05</f>
        <v/>
      </c>
    </row>
    <row r="63">
      <c r="G63" s="33" t="n"/>
      <c r="J63" s="33" t="n"/>
      <c r="L63" s="5" t="inlineStr">
        <is>
          <t>EMPL</t>
        </is>
      </c>
      <c r="M63" s="7">
        <f>N63*40</f>
        <v/>
      </c>
      <c r="N63" s="8">
        <f>J60</f>
        <v/>
      </c>
    </row>
    <row r="64">
      <c r="B64" s="1" t="n"/>
      <c r="L64" s="37" t="inlineStr">
        <is>
          <t>STUDIO</t>
        </is>
      </c>
      <c r="M64" s="7">
        <f>N64*40</f>
        <v/>
      </c>
      <c r="N64" s="8">
        <f>N62-N63</f>
        <v/>
      </c>
    </row>
    <row r="65">
      <c r="B65" s="1" t="n"/>
    </row>
    <row r="66">
      <c r="B66" s="1" t="n"/>
    </row>
    <row r="67">
      <c r="B67" s="1" t="n"/>
    </row>
    <row r="68">
      <c r="B68" s="1" t="n"/>
    </row>
    <row r="69">
      <c r="B69" s="1" t="n"/>
    </row>
    <row r="70">
      <c r="B70" s="1" t="n"/>
    </row>
  </sheetData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3"/>
  <sheetViews>
    <sheetView zoomScaleNormal="100" workbookViewId="0">
      <pane ySplit="2" topLeftCell="A16" activePane="bottomLeft" state="frozen"/>
      <selection pane="bottomLeft" activeCell="G33" sqref="G33"/>
    </sheetView>
  </sheetViews>
  <sheetFormatPr baseColWidth="10" defaultRowHeight="16"/>
  <cols>
    <col width="12.1640625" customWidth="1" style="1" min="1" max="1"/>
    <col width="25.1640625" customWidth="1" style="2" min="2" max="2"/>
    <col width="10.83203125" customWidth="1" style="1" min="3" max="4"/>
    <col width="9.83203125" customWidth="1" style="1" min="5" max="5"/>
    <col width="10.33203125" customWidth="1" style="1" min="6" max="6"/>
    <col width="10.83203125" customWidth="1" style="1" min="7" max="9"/>
    <col width="11.1640625" customWidth="1" style="1" min="10" max="10"/>
    <col width="10.6640625" customWidth="1" style="1" min="11" max="11"/>
    <col width="19.5" customWidth="1" style="1" min="12" max="12"/>
    <col width="12.33203125" customWidth="1" style="1" min="13" max="13"/>
    <col width="14" bestFit="1" customWidth="1" style="1" min="14" max="14"/>
    <col width="12.5" bestFit="1" customWidth="1" style="1" min="15" max="15"/>
    <col width="13" customWidth="1" style="1" min="16" max="16"/>
    <col width="10.83203125" customWidth="1" style="1" min="17" max="16384"/>
  </cols>
  <sheetData>
    <row r="1">
      <c r="A1" s="11" t="n"/>
      <c r="B1" s="10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</row>
    <row r="2">
      <c r="B2" s="133" t="inlineStr">
        <is>
          <t>2024 OCTOBER</t>
        </is>
      </c>
      <c r="F2" s="41" t="inlineStr">
        <is>
          <t>Настя</t>
        </is>
      </c>
      <c r="G2" s="123" t="inlineStr">
        <is>
          <t>Маша</t>
        </is>
      </c>
      <c r="H2" s="38" t="inlineStr">
        <is>
          <t>Сергій</t>
        </is>
      </c>
      <c r="I2" s="113" t="inlineStr">
        <is>
          <t>Андрій</t>
        </is>
      </c>
    </row>
    <row r="3">
      <c r="F3" s="38" t="n"/>
      <c r="G3" s="38" t="n"/>
      <c r="H3" s="38" t="n"/>
      <c r="I3" s="38" t="n"/>
    </row>
    <row r="4" ht="21" customHeight="1">
      <c r="A4" s="120" t="inlineStr">
        <is>
          <t>DX</t>
        </is>
      </c>
    </row>
    <row r="5">
      <c r="A5" s="121" t="inlineStr">
        <is>
          <t>MGX</t>
        </is>
      </c>
      <c r="B5" s="23" t="inlineStr">
        <is>
          <t>October</t>
        </is>
      </c>
      <c r="C5" s="60" t="inlineStr">
        <is>
          <t>SHIFTS</t>
        </is>
      </c>
      <c r="D5" s="24" t="inlineStr">
        <is>
          <t>HOURS</t>
        </is>
      </c>
      <c r="E5" s="25" t="inlineStr">
        <is>
          <t>D.LINE</t>
        </is>
      </c>
      <c r="F5" s="102" t="inlineStr">
        <is>
          <t>EMPL 1</t>
        </is>
      </c>
      <c r="G5" s="114" t="inlineStr">
        <is>
          <t>EMPL 2</t>
        </is>
      </c>
      <c r="H5" s="114" t="inlineStr">
        <is>
          <t>EMPL 3</t>
        </is>
      </c>
      <c r="I5" s="102" t="inlineStr">
        <is>
          <t>EMPL 4</t>
        </is>
      </c>
      <c r="J5" s="31" t="inlineStr">
        <is>
          <t>Total EMPL</t>
        </is>
      </c>
      <c r="K5" s="39" t="inlineStr">
        <is>
          <t>STUDIO</t>
        </is>
      </c>
    </row>
    <row r="6">
      <c r="A6" s="94" t="n"/>
      <c r="B6" s="109" t="inlineStr">
        <is>
          <t>DX-V-041-005</t>
        </is>
      </c>
      <c r="C6" s="80" t="n">
        <v>0.3</v>
      </c>
      <c r="D6" s="1">
        <f>C6*9</f>
        <v/>
      </c>
      <c r="G6" s="33" t="n"/>
      <c r="H6" s="33" t="n"/>
      <c r="I6" s="33">
        <f>D6*12</f>
        <v/>
      </c>
      <c r="K6" s="8">
        <f>D6*35</f>
        <v/>
      </c>
      <c r="P6" s="33" t="n"/>
    </row>
    <row r="7">
      <c r="A7" s="94" t="n"/>
      <c r="B7" s="109" t="inlineStr">
        <is>
          <t>DX-V-028-013</t>
        </is>
      </c>
      <c r="C7" s="80" t="n">
        <v>0.3</v>
      </c>
      <c r="D7" s="1">
        <f>C7*9</f>
        <v/>
      </c>
      <c r="G7" s="33" t="n"/>
      <c r="H7" s="33" t="n"/>
      <c r="I7" s="33">
        <f>D7*12</f>
        <v/>
      </c>
      <c r="K7" s="8">
        <f>D7*35</f>
        <v/>
      </c>
      <c r="P7" s="33" t="n"/>
    </row>
    <row r="8">
      <c r="A8" s="94" t="n"/>
      <c r="B8" s="109" t="inlineStr">
        <is>
          <t>DX-V-032-001</t>
        </is>
      </c>
      <c r="C8" s="80" t="n">
        <v>0.3</v>
      </c>
      <c r="D8" s="1">
        <f>C8*9</f>
        <v/>
      </c>
      <c r="G8" s="33" t="n"/>
      <c r="H8" s="33">
        <f>D8*15</f>
        <v/>
      </c>
      <c r="I8" s="33" t="n"/>
      <c r="K8" s="8">
        <f>D8*35</f>
        <v/>
      </c>
    </row>
    <row r="9">
      <c r="A9" s="94" t="n"/>
      <c r="B9" s="109" t="inlineStr">
        <is>
          <t>DX-V-015-013</t>
        </is>
      </c>
      <c r="C9" s="80" t="n">
        <v>0.3</v>
      </c>
      <c r="D9" s="1">
        <f>C9*9</f>
        <v/>
      </c>
      <c r="H9" s="33">
        <f>D9*15</f>
        <v/>
      </c>
      <c r="K9" s="8">
        <f>D9*35</f>
        <v/>
      </c>
      <c r="R9" s="4" t="n"/>
      <c r="S9" s="4" t="n"/>
    </row>
    <row r="10">
      <c r="A10" s="94" t="n"/>
      <c r="B10" s="109" t="inlineStr">
        <is>
          <t>DX-V-026-008</t>
        </is>
      </c>
      <c r="C10" s="80" t="n">
        <v>1</v>
      </c>
      <c r="D10" s="1">
        <f>C10*9</f>
        <v/>
      </c>
      <c r="F10" s="33" t="n"/>
      <c r="G10" s="33" t="n"/>
      <c r="H10" s="33" t="n"/>
      <c r="I10" s="33">
        <f>D10*12</f>
        <v/>
      </c>
      <c r="K10" s="8">
        <f>D10*35</f>
        <v/>
      </c>
      <c r="L10" s="8" t="n"/>
      <c r="M10" s="7" t="n"/>
      <c r="O10" s="4" t="n"/>
    </row>
    <row r="11">
      <c r="A11" s="94" t="n"/>
      <c r="B11" s="109" t="inlineStr">
        <is>
          <t>DX-V-083-001</t>
        </is>
      </c>
      <c r="C11" s="80" t="n">
        <v>0.5</v>
      </c>
      <c r="D11" s="1">
        <f>C11*9</f>
        <v/>
      </c>
      <c r="F11" s="33" t="n"/>
      <c r="G11" s="33" t="n"/>
      <c r="H11" s="33">
        <f>D11*15</f>
        <v/>
      </c>
      <c r="I11" s="33" t="n"/>
      <c r="K11" s="8">
        <f>D11*35</f>
        <v/>
      </c>
    </row>
    <row r="12">
      <c r="A12" s="94" t="n"/>
      <c r="B12" s="109" t="inlineStr">
        <is>
          <t>DX-V-060-012</t>
        </is>
      </c>
      <c r="C12" s="80" t="n">
        <v>0.3</v>
      </c>
      <c r="D12" s="1">
        <f>C12*9</f>
        <v/>
      </c>
      <c r="F12" s="33" t="n"/>
      <c r="G12" s="33" t="n"/>
      <c r="H12" s="33" t="n"/>
      <c r="I12" s="33">
        <f>D12*12</f>
        <v/>
      </c>
      <c r="K12" s="8">
        <f>D12*35</f>
        <v/>
      </c>
    </row>
    <row r="13">
      <c r="A13" s="94" t="n"/>
      <c r="B13" s="109" t="inlineStr">
        <is>
          <t>DX-V-050-006</t>
        </is>
      </c>
      <c r="C13" s="80" t="n">
        <v>0.3</v>
      </c>
      <c r="D13" s="1">
        <f>C13*9</f>
        <v/>
      </c>
      <c r="F13" s="33" t="n"/>
      <c r="G13" s="33" t="n"/>
      <c r="H13" s="33">
        <f>D13*15</f>
        <v/>
      </c>
      <c r="I13" s="33" t="n"/>
      <c r="K13" s="8">
        <f>D13*35</f>
        <v/>
      </c>
    </row>
    <row r="14">
      <c r="A14" s="94" t="n"/>
      <c r="B14" s="109" t="inlineStr">
        <is>
          <t>DX-V-050-009</t>
        </is>
      </c>
      <c r="C14" s="80" t="n">
        <v>0.6</v>
      </c>
      <c r="D14" s="1">
        <f>C14*9</f>
        <v/>
      </c>
      <c r="F14" s="33">
        <f>D14*15</f>
        <v/>
      </c>
      <c r="G14" s="33" t="n"/>
      <c r="H14" s="33" t="n"/>
      <c r="I14" s="33" t="n"/>
      <c r="K14" s="8">
        <f>D14*35</f>
        <v/>
      </c>
    </row>
    <row r="15">
      <c r="A15" s="94" t="n"/>
      <c r="B15" s="109" t="inlineStr">
        <is>
          <t>DX-V-050-010</t>
        </is>
      </c>
      <c r="C15" s="80" t="n">
        <v>0.3</v>
      </c>
      <c r="D15" s="1">
        <f>C15*9</f>
        <v/>
      </c>
      <c r="F15" s="33">
        <f>D15*15</f>
        <v/>
      </c>
      <c r="G15" s="33" t="n"/>
      <c r="H15" s="33" t="n"/>
      <c r="I15" s="33" t="n"/>
      <c r="K15" s="8">
        <f>D15*35</f>
        <v/>
      </c>
    </row>
    <row r="16">
      <c r="A16" s="94" t="n"/>
      <c r="B16" s="109" t="inlineStr">
        <is>
          <t>DX-V-050-011</t>
        </is>
      </c>
      <c r="C16" s="80" t="n">
        <v>0.5</v>
      </c>
      <c r="D16" s="1">
        <f>C16*9</f>
        <v/>
      </c>
      <c r="F16" s="33" t="n"/>
      <c r="G16" s="33" t="n"/>
      <c r="H16" s="33">
        <f>D16*15</f>
        <v/>
      </c>
      <c r="I16" s="33" t="n"/>
      <c r="K16" s="8">
        <f>D16*35</f>
        <v/>
      </c>
      <c r="P16" s="33" t="n"/>
    </row>
    <row r="17">
      <c r="A17" s="94" t="n"/>
      <c r="B17" s="109" t="inlineStr">
        <is>
          <t>DX-V-033-012</t>
        </is>
      </c>
      <c r="C17" s="80" t="n">
        <v>0.3</v>
      </c>
      <c r="D17" s="1">
        <f>C17*9</f>
        <v/>
      </c>
      <c r="F17" s="33" t="n"/>
      <c r="G17" s="33" t="n"/>
      <c r="H17" s="33" t="n"/>
      <c r="I17" s="33">
        <f>D17*12</f>
        <v/>
      </c>
      <c r="K17" s="8">
        <f>D17*35</f>
        <v/>
      </c>
      <c r="P17" s="33" t="n"/>
    </row>
    <row r="18">
      <c r="A18" s="94" t="n"/>
      <c r="B18" s="109" t="inlineStr">
        <is>
          <t>DX-V-033-013</t>
        </is>
      </c>
      <c r="C18" s="80" t="n">
        <v>0.3</v>
      </c>
      <c r="D18" s="1">
        <f>C18*9</f>
        <v/>
      </c>
      <c r="F18" s="33" t="n"/>
      <c r="G18" s="33" t="n"/>
      <c r="H18" s="33" t="n"/>
      <c r="I18" s="33">
        <f>D18*12</f>
        <v/>
      </c>
      <c r="K18" s="8">
        <f>D18*35</f>
        <v/>
      </c>
      <c r="P18" s="33" t="n"/>
    </row>
    <row r="19">
      <c r="A19" s="94" t="n"/>
      <c r="B19" s="109" t="inlineStr">
        <is>
          <t>DX-V-015-023</t>
        </is>
      </c>
      <c r="C19" s="80" t="n">
        <v>0.3</v>
      </c>
      <c r="D19" s="1">
        <f>C19*9</f>
        <v/>
      </c>
      <c r="F19" s="33" t="n"/>
      <c r="G19" s="33" t="n"/>
      <c r="H19" s="33">
        <f>D19*15</f>
        <v/>
      </c>
      <c r="I19" s="33" t="n"/>
      <c r="K19" s="8">
        <f>D19*35</f>
        <v/>
      </c>
    </row>
    <row r="20">
      <c r="A20" s="94" t="n"/>
      <c r="B20" s="109" t="inlineStr">
        <is>
          <t>DX-V-015-024</t>
        </is>
      </c>
      <c r="C20" s="80" t="n">
        <v>0.3</v>
      </c>
      <c r="D20" s="1">
        <f>C20*9</f>
        <v/>
      </c>
      <c r="F20" s="33" t="n"/>
      <c r="G20" s="33" t="n"/>
      <c r="H20" s="33">
        <f>D20*15</f>
        <v/>
      </c>
      <c r="I20" s="33" t="n"/>
      <c r="K20" s="8">
        <f>D20*35</f>
        <v/>
      </c>
      <c r="P20" s="33" t="n"/>
    </row>
    <row r="21">
      <c r="A21" s="94" t="n"/>
      <c r="B21" s="109" t="inlineStr">
        <is>
          <t>DX-V-060-025</t>
        </is>
      </c>
      <c r="C21" s="80" t="n">
        <v>0.5</v>
      </c>
      <c r="D21" s="1">
        <f>C21*9</f>
        <v/>
      </c>
      <c r="F21" s="33" t="n"/>
      <c r="G21" s="33" t="n"/>
      <c r="H21" s="33">
        <f>D21*15</f>
        <v/>
      </c>
      <c r="I21" s="33" t="n"/>
      <c r="K21" s="8">
        <f>D21*35</f>
        <v/>
      </c>
    </row>
    <row r="22">
      <c r="A22" s="94" t="n"/>
      <c r="B22" s="109" t="inlineStr">
        <is>
          <t>DX-V-032-009</t>
        </is>
      </c>
      <c r="C22" s="80" t="n">
        <v>0.3</v>
      </c>
      <c r="D22" s="1">
        <f>C22*9</f>
        <v/>
      </c>
      <c r="F22" s="33" t="n"/>
      <c r="G22" s="33" t="n"/>
      <c r="H22" s="33" t="n"/>
      <c r="I22" s="33">
        <f>D22*12</f>
        <v/>
      </c>
      <c r="K22" s="8">
        <f>D22*35</f>
        <v/>
      </c>
    </row>
    <row r="23">
      <c r="A23" s="94" t="n"/>
      <c r="B23" s="109" t="inlineStr">
        <is>
          <t>DX-V-031-002</t>
        </is>
      </c>
      <c r="C23" s="80" t="n">
        <v>0.3</v>
      </c>
      <c r="D23" s="1">
        <f>C23*9</f>
        <v/>
      </c>
      <c r="F23" s="33" t="n"/>
      <c r="G23" s="33" t="n"/>
      <c r="H23" s="33" t="n"/>
      <c r="I23" s="33">
        <f>D23*12</f>
        <v/>
      </c>
      <c r="K23" s="8">
        <f>D23*35</f>
        <v/>
      </c>
    </row>
    <row r="24">
      <c r="A24" s="94" t="n"/>
      <c r="B24" s="109" t="inlineStr">
        <is>
          <t>DX-V-050-007</t>
        </is>
      </c>
      <c r="C24" s="80" t="n">
        <v>0.6</v>
      </c>
      <c r="D24" s="1">
        <f>C24*9</f>
        <v/>
      </c>
      <c r="F24" s="33" t="n"/>
      <c r="G24" s="33" t="n"/>
      <c r="H24" s="33" t="n"/>
      <c r="I24" s="33">
        <f>D24*12</f>
        <v/>
      </c>
      <c r="K24" s="8">
        <f>D24*35</f>
        <v/>
      </c>
    </row>
    <row r="25">
      <c r="A25" s="94" t="n"/>
      <c r="B25" s="109" t="inlineStr">
        <is>
          <t>DX-V-060-014</t>
        </is>
      </c>
      <c r="C25" s="80" t="n">
        <v>0.5</v>
      </c>
      <c r="D25" s="1">
        <f>C25*9</f>
        <v/>
      </c>
      <c r="F25" s="33">
        <f>D25*15</f>
        <v/>
      </c>
      <c r="G25" s="33" t="n"/>
      <c r="H25" s="33" t="n"/>
      <c r="I25" s="33" t="n"/>
      <c r="K25" s="8">
        <f>D25*35</f>
        <v/>
      </c>
    </row>
    <row r="26">
      <c r="A26" s="94" t="n"/>
      <c r="B26" s="109" t="inlineStr">
        <is>
          <t>DX-V-060-020</t>
        </is>
      </c>
      <c r="C26" s="80" t="n">
        <v>0.3</v>
      </c>
      <c r="D26" s="1">
        <f>C26*9</f>
        <v/>
      </c>
      <c r="F26" s="33" t="n"/>
      <c r="G26" s="33" t="n"/>
      <c r="H26" s="33">
        <f>D26*15</f>
        <v/>
      </c>
      <c r="I26" s="33" t="n"/>
      <c r="K26" s="8">
        <f>D26*35</f>
        <v/>
      </c>
      <c r="L26" s="32" t="n"/>
    </row>
    <row r="27">
      <c r="A27" s="94" t="n"/>
      <c r="B27" s="109" t="inlineStr">
        <is>
          <t>DX-V-060-027</t>
        </is>
      </c>
      <c r="C27" s="80" t="n">
        <v>0.3</v>
      </c>
      <c r="D27" s="1">
        <f>C27*9</f>
        <v/>
      </c>
      <c r="F27" s="33">
        <f>D27*15</f>
        <v/>
      </c>
      <c r="G27" s="33" t="n"/>
      <c r="H27" s="33" t="n"/>
      <c r="I27" s="33" t="n"/>
      <c r="K27" s="8">
        <f>D27*35</f>
        <v/>
      </c>
      <c r="L27" s="32" t="n"/>
    </row>
    <row r="28">
      <c r="B28" s="109" t="n"/>
      <c r="C28" s="80" t="n"/>
      <c r="F28" s="33" t="n"/>
      <c r="I28" s="33" t="n"/>
      <c r="K28" s="33" t="n"/>
    </row>
    <row r="29">
      <c r="A29" s="121" t="inlineStr">
        <is>
          <t>2D</t>
        </is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</row>
    <row r="30">
      <c r="A30" s="124" t="n"/>
      <c r="B30" s="109" t="inlineStr">
        <is>
          <t>DX-B-006-006</t>
        </is>
      </c>
      <c r="C30" s="80" t="n">
        <v>0.3</v>
      </c>
      <c r="D30" s="1">
        <f>C30*9</f>
        <v/>
      </c>
      <c r="F30" s="33">
        <f>D30*15</f>
        <v/>
      </c>
      <c r="G30" s="33" t="n"/>
      <c r="H30" s="33" t="n"/>
      <c r="I30" s="33" t="n"/>
      <c r="K30" s="8">
        <f>D30*35</f>
        <v/>
      </c>
    </row>
    <row r="31">
      <c r="A31" s="124" t="n"/>
      <c r="B31" s="109" t="inlineStr">
        <is>
          <t>DX-B-057-001</t>
        </is>
      </c>
      <c r="C31" s="80" t="n">
        <v>1</v>
      </c>
      <c r="D31" s="1">
        <f>C31*9</f>
        <v/>
      </c>
      <c r="F31" s="33">
        <f>D31*15</f>
        <v/>
      </c>
      <c r="G31" s="33" t="n"/>
      <c r="H31" s="33" t="n"/>
      <c r="I31" s="33" t="n"/>
      <c r="K31" s="8">
        <f>D31*35</f>
        <v/>
      </c>
    </row>
    <row r="32">
      <c r="A32" s="124" t="n"/>
      <c r="B32" s="109" t="inlineStr">
        <is>
          <t>DX-B-041-003</t>
        </is>
      </c>
      <c r="C32" s="80" t="n">
        <v>0.5</v>
      </c>
      <c r="D32" s="1">
        <f>C32*9</f>
        <v/>
      </c>
      <c r="G32" s="33">
        <f>D32*10</f>
        <v/>
      </c>
      <c r="H32" s="33" t="n"/>
      <c r="I32" s="33" t="n"/>
      <c r="K32" s="8">
        <f>D32*35</f>
        <v/>
      </c>
    </row>
    <row r="33">
      <c r="A33" s="124" t="n"/>
      <c r="B33" s="109" t="inlineStr">
        <is>
          <t>DX-B-041-004</t>
        </is>
      </c>
      <c r="C33" s="80" t="n">
        <v>0.5</v>
      </c>
      <c r="D33" s="1">
        <f>C33*9</f>
        <v/>
      </c>
      <c r="G33" s="33">
        <f>D33*10</f>
        <v/>
      </c>
      <c r="H33" s="33" t="n"/>
      <c r="K33" s="8">
        <f>D33*35</f>
        <v/>
      </c>
    </row>
    <row r="34">
      <c r="A34" s="109" t="n"/>
      <c r="B34" s="109">
        <f>SUM(D6:D33)</f>
        <v/>
      </c>
      <c r="C34" s="80" t="n"/>
      <c r="G34" s="33" t="n"/>
      <c r="H34" s="33" t="n"/>
      <c r="K34" s="33" t="n"/>
      <c r="R34" s="4" t="n"/>
      <c r="S34" s="4" t="n"/>
    </row>
    <row r="35">
      <c r="A35" s="109" t="n"/>
      <c r="B35" s="109" t="n"/>
      <c r="C35" s="80" t="n"/>
      <c r="G35" s="33" t="n"/>
      <c r="H35" s="33" t="n"/>
      <c r="K35" s="33" t="n"/>
      <c r="R35" s="4" t="n"/>
      <c r="S35" s="4" t="n"/>
    </row>
    <row r="36" ht="21" customHeight="1">
      <c r="A36" s="120" t="inlineStr">
        <is>
          <t>DD</t>
        </is>
      </c>
      <c r="B36" s="109" t="n"/>
      <c r="C36" s="80" t="n"/>
      <c r="G36" s="33" t="n"/>
      <c r="H36" s="33" t="n"/>
      <c r="I36" s="33" t="n"/>
      <c r="K36" s="33" t="n"/>
      <c r="R36" s="4" t="n"/>
      <c r="S36" s="4" t="n"/>
    </row>
    <row r="37">
      <c r="A37" s="121" t="inlineStr">
        <is>
          <t>MGX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</row>
    <row r="38">
      <c r="A38" s="125" t="n"/>
      <c r="B38" s="109" t="inlineStr">
        <is>
          <t>DD-V-247-001</t>
        </is>
      </c>
      <c r="C38" s="80" t="n">
        <v>1</v>
      </c>
      <c r="D38" s="1">
        <f>C38*9</f>
        <v/>
      </c>
      <c r="F38" s="33" t="n"/>
      <c r="G38" s="33" t="n"/>
      <c r="H38" s="33">
        <f>D38*15</f>
        <v/>
      </c>
      <c r="I38" s="33" t="n"/>
      <c r="K38" s="8">
        <f>D38*35</f>
        <v/>
      </c>
    </row>
    <row r="39">
      <c r="A39" s="125" t="n"/>
      <c r="B39" s="109" t="inlineStr">
        <is>
          <t>DD-V-235-001</t>
        </is>
      </c>
      <c r="C39" s="80" t="n">
        <v>1</v>
      </c>
      <c r="D39" s="1">
        <f>C39*9</f>
        <v/>
      </c>
      <c r="F39" s="33" t="n"/>
      <c r="G39" s="33" t="n"/>
      <c r="H39" s="33" t="n"/>
      <c r="I39" s="33">
        <f>D39*12</f>
        <v/>
      </c>
      <c r="K39" s="8">
        <f>D39*35</f>
        <v/>
      </c>
    </row>
    <row r="40">
      <c r="A40" s="126" t="n"/>
      <c r="B40" s="109" t="inlineStr">
        <is>
          <t>DD-V-137-023</t>
        </is>
      </c>
      <c r="C40" s="80" t="n">
        <v>0.5</v>
      </c>
      <c r="D40" s="1">
        <f>C40*9</f>
        <v/>
      </c>
      <c r="F40" s="33" t="n"/>
      <c r="G40" s="33" t="n"/>
      <c r="H40" s="33">
        <f>D40*15</f>
        <v/>
      </c>
      <c r="I40" s="33" t="n"/>
      <c r="K40" s="8">
        <f>D40*35</f>
        <v/>
      </c>
    </row>
    <row r="41">
      <c r="A41" s="126" t="n"/>
      <c r="B41" s="109" t="inlineStr">
        <is>
          <t>DD-V-045-002</t>
        </is>
      </c>
      <c r="C41" s="80" t="n">
        <v>0.5</v>
      </c>
      <c r="D41" s="1">
        <f>C41*9</f>
        <v/>
      </c>
      <c r="F41" s="33" t="n"/>
      <c r="G41" s="33" t="n"/>
      <c r="H41" s="33">
        <f>D41*15</f>
        <v/>
      </c>
      <c r="I41" s="33" t="n"/>
      <c r="K41" s="8">
        <f>D41*35</f>
        <v/>
      </c>
    </row>
    <row r="42">
      <c r="A42" s="126" t="n"/>
      <c r="B42" s="109" t="inlineStr">
        <is>
          <t>DD-V-205-002</t>
        </is>
      </c>
      <c r="C42" s="80" t="n">
        <v>0.3</v>
      </c>
      <c r="D42" s="1">
        <f>C42*9</f>
        <v/>
      </c>
      <c r="F42" s="33">
        <f>D42*15</f>
        <v/>
      </c>
      <c r="G42" s="33" t="n"/>
      <c r="H42" s="33" t="n"/>
      <c r="I42" s="33" t="n"/>
      <c r="K42" s="8">
        <f>D42*35</f>
        <v/>
      </c>
      <c r="N42" s="128" t="n"/>
    </row>
    <row r="43">
      <c r="A43" s="126" t="n"/>
      <c r="B43" s="109" t="inlineStr">
        <is>
          <t>DD-V-219-002</t>
        </is>
      </c>
      <c r="C43" s="80" t="n">
        <v>0.3</v>
      </c>
      <c r="D43" s="1">
        <f>C43*9</f>
        <v/>
      </c>
      <c r="F43" s="33">
        <f>D43*15</f>
        <v/>
      </c>
      <c r="G43" s="33" t="n"/>
      <c r="H43" s="33" t="n"/>
      <c r="I43" s="33" t="n"/>
      <c r="K43" s="8">
        <f>D43*35</f>
        <v/>
      </c>
    </row>
    <row r="44">
      <c r="A44" s="126" t="n"/>
      <c r="B44" s="109" t="inlineStr">
        <is>
          <t>DD-V-049-004</t>
        </is>
      </c>
      <c r="C44" s="80" t="n">
        <v>2</v>
      </c>
      <c r="D44" s="1">
        <f>C44*9</f>
        <v/>
      </c>
      <c r="F44" s="33" t="n"/>
      <c r="G44" s="33" t="n"/>
      <c r="H44" s="33">
        <f>D44*15</f>
        <v/>
      </c>
      <c r="I44" s="33" t="n"/>
      <c r="K44" s="8">
        <f>D44*35</f>
        <v/>
      </c>
    </row>
    <row r="45">
      <c r="A45" s="126" t="n"/>
      <c r="B45" s="109" t="inlineStr">
        <is>
          <t>DD-V-116-003</t>
        </is>
      </c>
      <c r="C45" s="80" t="n">
        <v>3.5</v>
      </c>
      <c r="D45" s="1">
        <f>C45*9</f>
        <v/>
      </c>
      <c r="F45" s="33" t="n"/>
      <c r="G45" s="33" t="n"/>
      <c r="H45" s="33" t="n"/>
      <c r="I45" s="33">
        <f>D45*12</f>
        <v/>
      </c>
      <c r="K45" s="8">
        <f>D45*35</f>
        <v/>
      </c>
    </row>
    <row r="46">
      <c r="A46" s="126" t="n"/>
      <c r="B46" s="109" t="inlineStr">
        <is>
          <t>DD-V-205-001</t>
        </is>
      </c>
      <c r="C46" s="80" t="n">
        <v>0.5</v>
      </c>
      <c r="D46" s="1">
        <f>C46*9</f>
        <v/>
      </c>
      <c r="F46" s="33" t="n"/>
      <c r="G46" s="33" t="n"/>
      <c r="H46" s="33">
        <f>D46*15</f>
        <v/>
      </c>
      <c r="I46" s="33" t="n"/>
      <c r="K46" s="8">
        <f>D46*35</f>
        <v/>
      </c>
    </row>
    <row r="47">
      <c r="A47" s="109" t="n"/>
      <c r="B47" s="1" t="n"/>
      <c r="C47" s="80" t="n"/>
      <c r="F47" s="33" t="n"/>
      <c r="G47" s="33" t="n"/>
      <c r="H47" s="33" t="n"/>
      <c r="I47" s="33" t="n"/>
      <c r="K47" s="33" t="n"/>
    </row>
    <row r="48">
      <c r="A48" s="121" t="inlineStr">
        <is>
          <t>2D</t>
        </is>
      </c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</row>
    <row r="49">
      <c r="A49" s="94" t="n"/>
      <c r="B49" s="109" t="inlineStr">
        <is>
          <t>DD-LO-038-001</t>
        </is>
      </c>
      <c r="C49" s="80" t="n">
        <v>0.5</v>
      </c>
      <c r="D49" s="1">
        <f>C49*9</f>
        <v/>
      </c>
      <c r="F49" s="33">
        <f>D49*15</f>
        <v/>
      </c>
      <c r="G49" s="33" t="n"/>
      <c r="K49" s="8">
        <f>D49*35</f>
        <v/>
      </c>
      <c r="Q49" s="4" t="n"/>
      <c r="R49" s="4" t="n"/>
      <c r="S49" s="4" t="n"/>
    </row>
    <row r="50">
      <c r="B50" s="109">
        <f>SUM(D38:D50)</f>
        <v/>
      </c>
      <c r="C50" s="80" t="n"/>
      <c r="F50" s="33" t="n"/>
      <c r="G50" s="33" t="n"/>
      <c r="K50" s="33" t="n"/>
      <c r="Q50" s="4" t="n"/>
      <c r="R50" s="4" t="n"/>
      <c r="S50" s="4" t="n"/>
    </row>
    <row r="51">
      <c r="B51" s="118" t="n"/>
      <c r="C51" s="80" t="n"/>
      <c r="F51" s="33" t="n"/>
      <c r="G51" s="33" t="n"/>
      <c r="K51" s="33" t="n"/>
      <c r="Q51" s="4" t="n"/>
      <c r="R51" s="4" t="n"/>
      <c r="S51" s="4" t="n"/>
    </row>
    <row r="52">
      <c r="Q52" s="4" t="n"/>
      <c r="R52" s="4" t="n"/>
      <c r="S52" s="4" t="n"/>
    </row>
    <row r="53">
      <c r="A53" s="122" t="inlineStr">
        <is>
          <t>total</t>
        </is>
      </c>
      <c r="B53" s="61" t="n"/>
      <c r="C53" s="11">
        <f>SUM(C6:C49)</f>
        <v/>
      </c>
      <c r="D53" s="11">
        <f>SUM(D6:D50)</f>
        <v/>
      </c>
      <c r="E53" s="62" t="n"/>
      <c r="F53" s="63">
        <f>SUM(F6:F47)</f>
        <v/>
      </c>
      <c r="G53" s="63">
        <f>SUM(G6:G52)</f>
        <v/>
      </c>
      <c r="H53" s="63">
        <f>SUM(H6:H47)</f>
        <v/>
      </c>
      <c r="I53" s="63">
        <f>SUM(I6:I47)</f>
        <v/>
      </c>
      <c r="J53" s="63">
        <f>SUM(F53:I53)</f>
        <v/>
      </c>
      <c r="K53" s="64">
        <f>SUM(K6:K52)</f>
        <v/>
      </c>
      <c r="L53" s="39" t="n"/>
      <c r="M53" s="29" t="inlineStr">
        <is>
          <t>UAH</t>
        </is>
      </c>
      <c r="N53" s="16" t="inlineStr">
        <is>
          <t>USD</t>
        </is>
      </c>
    </row>
    <row r="54">
      <c r="F54" s="126">
        <f>F53*40</f>
        <v/>
      </c>
      <c r="G54" s="126">
        <f>G53*40</f>
        <v/>
      </c>
      <c r="H54" s="126">
        <f>H53*40</f>
        <v/>
      </c>
      <c r="I54" s="126">
        <f>I53*40</f>
        <v/>
      </c>
      <c r="J54" s="126">
        <f>J53*40</f>
        <v/>
      </c>
      <c r="K54" s="33">
        <f>K53*40</f>
        <v/>
      </c>
      <c r="L54" s="5" t="inlineStr">
        <is>
          <t>CLIENT IN</t>
        </is>
      </c>
      <c r="M54" s="7">
        <f>N54*40</f>
        <v/>
      </c>
      <c r="N54" s="8">
        <f>K53</f>
        <v/>
      </c>
      <c r="S54" s="4" t="n"/>
    </row>
    <row r="55">
      <c r="G55" s="33" t="n"/>
      <c r="H55" s="127" t="inlineStr">
        <is>
          <t>plus 68</t>
        </is>
      </c>
      <c r="I55" s="127" t="inlineStr">
        <is>
          <t>plus 54</t>
        </is>
      </c>
      <c r="L55" s="5" t="inlineStr">
        <is>
          <t>STUDIO (TAX)</t>
        </is>
      </c>
      <c r="M55" s="7">
        <f>N55*40</f>
        <v/>
      </c>
      <c r="N55" s="8">
        <f>N54-N54*0.05</f>
        <v/>
      </c>
    </row>
    <row r="56">
      <c r="G56" s="33" t="n"/>
      <c r="L56" s="5" t="inlineStr">
        <is>
          <t>EMPL</t>
        </is>
      </c>
      <c r="M56" s="7">
        <f>N56*40</f>
        <v/>
      </c>
      <c r="N56" s="8">
        <f>J53</f>
        <v/>
      </c>
    </row>
    <row r="57">
      <c r="B57" s="1" t="n"/>
      <c r="L57" s="37" t="inlineStr">
        <is>
          <t>STUDIO</t>
        </is>
      </c>
      <c r="M57" s="7">
        <f>N57*40</f>
        <v/>
      </c>
      <c r="N57" s="8">
        <f>N55-N56</f>
        <v/>
      </c>
    </row>
    <row r="58">
      <c r="B58" s="1" t="n"/>
    </row>
    <row r="59">
      <c r="B59" s="1" t="n"/>
    </row>
    <row r="60">
      <c r="B60" s="1" t="n"/>
    </row>
    <row r="61">
      <c r="B61" s="1" t="n"/>
    </row>
    <row r="62">
      <c r="B62" s="1" t="n"/>
    </row>
    <row r="63">
      <c r="B63" s="1" t="n"/>
    </row>
  </sheetData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1"/>
  <sheetViews>
    <sheetView zoomScale="106" zoomScaleNormal="106" workbookViewId="0">
      <pane ySplit="2" topLeftCell="A75" activePane="bottomLeft" state="frozen"/>
      <selection pane="bottomLeft" activeCell="L76" sqref="L76:L77"/>
    </sheetView>
  </sheetViews>
  <sheetFormatPr baseColWidth="10" defaultRowHeight="16"/>
  <cols>
    <col width="12.1640625" customWidth="1" style="1" min="1" max="1"/>
    <col width="30.6640625" customWidth="1" style="2" min="2" max="2"/>
    <col width="10.83203125" customWidth="1" style="1" min="3" max="4"/>
    <col width="9.83203125" customWidth="1" style="1" min="5" max="5"/>
    <col width="10.33203125" customWidth="1" style="1" min="6" max="6"/>
    <col width="10.83203125" customWidth="1" style="1" min="7" max="9"/>
    <col width="11.1640625" customWidth="1" style="1" min="10" max="10"/>
    <col width="11" customWidth="1" style="1" min="11" max="11"/>
    <col width="18.1640625" bestFit="1" customWidth="1" style="1" min="12" max="12"/>
    <col width="12.33203125" customWidth="1" style="1" min="13" max="13"/>
    <col width="14" bestFit="1" customWidth="1" style="1" min="14" max="14"/>
    <col width="12.5" bestFit="1" customWidth="1" style="1" min="15" max="15"/>
    <col width="13" customWidth="1" style="1" min="16" max="16"/>
    <col width="10.83203125" customWidth="1" style="1" min="17" max="16384"/>
  </cols>
  <sheetData>
    <row r="1">
      <c r="A1" s="11" t="n"/>
      <c r="B1" s="10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</row>
    <row r="2">
      <c r="B2" s="108" t="inlineStr">
        <is>
          <t>2024 PROJECT NAME</t>
        </is>
      </c>
      <c r="F2" s="41" t="inlineStr">
        <is>
          <t>Настя</t>
        </is>
      </c>
      <c r="G2" s="113" t="inlineStr">
        <is>
          <t>Ріта</t>
        </is>
      </c>
      <c r="H2" s="38" t="inlineStr">
        <is>
          <t>Сергій</t>
        </is>
      </c>
      <c r="I2" s="113" t="inlineStr">
        <is>
          <t>Андрій</t>
        </is>
      </c>
    </row>
    <row r="3">
      <c r="F3" s="38" t="n"/>
      <c r="G3" s="38" t="n"/>
      <c r="H3" s="38" t="n"/>
      <c r="I3" s="38" t="n"/>
    </row>
    <row r="5">
      <c r="A5" s="115" t="inlineStr">
        <is>
          <t>MGX DX</t>
        </is>
      </c>
      <c r="B5" s="23" t="inlineStr">
        <is>
          <t>September</t>
        </is>
      </c>
      <c r="C5" s="60" t="inlineStr">
        <is>
          <t>SHIFTS</t>
        </is>
      </c>
      <c r="D5" s="24" t="inlineStr">
        <is>
          <t>HOURS</t>
        </is>
      </c>
      <c r="E5" s="25" t="inlineStr">
        <is>
          <t>D.LINE</t>
        </is>
      </c>
      <c r="F5" s="102" t="inlineStr">
        <is>
          <t>EMPL 1</t>
        </is>
      </c>
      <c r="G5" s="114" t="inlineStr">
        <is>
          <t>EMPL 2</t>
        </is>
      </c>
      <c r="H5" s="114" t="inlineStr">
        <is>
          <t>EMPL 3</t>
        </is>
      </c>
      <c r="I5" s="102" t="inlineStr">
        <is>
          <t>EMPL 4</t>
        </is>
      </c>
      <c r="J5" s="31" t="inlineStr">
        <is>
          <t>Total EMPL</t>
        </is>
      </c>
      <c r="K5" s="39" t="inlineStr">
        <is>
          <t>STUDIO</t>
        </is>
      </c>
      <c r="L5" s="39" t="n"/>
      <c r="M5" s="39" t="n"/>
      <c r="N5" s="29" t="inlineStr">
        <is>
          <t>UAH</t>
        </is>
      </c>
      <c r="O5" s="16" t="inlineStr">
        <is>
          <t>USD</t>
        </is>
      </c>
    </row>
    <row r="6">
      <c r="A6" s="94" t="n"/>
      <c r="B6" s="109" t="inlineStr">
        <is>
          <t>DX-V-026-001</t>
        </is>
      </c>
      <c r="C6" s="80" t="n">
        <v>0.5</v>
      </c>
      <c r="D6" s="1">
        <f>C6*9</f>
        <v/>
      </c>
      <c r="F6" s="33" t="n"/>
      <c r="G6" s="33" t="n"/>
      <c r="H6" s="33">
        <f>D6*5</f>
        <v/>
      </c>
      <c r="I6" s="33">
        <f>D6*10</f>
        <v/>
      </c>
      <c r="K6" s="33">
        <f>D6*35</f>
        <v/>
      </c>
      <c r="M6" s="5" t="inlineStr">
        <is>
          <t>CLIENT IN</t>
        </is>
      </c>
      <c r="N6" s="7">
        <f>O6*40</f>
        <v/>
      </c>
      <c r="O6" s="8">
        <f>K98</f>
        <v/>
      </c>
      <c r="P6" s="33" t="n"/>
    </row>
    <row r="7">
      <c r="A7" s="94" t="n"/>
      <c r="B7" s="109" t="inlineStr">
        <is>
          <t>DX-V-026-007</t>
        </is>
      </c>
      <c r="C7" s="80" t="n">
        <v>0.5</v>
      </c>
      <c r="D7" s="1">
        <f>C7*9</f>
        <v/>
      </c>
      <c r="G7" s="33" t="n"/>
      <c r="H7" s="33">
        <f>D7*5</f>
        <v/>
      </c>
      <c r="I7" s="33">
        <f>D7*10</f>
        <v/>
      </c>
      <c r="K7" s="33">
        <f>D7*35</f>
        <v/>
      </c>
      <c r="M7" s="5" t="inlineStr">
        <is>
          <t>STUDIO (TAX)</t>
        </is>
      </c>
      <c r="N7" s="7">
        <f>O7*40</f>
        <v/>
      </c>
      <c r="O7" s="8">
        <f>O6-O6*0.05</f>
        <v/>
      </c>
      <c r="P7" s="33" t="n"/>
    </row>
    <row r="8">
      <c r="A8" s="94" t="n"/>
      <c r="B8" s="109" t="inlineStr">
        <is>
          <t>DX-V-050-004</t>
        </is>
      </c>
      <c r="C8" s="80" t="n">
        <v>0.5</v>
      </c>
      <c r="D8" s="1">
        <f>C8*9</f>
        <v/>
      </c>
      <c r="G8" s="33" t="n"/>
      <c r="H8" s="33">
        <f>D8*15</f>
        <v/>
      </c>
      <c r="I8" s="33" t="n"/>
      <c r="K8" s="33">
        <f>D8*35</f>
        <v/>
      </c>
      <c r="M8" s="5" t="inlineStr">
        <is>
          <t>EMPL</t>
        </is>
      </c>
      <c r="N8" s="7">
        <f>O8*40</f>
        <v/>
      </c>
      <c r="O8" s="8">
        <f>J98</f>
        <v/>
      </c>
      <c r="P8" s="33" t="n"/>
    </row>
    <row r="9">
      <c r="A9" s="94" t="n"/>
      <c r="B9" s="109" t="inlineStr">
        <is>
          <t>DX-V-050-003</t>
        </is>
      </c>
      <c r="C9" s="80" t="n">
        <v>0.5</v>
      </c>
      <c r="D9" s="1">
        <f>C9*9</f>
        <v/>
      </c>
      <c r="G9" s="33" t="n"/>
      <c r="H9" s="33">
        <f>D9*15</f>
        <v/>
      </c>
      <c r="I9" s="33" t="n"/>
      <c r="K9" s="33">
        <f>D9*35</f>
        <v/>
      </c>
      <c r="M9" s="37" t="inlineStr">
        <is>
          <t>STUDIO</t>
        </is>
      </c>
      <c r="N9" s="7">
        <f>O9*40</f>
        <v/>
      </c>
      <c r="O9" s="8">
        <f>O7-O8</f>
        <v/>
      </c>
      <c r="P9" s="33" t="n"/>
      <c r="Q9" s="4" t="n"/>
      <c r="R9" s="4" t="n"/>
      <c r="S9" s="4" t="n"/>
    </row>
    <row r="10">
      <c r="A10" s="94" t="n"/>
      <c r="B10" s="109" t="inlineStr">
        <is>
          <t>DX-V-042-002</t>
        </is>
      </c>
      <c r="C10" s="80" t="n">
        <v>0.3</v>
      </c>
      <c r="D10" s="1">
        <f>C10*9</f>
        <v/>
      </c>
      <c r="F10" s="33" t="n"/>
      <c r="G10" s="33" t="n"/>
      <c r="H10" s="33">
        <f>D10*15</f>
        <v/>
      </c>
      <c r="I10" s="33" t="n"/>
      <c r="K10" s="33">
        <f>D10*35</f>
        <v/>
      </c>
      <c r="L10" s="8" t="n"/>
      <c r="M10" s="7" t="n"/>
      <c r="O10" s="4" t="n"/>
      <c r="P10" s="33" t="n"/>
    </row>
    <row r="11">
      <c r="A11" s="94" t="n"/>
      <c r="B11" s="109" t="inlineStr">
        <is>
          <t>DX-V-041-003</t>
        </is>
      </c>
      <c r="C11" s="80" t="n">
        <v>0.3</v>
      </c>
      <c r="D11" s="1">
        <f>C11*9</f>
        <v/>
      </c>
      <c r="F11" s="33" t="n"/>
      <c r="G11" s="33" t="n"/>
      <c r="H11" s="33">
        <f>D11*15</f>
        <v/>
      </c>
      <c r="I11" s="33" t="n"/>
      <c r="K11" s="33">
        <f>D11*35</f>
        <v/>
      </c>
      <c r="L11" s="36" t="inlineStr">
        <is>
          <t>EMPL</t>
        </is>
      </c>
      <c r="M11" s="34" t="inlineStr">
        <is>
          <t>COST</t>
        </is>
      </c>
      <c r="N11" s="17" t="inlineStr">
        <is>
          <t>2PAY</t>
        </is>
      </c>
      <c r="O11" s="35" t="inlineStr">
        <is>
          <t>PAID</t>
        </is>
      </c>
      <c r="P11" s="33" t="n"/>
    </row>
    <row r="12">
      <c r="A12" s="94" t="n"/>
      <c r="B12" s="109" t="inlineStr">
        <is>
          <t>DX-V-041-004</t>
        </is>
      </c>
      <c r="C12" s="80" t="n">
        <v>0.3</v>
      </c>
      <c r="D12" s="1">
        <f>C12*9</f>
        <v/>
      </c>
      <c r="F12" s="33" t="n"/>
      <c r="I12" s="33">
        <f>D12*10</f>
        <v/>
      </c>
      <c r="K12" s="33">
        <f>D12*35</f>
        <v/>
      </c>
      <c r="L12" s="32" t="inlineStr">
        <is>
          <t>EMPL 1</t>
        </is>
      </c>
      <c r="M12" s="28">
        <f>F98</f>
        <v/>
      </c>
      <c r="N12" s="33">
        <f>M12-O12</f>
        <v/>
      </c>
      <c r="O12" s="8" t="n"/>
      <c r="P12" s="33" t="n"/>
    </row>
    <row r="13">
      <c r="A13" s="94" t="n"/>
      <c r="B13" s="109" t="inlineStr">
        <is>
          <t>DX-V-060-011</t>
        </is>
      </c>
      <c r="C13" s="80" t="n">
        <v>0.3</v>
      </c>
      <c r="D13" s="1">
        <f>C13*9</f>
        <v/>
      </c>
      <c r="H13" s="33">
        <f>D13*5</f>
        <v/>
      </c>
      <c r="I13" s="33">
        <f>D13*10</f>
        <v/>
      </c>
      <c r="K13" s="33">
        <f>D13*35</f>
        <v/>
      </c>
      <c r="L13" s="32" t="inlineStr">
        <is>
          <t>EMPL 2</t>
        </is>
      </c>
      <c r="M13" s="28">
        <f>H98</f>
        <v/>
      </c>
      <c r="N13" s="33">
        <f>M13-O13</f>
        <v/>
      </c>
      <c r="O13" s="8" t="n"/>
      <c r="P13" s="33" t="n"/>
    </row>
    <row r="14">
      <c r="A14" s="94" t="n"/>
      <c r="B14" s="109" t="inlineStr">
        <is>
          <t>DX-V-060-013</t>
        </is>
      </c>
      <c r="C14" s="80" t="n">
        <v>0.3</v>
      </c>
      <c r="D14" s="1">
        <f>C14*9</f>
        <v/>
      </c>
      <c r="F14" s="33" t="n"/>
      <c r="H14" s="33">
        <f>D14*5</f>
        <v/>
      </c>
      <c r="I14" s="33">
        <f>D14*10</f>
        <v/>
      </c>
      <c r="K14" s="33">
        <f>D14*35</f>
        <v/>
      </c>
      <c r="L14" s="32" t="inlineStr">
        <is>
          <t>EMPL 3</t>
        </is>
      </c>
      <c r="M14" s="28">
        <f>G98</f>
        <v/>
      </c>
      <c r="N14" s="33">
        <f>M14-O14</f>
        <v/>
      </c>
      <c r="O14" s="8" t="n"/>
      <c r="P14" s="33" t="n"/>
    </row>
    <row r="15">
      <c r="A15" s="94" t="n"/>
      <c r="B15" s="109" t="inlineStr">
        <is>
          <t>DX-V-060-005</t>
        </is>
      </c>
      <c r="C15" s="80" t="n">
        <v>0.3</v>
      </c>
      <c r="D15" s="1">
        <f>C15*9</f>
        <v/>
      </c>
      <c r="F15" s="33" t="n"/>
      <c r="H15" s="33">
        <f>D15*5</f>
        <v/>
      </c>
      <c r="I15" s="33">
        <f>D15*10</f>
        <v/>
      </c>
      <c r="K15" s="33">
        <f>D15*35</f>
        <v/>
      </c>
      <c r="L15" s="32" t="inlineStr">
        <is>
          <t>EMPL 4</t>
        </is>
      </c>
      <c r="M15" s="28">
        <f>I98</f>
        <v/>
      </c>
      <c r="N15" s="33">
        <f>M15-O15</f>
        <v/>
      </c>
      <c r="O15" s="8" t="n"/>
      <c r="P15" s="33" t="n"/>
    </row>
    <row r="16">
      <c r="A16" s="94" t="n"/>
      <c r="B16" s="109" t="inlineStr">
        <is>
          <t>DX-V-043-001</t>
        </is>
      </c>
      <c r="C16" s="80" t="n">
        <v>0.5</v>
      </c>
      <c r="D16" s="1">
        <f>C16*9</f>
        <v/>
      </c>
      <c r="H16" s="33">
        <f>D16*15</f>
        <v/>
      </c>
      <c r="K16" s="33">
        <f>D16*35</f>
        <v/>
      </c>
    </row>
    <row r="17">
      <c r="A17" s="94" t="n"/>
      <c r="B17" s="109" t="inlineStr">
        <is>
          <t>DX-V-028-009</t>
        </is>
      </c>
      <c r="C17" s="80" t="n">
        <v>0.3</v>
      </c>
      <c r="D17" s="1">
        <f>C17*9</f>
        <v/>
      </c>
      <c r="H17" s="33" t="n"/>
      <c r="I17" s="33">
        <f>D17*10</f>
        <v/>
      </c>
      <c r="K17" s="33">
        <f>D17*35</f>
        <v/>
      </c>
    </row>
    <row r="18">
      <c r="A18" s="94" t="n"/>
      <c r="B18" s="109" t="inlineStr">
        <is>
          <t>DX-V-031-003</t>
        </is>
      </c>
      <c r="C18" s="80" t="n">
        <v>0.3</v>
      </c>
      <c r="D18" s="1">
        <f>C18*9</f>
        <v/>
      </c>
      <c r="F18" s="33">
        <f>D18*15</f>
        <v/>
      </c>
      <c r="H18" s="33" t="n"/>
      <c r="K18" s="33">
        <f>D18*35</f>
        <v/>
      </c>
    </row>
    <row r="19">
      <c r="A19" s="94" t="n"/>
      <c r="B19" s="109" t="inlineStr">
        <is>
          <t>DX-V-033-009</t>
        </is>
      </c>
      <c r="C19" s="80" t="n">
        <v>0.3</v>
      </c>
      <c r="D19" s="1">
        <f>C19*9</f>
        <v/>
      </c>
      <c r="F19" s="33">
        <f>D17*7</f>
        <v/>
      </c>
      <c r="H19" s="33" t="n"/>
      <c r="I19" s="33">
        <f>D17*8</f>
        <v/>
      </c>
      <c r="K19" s="33">
        <f>D19*35</f>
        <v/>
      </c>
    </row>
    <row r="20">
      <c r="A20" s="94" t="n"/>
      <c r="B20" s="109" t="inlineStr">
        <is>
          <t>DX-V-075-005</t>
        </is>
      </c>
      <c r="C20" s="80" t="n">
        <v>0.3</v>
      </c>
      <c r="D20" s="1">
        <f>C20*9</f>
        <v/>
      </c>
      <c r="H20" s="33">
        <f>D20*15</f>
        <v/>
      </c>
      <c r="K20" s="33">
        <f>D20*35</f>
        <v/>
      </c>
    </row>
    <row r="21">
      <c r="A21" s="94" t="n"/>
      <c r="B21" s="109" t="inlineStr">
        <is>
          <t>DX-V-075-007</t>
        </is>
      </c>
      <c r="C21" s="80" t="n">
        <v>0.3</v>
      </c>
      <c r="D21" s="1">
        <f>C21*9</f>
        <v/>
      </c>
      <c r="H21" s="33" t="n"/>
      <c r="I21" s="33">
        <f>D21*10</f>
        <v/>
      </c>
      <c r="K21" s="33">
        <f>D21*35</f>
        <v/>
      </c>
    </row>
    <row r="22">
      <c r="A22" s="94" t="n"/>
      <c r="B22" s="109" t="inlineStr">
        <is>
          <t>DX-V-002-020</t>
        </is>
      </c>
      <c r="C22" s="80" t="n">
        <v>0.3</v>
      </c>
      <c r="D22" s="1">
        <f>C22*9</f>
        <v/>
      </c>
      <c r="G22" s="33" t="n"/>
      <c r="H22" s="33">
        <f>D22*15</f>
        <v/>
      </c>
      <c r="I22" s="33" t="n"/>
      <c r="K22" s="33">
        <f>D22*35</f>
        <v/>
      </c>
      <c r="R22" s="4" t="n"/>
      <c r="S22" s="4" t="n"/>
    </row>
    <row r="23">
      <c r="A23" s="94" t="n"/>
      <c r="B23" s="109" t="inlineStr">
        <is>
          <t>DX-V-028-010</t>
        </is>
      </c>
      <c r="C23" s="80" t="n">
        <v>0.3</v>
      </c>
      <c r="D23" s="1">
        <f>C23*9</f>
        <v/>
      </c>
      <c r="G23" s="33" t="n"/>
      <c r="H23" s="33">
        <f>D23*15</f>
        <v/>
      </c>
      <c r="I23" s="33" t="n"/>
      <c r="K23" s="33">
        <f>D23*35</f>
        <v/>
      </c>
      <c r="Q23" s="4" t="n"/>
      <c r="R23" s="4" t="n"/>
      <c r="S23" s="4" t="n"/>
    </row>
    <row r="24">
      <c r="A24" s="94" t="n"/>
      <c r="B24" s="109" t="inlineStr">
        <is>
          <t>DX-V-028-011</t>
        </is>
      </c>
      <c r="C24" s="80" t="n">
        <v>0.3</v>
      </c>
      <c r="D24" s="1">
        <f>C24*9</f>
        <v/>
      </c>
      <c r="G24" s="33" t="n"/>
      <c r="H24" s="33">
        <f>D24*15</f>
        <v/>
      </c>
      <c r="I24" s="33" t="n"/>
      <c r="K24" s="33">
        <f>D24*35</f>
        <v/>
      </c>
      <c r="Q24" s="4" t="n"/>
      <c r="R24" s="4" t="n"/>
      <c r="S24" s="4" t="n"/>
    </row>
    <row r="25">
      <c r="A25" s="94" t="n"/>
      <c r="B25" s="109" t="inlineStr">
        <is>
          <t>DX-V-028-012</t>
        </is>
      </c>
      <c r="C25" s="80" t="n">
        <v>0.3</v>
      </c>
      <c r="D25" s="1">
        <f>C25*9</f>
        <v/>
      </c>
      <c r="G25" s="33" t="n"/>
      <c r="H25" s="33">
        <f>D25*15</f>
        <v/>
      </c>
      <c r="I25" s="33" t="n"/>
      <c r="K25" s="33">
        <f>D25*35</f>
        <v/>
      </c>
      <c r="Q25" s="4" t="n"/>
      <c r="R25" s="4" t="n"/>
      <c r="S25" s="4" t="n"/>
    </row>
    <row r="26">
      <c r="A26" s="94" t="n"/>
      <c r="B26" s="109" t="inlineStr">
        <is>
          <t>DX-V-032-013</t>
        </is>
      </c>
      <c r="C26" s="80" t="n">
        <v>0.3</v>
      </c>
      <c r="D26" s="1">
        <f>C26*9</f>
        <v/>
      </c>
      <c r="G26" s="33" t="n"/>
      <c r="H26" s="33" t="n"/>
      <c r="I26" s="33">
        <f>D26*10</f>
        <v/>
      </c>
      <c r="K26" s="33">
        <f>D26*35</f>
        <v/>
      </c>
      <c r="Q26" s="4" t="n"/>
      <c r="R26" s="4" t="n"/>
      <c r="S26" s="4" t="n"/>
    </row>
    <row r="27">
      <c r="A27" s="94" t="n"/>
      <c r="B27" s="109" t="inlineStr">
        <is>
          <t>DX-V-032-014</t>
        </is>
      </c>
      <c r="C27" s="80" t="n">
        <v>0.3</v>
      </c>
      <c r="D27" s="1">
        <f>C27*9</f>
        <v/>
      </c>
      <c r="G27" s="33" t="n"/>
      <c r="H27" s="33" t="n"/>
      <c r="I27" s="33">
        <f>D27*10</f>
        <v/>
      </c>
      <c r="K27" s="33">
        <f>D27*35</f>
        <v/>
      </c>
      <c r="Q27" s="4" t="n"/>
      <c r="R27" s="4" t="n"/>
      <c r="S27" s="4" t="n"/>
    </row>
    <row r="28">
      <c r="A28" s="94" t="n"/>
      <c r="B28" s="109" t="inlineStr">
        <is>
          <t>DX-V-032-015</t>
        </is>
      </c>
      <c r="C28" s="80" t="n">
        <v>0.3</v>
      </c>
      <c r="D28" s="1">
        <f>C28*9</f>
        <v/>
      </c>
      <c r="G28" s="33" t="n"/>
      <c r="H28" s="33" t="n"/>
      <c r="I28" s="33">
        <f>D28*10</f>
        <v/>
      </c>
      <c r="K28" s="33">
        <f>D28*35</f>
        <v/>
      </c>
      <c r="Q28" s="4" t="n"/>
      <c r="R28" s="4" t="n"/>
      <c r="S28" s="4" t="n"/>
    </row>
    <row r="29">
      <c r="A29" s="94" t="n"/>
      <c r="B29" s="109" t="inlineStr">
        <is>
          <t>DX-V-033-010</t>
        </is>
      </c>
      <c r="C29" s="80" t="n">
        <v>0.3</v>
      </c>
      <c r="D29" s="1">
        <f>C29*9</f>
        <v/>
      </c>
      <c r="G29" s="33" t="n"/>
      <c r="H29" s="33" t="n"/>
      <c r="I29" s="33">
        <f>D29*10</f>
        <v/>
      </c>
      <c r="K29" s="33">
        <f>D29*35</f>
        <v/>
      </c>
      <c r="Q29" s="4" t="n"/>
      <c r="R29" s="4" t="n"/>
      <c r="S29" s="4" t="n"/>
    </row>
    <row r="30">
      <c r="A30" s="94" t="inlineStr">
        <is>
          <t>Dop Fix Yaron</t>
        </is>
      </c>
      <c r="B30" s="109" t="inlineStr">
        <is>
          <t>DX-V-060-009</t>
        </is>
      </c>
      <c r="C30" s="80" t="n">
        <v>0.5</v>
      </c>
      <c r="D30" s="1">
        <f>C30*9</f>
        <v/>
      </c>
      <c r="G30" s="33" t="n"/>
      <c r="H30" s="33">
        <f>D30*15</f>
        <v/>
      </c>
      <c r="I30" s="33" t="n"/>
      <c r="K30" s="33">
        <f>D30*35</f>
        <v/>
      </c>
      <c r="Q30" s="4" t="n"/>
      <c r="R30" s="4" t="n"/>
      <c r="S30" s="4" t="n"/>
    </row>
    <row r="31">
      <c r="A31" s="94" t="inlineStr">
        <is>
          <t>Dop Fix Yaron</t>
        </is>
      </c>
      <c r="B31" s="109" t="inlineStr">
        <is>
          <t>DX-V-060-010</t>
        </is>
      </c>
      <c r="C31" s="80" t="n">
        <v>0.5</v>
      </c>
      <c r="D31" s="1">
        <f>C31*9</f>
        <v/>
      </c>
      <c r="G31" s="33" t="n"/>
      <c r="H31" s="33">
        <f>D31*15</f>
        <v/>
      </c>
      <c r="I31" s="33" t="n"/>
      <c r="K31" s="33">
        <f>D31*35</f>
        <v/>
      </c>
      <c r="Q31" s="4" t="n"/>
      <c r="R31" s="4" t="n"/>
      <c r="S31" s="4" t="n"/>
    </row>
    <row r="32">
      <c r="A32" s="94" t="n"/>
      <c r="B32" s="109" t="inlineStr">
        <is>
          <t>DX-V-050-005</t>
        </is>
      </c>
      <c r="C32" s="80" t="n">
        <v>0.3</v>
      </c>
      <c r="D32" s="1">
        <f>C32*9</f>
        <v/>
      </c>
      <c r="G32" s="33" t="n"/>
      <c r="H32" s="33" t="n"/>
      <c r="I32" s="33">
        <f>D32*12</f>
        <v/>
      </c>
      <c r="K32" s="33">
        <f>D32*35</f>
        <v/>
      </c>
      <c r="Q32" s="4" t="n"/>
      <c r="R32" s="4" t="n"/>
      <c r="S32" s="4" t="n"/>
    </row>
    <row r="33">
      <c r="A33" s="94" t="n"/>
      <c r="B33" s="109" t="inlineStr">
        <is>
          <t>DX-V-015-018</t>
        </is>
      </c>
      <c r="C33" s="80" t="n">
        <v>0.3</v>
      </c>
      <c r="D33" s="1">
        <f>C33*9</f>
        <v/>
      </c>
      <c r="G33" s="33" t="n"/>
      <c r="H33" s="33" t="n"/>
      <c r="I33" s="33">
        <f>D33*12</f>
        <v/>
      </c>
      <c r="K33" s="33">
        <f>D33*35</f>
        <v/>
      </c>
      <c r="Q33" s="4" t="n"/>
      <c r="R33" s="4" t="n"/>
      <c r="S33" s="4" t="n"/>
    </row>
    <row r="34">
      <c r="A34" s="94" t="n"/>
      <c r="B34" s="109" t="inlineStr">
        <is>
          <t>DX-V-015-019</t>
        </is>
      </c>
      <c r="C34" s="80" t="n">
        <v>0.3</v>
      </c>
      <c r="D34" s="1">
        <f>C34*9</f>
        <v/>
      </c>
      <c r="G34" s="33" t="n"/>
      <c r="H34" s="33" t="n"/>
      <c r="I34" s="33">
        <f>D34*12</f>
        <v/>
      </c>
      <c r="K34" s="33">
        <f>D34*35</f>
        <v/>
      </c>
      <c r="Q34" s="4" t="n"/>
      <c r="R34" s="4" t="n"/>
      <c r="S34" s="4" t="n"/>
    </row>
    <row r="35">
      <c r="A35" s="94" t="n"/>
      <c r="B35" s="109" t="inlineStr">
        <is>
          <t>DX-V-015-020</t>
        </is>
      </c>
      <c r="C35" s="80" t="n">
        <v>0.3</v>
      </c>
      <c r="D35" s="1">
        <f>C35*9</f>
        <v/>
      </c>
      <c r="G35" s="33" t="n"/>
      <c r="H35" s="33" t="n"/>
      <c r="I35" s="33">
        <f>D35*12</f>
        <v/>
      </c>
      <c r="K35" s="33">
        <f>D35*35</f>
        <v/>
      </c>
      <c r="Q35" s="4" t="n"/>
      <c r="R35" s="4" t="n"/>
      <c r="S35" s="4" t="n"/>
    </row>
    <row r="36">
      <c r="A36" s="94" t="n"/>
      <c r="B36" s="109" t="inlineStr">
        <is>
          <t>DX-V-015-021</t>
        </is>
      </c>
      <c r="C36" s="80" t="n">
        <v>0.3</v>
      </c>
      <c r="D36" s="1">
        <f>C36*9</f>
        <v/>
      </c>
      <c r="G36" s="33" t="n"/>
      <c r="H36" s="33" t="n"/>
      <c r="I36" s="33">
        <f>D36*12</f>
        <v/>
      </c>
      <c r="K36" s="33">
        <f>D36*35</f>
        <v/>
      </c>
      <c r="Q36" s="4" t="n"/>
      <c r="R36" s="4" t="n"/>
      <c r="S36" s="4" t="n"/>
    </row>
    <row r="37">
      <c r="A37" s="94" t="n"/>
      <c r="B37" s="109" t="inlineStr">
        <is>
          <t>DX-V-051-004</t>
        </is>
      </c>
      <c r="C37" s="80" t="n">
        <v>0.3</v>
      </c>
      <c r="D37" s="1">
        <f>C37*9</f>
        <v/>
      </c>
      <c r="G37" s="33" t="n"/>
      <c r="H37" s="33">
        <f>D37*15</f>
        <v/>
      </c>
      <c r="I37" s="33" t="n"/>
      <c r="K37" s="33">
        <f>D37*35</f>
        <v/>
      </c>
      <c r="Q37" s="4" t="n"/>
      <c r="R37" s="4" t="n"/>
      <c r="S37" s="4" t="n"/>
    </row>
    <row r="38">
      <c r="A38" s="94" t="n"/>
      <c r="B38" s="109" t="inlineStr">
        <is>
          <t>DX-V-015-022</t>
        </is>
      </c>
      <c r="C38" s="80" t="n">
        <v>0.3</v>
      </c>
      <c r="D38" s="1">
        <f>C38*9</f>
        <v/>
      </c>
      <c r="F38" s="33">
        <f>D38*15</f>
        <v/>
      </c>
      <c r="G38" s="33" t="n"/>
      <c r="I38" s="33" t="n"/>
      <c r="K38" s="33">
        <f>D38*35</f>
        <v/>
      </c>
      <c r="Q38" s="4" t="n"/>
      <c r="R38" s="4" t="n"/>
      <c r="S38" s="4" t="n"/>
    </row>
    <row r="39">
      <c r="A39" s="94" t="n"/>
      <c r="B39" s="109" t="inlineStr">
        <is>
          <t>DX-V-051-005</t>
        </is>
      </c>
      <c r="C39" s="80" t="n">
        <v>0.3</v>
      </c>
      <c r="D39" s="1">
        <f>C39*9</f>
        <v/>
      </c>
      <c r="G39" s="33" t="n"/>
      <c r="H39" s="33">
        <f>D39*15</f>
        <v/>
      </c>
      <c r="I39" s="33" t="n"/>
      <c r="K39" s="33">
        <f>D39*35</f>
        <v/>
      </c>
      <c r="Q39" s="4" t="n"/>
      <c r="R39" s="4" t="n"/>
      <c r="S39" s="4" t="n"/>
    </row>
    <row r="40">
      <c r="A40" s="94" t="n"/>
      <c r="B40" s="109" t="inlineStr">
        <is>
          <t>DX-V-032-016</t>
        </is>
      </c>
      <c r="C40" s="80" t="n">
        <v>0.3</v>
      </c>
      <c r="D40" s="1">
        <f>C40*9</f>
        <v/>
      </c>
      <c r="G40" s="33" t="n"/>
      <c r="H40" s="33">
        <f>D40*15</f>
        <v/>
      </c>
      <c r="I40" s="33" t="n"/>
      <c r="K40" s="33">
        <f>D40*35</f>
        <v/>
      </c>
      <c r="Q40" s="4" t="n"/>
      <c r="R40" s="4" t="n"/>
      <c r="S40" s="4" t="n"/>
    </row>
    <row r="41">
      <c r="A41" s="94" t="n"/>
      <c r="B41" s="109" t="inlineStr">
        <is>
          <t>DX-V-079-003</t>
        </is>
      </c>
      <c r="C41" s="80" t="n">
        <v>0.3</v>
      </c>
      <c r="D41" s="1">
        <f>C41*9</f>
        <v/>
      </c>
      <c r="G41" s="33" t="n"/>
      <c r="H41" s="33" t="n"/>
      <c r="I41" s="33">
        <f>D41*12</f>
        <v/>
      </c>
      <c r="K41" s="33">
        <f>D41*35</f>
        <v/>
      </c>
      <c r="Q41" s="4" t="n"/>
      <c r="R41" s="4" t="n"/>
      <c r="S41" s="4" t="n"/>
    </row>
    <row r="42">
      <c r="B42" s="109" t="n"/>
      <c r="C42" s="80" t="n"/>
      <c r="G42" s="33" t="n"/>
      <c r="H42" s="33" t="n"/>
      <c r="I42" s="33" t="n"/>
      <c r="K42" s="33" t="n"/>
      <c r="Q42" s="4" t="n"/>
      <c r="R42" s="4" t="n"/>
      <c r="S42" s="4" t="n"/>
    </row>
    <row r="43">
      <c r="K43" s="33" t="n"/>
      <c r="Q43" s="4" t="n"/>
      <c r="R43" s="4" t="n"/>
      <c r="S43" s="4" t="n"/>
    </row>
    <row r="44">
      <c r="A44" s="115" t="inlineStr">
        <is>
          <t>MGX DD</t>
        </is>
      </c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Q44" s="4" t="n"/>
      <c r="R44" s="4" t="n"/>
      <c r="S44" s="4" t="n"/>
    </row>
    <row r="45">
      <c r="A45" s="94" t="n"/>
      <c r="B45" s="109" t="inlineStr">
        <is>
          <t>DD-V-049-032</t>
        </is>
      </c>
      <c r="C45" s="80" t="n">
        <v>0.5</v>
      </c>
      <c r="D45" s="1">
        <f>C45*9</f>
        <v/>
      </c>
      <c r="H45" s="33">
        <f>D45*15</f>
        <v/>
      </c>
      <c r="K45" s="33">
        <f>D45*35</f>
        <v/>
      </c>
      <c r="Q45" s="4" t="n"/>
      <c r="R45" s="4" t="n"/>
      <c r="S45" s="4" t="n"/>
    </row>
    <row r="46">
      <c r="A46" s="94" t="n"/>
      <c r="B46" s="109" t="inlineStr">
        <is>
          <t>DD-UGC-300-001 DD-V-162-011</t>
        </is>
      </c>
      <c r="C46" s="80" t="n">
        <v>0.5</v>
      </c>
      <c r="D46" s="1">
        <f>C46*9</f>
        <v/>
      </c>
      <c r="G46" s="33" t="n"/>
      <c r="H46" s="33">
        <f>D46*15</f>
        <v/>
      </c>
      <c r="I46" s="33" t="n"/>
      <c r="K46" s="33">
        <f>D46*35</f>
        <v/>
      </c>
      <c r="Q46" s="4" t="n"/>
      <c r="R46" s="4" t="n"/>
      <c r="S46" s="4" t="n"/>
    </row>
    <row r="47">
      <c r="A47" s="94" t="n"/>
      <c r="B47" s="109" t="inlineStr">
        <is>
          <t>DD-UGC-300-001 DD-V-162-012</t>
        </is>
      </c>
      <c r="C47" s="80" t="n">
        <v>0.5</v>
      </c>
      <c r="D47" s="1">
        <f>C47*9</f>
        <v/>
      </c>
      <c r="G47" s="33" t="n"/>
      <c r="H47" s="33">
        <f>D47*15</f>
        <v/>
      </c>
      <c r="I47" s="33" t="n"/>
      <c r="K47" s="33">
        <f>D47*35</f>
        <v/>
      </c>
      <c r="N47" s="5" t="n"/>
      <c r="P47" s="4" t="n"/>
      <c r="Q47" s="4" t="n"/>
      <c r="R47" s="4" t="n"/>
      <c r="S47" s="4" t="n"/>
    </row>
    <row r="48">
      <c r="A48" s="94" t="n"/>
      <c r="B48" s="109" t="inlineStr">
        <is>
          <t>DD-V-181-033</t>
        </is>
      </c>
      <c r="C48" s="80" t="n">
        <v>0.05</v>
      </c>
      <c r="D48" s="1">
        <f>C48*9</f>
        <v/>
      </c>
      <c r="G48" s="33" t="n"/>
      <c r="H48" s="33">
        <f>D48*15</f>
        <v/>
      </c>
      <c r="I48" s="33" t="n"/>
      <c r="K48" s="33">
        <f>D48*35</f>
        <v/>
      </c>
      <c r="N48" s="5" t="n"/>
      <c r="P48" s="4" t="n"/>
      <c r="Q48" s="4" t="n"/>
      <c r="R48" s="4" t="n"/>
      <c r="S48" s="4" t="n"/>
    </row>
    <row r="49">
      <c r="A49" s="94" t="n"/>
      <c r="B49" s="109" t="inlineStr">
        <is>
          <t>DD-V-181-034_US2023</t>
        </is>
      </c>
      <c r="C49" s="80" t="n">
        <v>0.05</v>
      </c>
      <c r="D49" s="1">
        <f>C49*9</f>
        <v/>
      </c>
      <c r="G49" s="33" t="n"/>
      <c r="H49" s="33">
        <f>D49*15</f>
        <v/>
      </c>
      <c r="I49" s="33" t="n"/>
      <c r="K49" s="33">
        <f>D49*35</f>
        <v/>
      </c>
      <c r="N49" s="5" t="n"/>
      <c r="P49" s="4" t="n"/>
      <c r="Q49" s="4" t="n"/>
      <c r="R49" s="4" t="n"/>
      <c r="S49" s="4" t="n"/>
    </row>
    <row r="50">
      <c r="A50" s="94" t="n"/>
      <c r="B50" s="109" t="inlineStr">
        <is>
          <t>DD-V-211-001</t>
        </is>
      </c>
      <c r="C50" s="80" t="n">
        <v>0.05</v>
      </c>
      <c r="D50" s="1">
        <f>C50*9</f>
        <v/>
      </c>
      <c r="G50" s="33" t="n"/>
      <c r="H50" s="33">
        <f>D50*15</f>
        <v/>
      </c>
      <c r="I50" s="33" t="n"/>
      <c r="K50" s="33">
        <f>D50*35</f>
        <v/>
      </c>
      <c r="N50" s="5" t="n"/>
      <c r="P50" s="4" t="n"/>
      <c r="Q50" s="4" t="n"/>
      <c r="R50" s="4" t="n"/>
      <c r="S50" s="4" t="n"/>
    </row>
    <row r="51">
      <c r="A51" s="94" t="n"/>
      <c r="B51" s="109" t="inlineStr">
        <is>
          <t>DD-V-221-001</t>
        </is>
      </c>
      <c r="C51" s="80" t="n">
        <v>0.05</v>
      </c>
      <c r="D51" s="1">
        <f>C51*9</f>
        <v/>
      </c>
      <c r="G51" s="33" t="n"/>
      <c r="H51" s="33" t="n"/>
      <c r="I51" s="33">
        <f>D51*10</f>
        <v/>
      </c>
      <c r="K51" s="33">
        <f>D51*35</f>
        <v/>
      </c>
      <c r="N51" s="5" t="n"/>
      <c r="P51" s="4" t="n"/>
      <c r="Q51" s="4" t="n"/>
      <c r="R51" s="4" t="n"/>
      <c r="S51" s="4" t="n"/>
    </row>
    <row r="52">
      <c r="A52" s="94" t="n"/>
      <c r="B52" s="109" t="inlineStr">
        <is>
          <t>DD-V-181-028</t>
        </is>
      </c>
      <c r="C52" s="80" t="n">
        <v>0.05</v>
      </c>
      <c r="D52" s="1">
        <f>C52*9</f>
        <v/>
      </c>
      <c r="F52" s="33">
        <f>D52*15</f>
        <v/>
      </c>
      <c r="G52" s="33" t="n"/>
      <c r="H52" s="33" t="n"/>
      <c r="I52" s="33" t="n"/>
      <c r="K52" s="33">
        <f>D52*35</f>
        <v/>
      </c>
      <c r="N52" s="5" t="n"/>
      <c r="P52" s="4" t="n"/>
      <c r="Q52" s="4" t="n"/>
      <c r="R52" s="4" t="n"/>
      <c r="S52" s="4" t="n"/>
    </row>
    <row r="53">
      <c r="A53" s="94" t="n"/>
      <c r="B53" s="109" t="inlineStr">
        <is>
          <t>DD-V-181-035</t>
        </is>
      </c>
      <c r="C53" s="80" t="n">
        <v>0.05</v>
      </c>
      <c r="D53" s="1">
        <f>C53*9</f>
        <v/>
      </c>
      <c r="F53" s="33">
        <f>D53*15</f>
        <v/>
      </c>
      <c r="G53" s="33" t="n"/>
      <c r="H53" s="33" t="n"/>
      <c r="I53" s="33" t="n"/>
      <c r="K53" s="33">
        <f>D53*35</f>
        <v/>
      </c>
      <c r="N53" s="5" t="n"/>
      <c r="P53" s="4" t="n"/>
      <c r="Q53" s="4" t="n"/>
      <c r="R53" s="4" t="n"/>
      <c r="S53" s="4" t="n"/>
    </row>
    <row r="54">
      <c r="A54" s="94" t="n"/>
      <c r="B54" s="109" t="inlineStr">
        <is>
          <t>DD-V-181-036</t>
        </is>
      </c>
      <c r="C54" s="80" t="n">
        <v>0.05</v>
      </c>
      <c r="D54" s="1">
        <f>C54*9</f>
        <v/>
      </c>
      <c r="F54" s="33">
        <f>D54*15</f>
        <v/>
      </c>
      <c r="G54" s="33" t="n"/>
      <c r="H54" s="33" t="n"/>
      <c r="I54" s="33" t="n"/>
      <c r="K54" s="33">
        <f>D54*35</f>
        <v/>
      </c>
      <c r="N54" s="5" t="n"/>
      <c r="P54" s="4" t="n"/>
      <c r="Q54" s="4" t="n"/>
      <c r="R54" s="4" t="n"/>
      <c r="S54" s="4" t="n"/>
    </row>
    <row r="55">
      <c r="A55" s="94" t="n"/>
      <c r="B55" s="109" t="inlineStr">
        <is>
          <t>DD-V-181-029</t>
        </is>
      </c>
      <c r="C55" s="80" t="n">
        <v>0.05</v>
      </c>
      <c r="D55" s="1">
        <f>C55*9</f>
        <v/>
      </c>
      <c r="F55" s="33">
        <f>D55*15</f>
        <v/>
      </c>
      <c r="G55" s="33" t="n"/>
      <c r="H55" s="33" t="n"/>
      <c r="I55" s="33" t="n"/>
      <c r="K55" s="33">
        <f>D55*35</f>
        <v/>
      </c>
      <c r="N55" s="5" t="n"/>
      <c r="P55" s="4" t="n"/>
      <c r="Q55" s="4" t="n"/>
      <c r="R55" s="4" t="n"/>
      <c r="S55" s="4" t="n"/>
    </row>
    <row r="56">
      <c r="A56" s="94" t="n"/>
      <c r="B56" s="109" t="inlineStr">
        <is>
          <t>DD-V-181-037</t>
        </is>
      </c>
      <c r="C56" s="80" t="n">
        <v>0.05</v>
      </c>
      <c r="D56" s="1">
        <f>C56*9</f>
        <v/>
      </c>
      <c r="F56" s="33">
        <f>D56*15</f>
        <v/>
      </c>
      <c r="G56" s="33" t="n"/>
      <c r="H56" s="33" t="n"/>
      <c r="I56" s="33" t="n"/>
      <c r="K56" s="33">
        <f>D56*35</f>
        <v/>
      </c>
      <c r="N56" s="5" t="n"/>
      <c r="P56" s="4" t="n"/>
      <c r="Q56" s="4" t="n"/>
      <c r="R56" s="4" t="n"/>
      <c r="S56" s="4" t="n"/>
    </row>
    <row r="57">
      <c r="A57" s="94" t="n"/>
      <c r="B57" s="109" t="inlineStr">
        <is>
          <t>DD-V-181-038</t>
        </is>
      </c>
      <c r="C57" s="80" t="n">
        <v>0.05</v>
      </c>
      <c r="D57" s="1">
        <f>C57*9</f>
        <v/>
      </c>
      <c r="F57" s="33">
        <f>D57*15</f>
        <v/>
      </c>
      <c r="G57" s="33" t="n"/>
      <c r="H57" s="33" t="n"/>
      <c r="I57" s="33" t="n"/>
      <c r="K57" s="33">
        <f>D57*35</f>
        <v/>
      </c>
      <c r="N57" s="5" t="n"/>
      <c r="P57" s="4" t="n"/>
      <c r="Q57" s="4" t="n"/>
      <c r="R57" s="4" t="n"/>
      <c r="S57" s="4" t="n"/>
    </row>
    <row r="58">
      <c r="A58" s="94" t="n"/>
      <c r="B58" s="109" t="inlineStr">
        <is>
          <t>DD-V-181-030</t>
        </is>
      </c>
      <c r="C58" s="80" t="n">
        <v>0.05</v>
      </c>
      <c r="D58" s="1">
        <f>C58*9</f>
        <v/>
      </c>
      <c r="G58" s="33" t="n"/>
      <c r="H58" s="33" t="n"/>
      <c r="I58" s="33">
        <f>D58*10</f>
        <v/>
      </c>
      <c r="K58" s="33">
        <f>D58*35</f>
        <v/>
      </c>
      <c r="N58" s="5" t="n"/>
      <c r="P58" s="4" t="n"/>
      <c r="Q58" s="4" t="n"/>
      <c r="R58" s="4" t="n"/>
      <c r="S58" s="4" t="n"/>
    </row>
    <row r="59">
      <c r="A59" s="94" t="n"/>
      <c r="B59" s="109" t="inlineStr">
        <is>
          <t>DD-V-181-039</t>
        </is>
      </c>
      <c r="C59" s="80" t="n">
        <v>0.05</v>
      </c>
      <c r="D59" s="1">
        <f>C59*9</f>
        <v/>
      </c>
      <c r="G59" s="33" t="n"/>
      <c r="H59" s="33" t="n"/>
      <c r="I59" s="33">
        <f>D59*10</f>
        <v/>
      </c>
      <c r="K59" s="33">
        <f>D59*35</f>
        <v/>
      </c>
      <c r="N59" s="5" t="n"/>
      <c r="P59" s="4" t="n"/>
      <c r="Q59" s="4" t="n"/>
      <c r="R59" s="4" t="n"/>
      <c r="S59" s="4" t="n"/>
    </row>
    <row r="60">
      <c r="A60" s="94" t="n"/>
      <c r="B60" s="109" t="inlineStr">
        <is>
          <t>DD-V-181-040</t>
        </is>
      </c>
      <c r="C60" s="80" t="n">
        <v>0.05</v>
      </c>
      <c r="D60" s="1">
        <f>C60*9</f>
        <v/>
      </c>
      <c r="G60" s="33" t="n"/>
      <c r="H60" s="33" t="n"/>
      <c r="I60" s="33">
        <f>D60*10</f>
        <v/>
      </c>
      <c r="K60" s="33">
        <f>D60*35</f>
        <v/>
      </c>
      <c r="N60" s="5" t="n"/>
      <c r="P60" s="4" t="n"/>
      <c r="Q60" s="4" t="n"/>
      <c r="R60" s="4" t="n"/>
      <c r="S60" s="4" t="n"/>
    </row>
    <row r="61">
      <c r="A61" s="94" t="n"/>
      <c r="B61" s="109" t="inlineStr">
        <is>
          <t>DD-V-181-031</t>
        </is>
      </c>
      <c r="C61" s="80" t="n">
        <v>0.05</v>
      </c>
      <c r="D61" s="1">
        <f>C61*9</f>
        <v/>
      </c>
      <c r="G61" s="33" t="n"/>
      <c r="H61" s="33" t="n"/>
      <c r="I61" s="33">
        <f>D61*10</f>
        <v/>
      </c>
      <c r="K61" s="33">
        <f>D61*35</f>
        <v/>
      </c>
      <c r="N61" s="5" t="n"/>
      <c r="P61" s="4" t="n"/>
      <c r="Q61" s="4" t="n"/>
      <c r="R61" s="4" t="n"/>
      <c r="S61" s="4" t="n"/>
    </row>
    <row r="62">
      <c r="A62" s="94" t="n"/>
      <c r="B62" s="109" t="inlineStr">
        <is>
          <t>DD-V-181-041</t>
        </is>
      </c>
      <c r="C62" s="80" t="n">
        <v>0.05</v>
      </c>
      <c r="D62" s="1">
        <f>C62*9</f>
        <v/>
      </c>
      <c r="G62" s="33" t="n"/>
      <c r="H62" s="33" t="n"/>
      <c r="I62" s="33">
        <f>D62*10</f>
        <v/>
      </c>
      <c r="K62" s="33">
        <f>D62*35</f>
        <v/>
      </c>
      <c r="N62" s="5" t="n"/>
      <c r="P62" s="4" t="n"/>
      <c r="Q62" s="4" t="n"/>
      <c r="R62" s="4" t="n"/>
      <c r="S62" s="4" t="n"/>
    </row>
    <row r="63">
      <c r="A63" s="94" t="n"/>
      <c r="B63" s="109" t="inlineStr">
        <is>
          <t>DD-V-181-042</t>
        </is>
      </c>
      <c r="C63" s="80" t="n">
        <v>0.05</v>
      </c>
      <c r="D63" s="1">
        <f>C63*9</f>
        <v/>
      </c>
      <c r="G63" s="33" t="n"/>
      <c r="H63" s="33" t="n"/>
      <c r="I63" s="33">
        <f>D63*10</f>
        <v/>
      </c>
      <c r="K63" s="33">
        <f>D63*35</f>
        <v/>
      </c>
      <c r="N63" s="5" t="n"/>
      <c r="P63" s="4" t="n"/>
      <c r="Q63" s="4" t="n"/>
      <c r="R63" s="4" t="n"/>
      <c r="S63" s="4" t="n"/>
    </row>
    <row r="64">
      <c r="A64" s="94" t="n"/>
      <c r="B64" s="109" t="inlineStr">
        <is>
          <t>DD-V-181-043</t>
        </is>
      </c>
      <c r="C64" s="80" t="n">
        <v>0.05</v>
      </c>
      <c r="D64" s="1">
        <f>C64*9</f>
        <v/>
      </c>
      <c r="G64" s="33" t="n"/>
      <c r="H64" s="33" t="n"/>
      <c r="I64" s="33">
        <f>D64*10</f>
        <v/>
      </c>
      <c r="K64" s="33">
        <f>D64*35</f>
        <v/>
      </c>
      <c r="N64" s="5" t="n"/>
      <c r="P64" s="4" t="n"/>
      <c r="Q64" s="4" t="n"/>
      <c r="R64" s="4" t="n"/>
      <c r="S64" s="4" t="n"/>
    </row>
    <row r="65">
      <c r="A65" s="94" t="n"/>
      <c r="B65" s="109" t="inlineStr">
        <is>
          <t>DD-V-181-044</t>
        </is>
      </c>
      <c r="C65" s="80" t="n">
        <v>0.05</v>
      </c>
      <c r="D65" s="1">
        <f>C65*9</f>
        <v/>
      </c>
      <c r="G65" s="33" t="n"/>
      <c r="H65" s="33" t="n"/>
      <c r="I65" s="33">
        <f>D65*10</f>
        <v/>
      </c>
      <c r="K65" s="33">
        <f>D65*35</f>
        <v/>
      </c>
      <c r="N65" s="5" t="n"/>
      <c r="P65" s="4" t="n"/>
      <c r="Q65" s="4" t="n"/>
      <c r="R65" s="4" t="n"/>
      <c r="S65" s="4" t="n"/>
    </row>
    <row r="66">
      <c r="A66" s="94" t="n"/>
      <c r="B66" s="109" t="inlineStr">
        <is>
          <t>DD-V-235-002</t>
        </is>
      </c>
      <c r="C66" s="80" t="n">
        <v>1</v>
      </c>
      <c r="D66" s="1">
        <f>C66*9</f>
        <v/>
      </c>
      <c r="G66" s="33" t="n"/>
      <c r="H66" s="33">
        <f>D66*15</f>
        <v/>
      </c>
      <c r="I66" s="33" t="n"/>
      <c r="K66" s="33">
        <f>D66*35</f>
        <v/>
      </c>
      <c r="N66" s="5" t="n"/>
      <c r="P66" s="4" t="n"/>
      <c r="Q66" s="4" t="n"/>
      <c r="R66" s="4" t="n"/>
      <c r="S66" s="4" t="n"/>
    </row>
    <row r="67">
      <c r="A67" s="94" t="n"/>
      <c r="B67" s="109" t="inlineStr">
        <is>
          <t>DD-V-078-055</t>
        </is>
      </c>
      <c r="C67" s="80" t="n">
        <v>0.2</v>
      </c>
      <c r="D67" s="1">
        <f>C67*9</f>
        <v/>
      </c>
      <c r="G67" s="33" t="n"/>
      <c r="H67" s="33">
        <f>D67*15</f>
        <v/>
      </c>
      <c r="I67" s="33" t="n"/>
      <c r="K67" s="33">
        <f>D67*35</f>
        <v/>
      </c>
    </row>
    <row r="68">
      <c r="A68" s="94" t="n"/>
      <c r="B68" s="109" t="inlineStr">
        <is>
          <t>DD-V-181-005</t>
        </is>
      </c>
      <c r="C68" s="80" t="n">
        <v>0.1</v>
      </c>
      <c r="D68" s="1">
        <f>C68*9</f>
        <v/>
      </c>
      <c r="G68" s="33" t="n"/>
      <c r="H68" s="33">
        <f>D68*15</f>
        <v/>
      </c>
      <c r="I68" s="33" t="n"/>
      <c r="K68" s="33">
        <f>D68*35</f>
        <v/>
      </c>
    </row>
    <row r="69">
      <c r="A69" s="94" t="n"/>
      <c r="B69" s="117" t="inlineStr">
        <is>
          <t>DD-V-126-032</t>
        </is>
      </c>
      <c r="C69" s="80" t="n">
        <v>0.5</v>
      </c>
      <c r="D69" s="1">
        <f>C69*9</f>
        <v/>
      </c>
      <c r="G69" s="33" t="n"/>
      <c r="H69" s="33" t="n"/>
      <c r="I69" s="33">
        <f>D69*10</f>
        <v/>
      </c>
      <c r="K69" s="33">
        <f>D69*35</f>
        <v/>
      </c>
    </row>
    <row r="70">
      <c r="A70" s="94" t="n"/>
      <c r="B70" s="117" t="inlineStr">
        <is>
          <t>DD-V-144-032</t>
        </is>
      </c>
      <c r="C70" s="80" t="n">
        <v>0.5</v>
      </c>
      <c r="D70" s="1">
        <f>C70*9</f>
        <v/>
      </c>
      <c r="G70" s="33" t="n"/>
      <c r="H70" s="33" t="n"/>
      <c r="I70" s="33">
        <f>D70*10</f>
        <v/>
      </c>
      <c r="K70" s="33">
        <f>D70*35</f>
        <v/>
      </c>
    </row>
    <row r="71">
      <c r="A71" s="94" t="n"/>
      <c r="B71" s="117" t="inlineStr">
        <is>
          <t>DD-V-049-031</t>
        </is>
      </c>
      <c r="C71" s="80" t="n">
        <v>0.5</v>
      </c>
      <c r="D71" s="1">
        <f>C71*9</f>
        <v/>
      </c>
      <c r="G71" s="33" t="n"/>
      <c r="H71" s="33">
        <f>D71*15</f>
        <v/>
      </c>
      <c r="K71" s="33">
        <f>D71*35</f>
        <v/>
      </c>
    </row>
    <row r="72">
      <c r="A72" s="94" t="n"/>
      <c r="B72" s="109" t="inlineStr">
        <is>
          <t>DD-V-242-002</t>
        </is>
      </c>
      <c r="C72" s="80" t="n">
        <v>0.5</v>
      </c>
      <c r="D72" s="1">
        <f>C72*9</f>
        <v/>
      </c>
      <c r="G72" s="33" t="n"/>
      <c r="H72" s="33">
        <f>D72*15</f>
        <v/>
      </c>
      <c r="K72" s="33">
        <f>D72*35</f>
        <v/>
      </c>
    </row>
    <row r="73">
      <c r="A73" s="94" t="n"/>
      <c r="B73" s="109" t="inlineStr">
        <is>
          <t>DD-V-078-056</t>
        </is>
      </c>
      <c r="C73" s="80" t="n">
        <v>1</v>
      </c>
      <c r="D73" s="1">
        <f>C73*9</f>
        <v/>
      </c>
      <c r="G73" s="33" t="n"/>
      <c r="H73" s="33" t="n"/>
      <c r="I73" s="33">
        <f>D73*12</f>
        <v/>
      </c>
      <c r="K73" s="33">
        <f>D73*35</f>
        <v/>
      </c>
    </row>
    <row r="74">
      <c r="A74" s="94" t="n"/>
      <c r="B74" s="109" t="inlineStr">
        <is>
          <t>DD-V-221-002</t>
        </is>
      </c>
      <c r="C74" s="80" t="n">
        <v>0.5</v>
      </c>
      <c r="D74" s="1">
        <f>C74*9</f>
        <v/>
      </c>
      <c r="G74" s="33" t="n"/>
      <c r="H74" s="33">
        <f>D74*15</f>
        <v/>
      </c>
      <c r="K74" s="33">
        <f>D74*35</f>
        <v/>
      </c>
    </row>
    <row r="75">
      <c r="A75" s="94" t="n"/>
      <c r="B75" s="109" t="inlineStr">
        <is>
          <t>DD-V-233-002</t>
        </is>
      </c>
      <c r="C75" s="80" t="n">
        <v>0.5</v>
      </c>
      <c r="D75" s="1">
        <f>C75*9</f>
        <v/>
      </c>
      <c r="G75" s="33" t="n"/>
      <c r="H75" s="33">
        <f>D75*15</f>
        <v/>
      </c>
      <c r="K75" s="33">
        <f>D75*35</f>
        <v/>
      </c>
    </row>
    <row r="76">
      <c r="A76" s="94" t="n"/>
      <c r="B76" s="109" t="inlineStr">
        <is>
          <t>DD-V-078-053</t>
        </is>
      </c>
      <c r="C76" s="80" t="n">
        <v>0.5</v>
      </c>
      <c r="D76" s="1">
        <f>C76*9</f>
        <v/>
      </c>
      <c r="E76" s="109" t="n"/>
      <c r="F76" s="109" t="n"/>
      <c r="G76" s="109" t="n"/>
      <c r="H76" s="33">
        <f>D76*15</f>
        <v/>
      </c>
      <c r="I76" s="109" t="n"/>
      <c r="J76" s="109" t="n"/>
      <c r="K76" s="33">
        <f>D76*35</f>
        <v/>
      </c>
      <c r="L76" s="127" t="n"/>
    </row>
    <row r="77">
      <c r="A77" s="94" t="n"/>
      <c r="B77" s="109" t="inlineStr">
        <is>
          <t>DD-V-078-054</t>
        </is>
      </c>
      <c r="C77" s="80" t="n">
        <v>0.5</v>
      </c>
      <c r="D77" s="1">
        <f>C77*9</f>
        <v/>
      </c>
      <c r="E77" s="109" t="n"/>
      <c r="F77" s="109" t="n"/>
      <c r="G77" s="109" t="n"/>
      <c r="H77" s="109" t="n"/>
      <c r="I77" s="33">
        <f>D77*12</f>
        <v/>
      </c>
      <c r="J77" s="109" t="n"/>
      <c r="K77" s="33">
        <f>D77*35</f>
        <v/>
      </c>
      <c r="L77" s="127" t="n"/>
    </row>
    <row r="78">
      <c r="A78" s="109" t="n"/>
      <c r="B78" s="109" t="n"/>
      <c r="C78" s="80" t="n"/>
      <c r="G78" s="33" t="n"/>
      <c r="H78" s="33" t="n"/>
      <c r="K78" s="33" t="n"/>
    </row>
    <row r="79">
      <c r="A79" s="109" t="n"/>
      <c r="B79" s="109" t="n"/>
      <c r="C79" s="80" t="n"/>
      <c r="G79" s="33" t="n"/>
      <c r="H79" s="33" t="n"/>
      <c r="I79" s="33" t="n"/>
      <c r="K79" s="33" t="n"/>
    </row>
    <row r="80">
      <c r="A80" s="115" t="inlineStr">
        <is>
          <t>2D DX</t>
        </is>
      </c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P80" s="6" t="n"/>
      <c r="Q80" s="4" t="n"/>
      <c r="R80" s="4" t="n"/>
      <c r="S80" s="4" t="n"/>
    </row>
    <row r="81">
      <c r="A81" s="94" t="n"/>
      <c r="B81" s="109" t="inlineStr">
        <is>
          <t>DX-FG-009-002</t>
        </is>
      </c>
      <c r="C81" s="80" t="n">
        <v>0.5</v>
      </c>
      <c r="D81" s="1">
        <f>C81*9</f>
        <v/>
      </c>
      <c r="F81" s="33">
        <f>D81*15</f>
        <v/>
      </c>
      <c r="G81" s="33" t="n"/>
      <c r="H81" s="33" t="n"/>
      <c r="I81" s="33" t="n"/>
      <c r="K81" s="33">
        <f>D81*35</f>
        <v/>
      </c>
      <c r="P81" s="6" t="n"/>
      <c r="Q81" s="4" t="n"/>
      <c r="R81" s="4" t="n"/>
      <c r="S81" s="4" t="n"/>
    </row>
    <row r="82">
      <c r="A82" s="94" t="n"/>
      <c r="B82" s="109" t="inlineStr">
        <is>
          <t>DX-SPS-004-006</t>
        </is>
      </c>
      <c r="C82" s="80" t="n">
        <v>0.5</v>
      </c>
      <c r="D82" s="1">
        <f>C82*9</f>
        <v/>
      </c>
      <c r="F82" s="33">
        <f>D82*15</f>
        <v/>
      </c>
      <c r="G82" s="33" t="n"/>
      <c r="H82" s="33" t="n"/>
      <c r="I82" s="33" t="n"/>
      <c r="K82" s="33">
        <f>D82*35</f>
        <v/>
      </c>
      <c r="P82" s="4" t="n"/>
      <c r="Q82" s="4" t="n"/>
      <c r="R82" s="4" t="n"/>
      <c r="S82" s="4" t="n"/>
    </row>
    <row r="83">
      <c r="A83" s="94" t="n"/>
      <c r="B83" s="109" t="inlineStr">
        <is>
          <t>DX-B-015-003</t>
        </is>
      </c>
      <c r="C83" s="80" t="n">
        <v>0.5</v>
      </c>
      <c r="D83" s="1">
        <f>C83*9</f>
        <v/>
      </c>
      <c r="F83" s="33">
        <f>D83*5</f>
        <v/>
      </c>
      <c r="G83" s="33">
        <f>D83*10</f>
        <v/>
      </c>
      <c r="H83" s="33" t="n"/>
      <c r="I83" s="33" t="n"/>
      <c r="K83" s="33">
        <f>D83*35</f>
        <v/>
      </c>
      <c r="P83" s="33" t="n"/>
      <c r="Q83" s="4" t="n"/>
      <c r="R83" s="4" t="n"/>
      <c r="S83" s="4" t="n"/>
    </row>
    <row r="84">
      <c r="A84" s="94" t="n"/>
      <c r="B84" s="109" t="inlineStr">
        <is>
          <t>DX-B-011-008</t>
        </is>
      </c>
      <c r="C84" s="80" t="n">
        <v>0.5</v>
      </c>
      <c r="D84" s="1">
        <f>C84*9</f>
        <v/>
      </c>
      <c r="F84" s="33">
        <f>D84*5</f>
        <v/>
      </c>
      <c r="G84" s="33">
        <f>D84*10</f>
        <v/>
      </c>
      <c r="H84" s="33" t="n"/>
      <c r="I84" s="33" t="n"/>
      <c r="K84" s="33">
        <f>D84*35</f>
        <v/>
      </c>
      <c r="P84" s="33" t="n"/>
      <c r="Q84" s="4" t="n"/>
      <c r="R84" s="4" t="n"/>
      <c r="S84" s="4" t="n"/>
    </row>
    <row r="85">
      <c r="A85" s="94" t="n"/>
      <c r="B85" s="109" t="inlineStr">
        <is>
          <t>DX-SS-011-001</t>
        </is>
      </c>
      <c r="C85" s="80" t="n">
        <v>2</v>
      </c>
      <c r="D85" s="1">
        <f>C85*9</f>
        <v/>
      </c>
      <c r="F85" s="33">
        <f>D85*5</f>
        <v/>
      </c>
      <c r="G85" s="33">
        <f>D85*10</f>
        <v/>
      </c>
      <c r="H85" s="33" t="n"/>
      <c r="I85" s="33" t="n"/>
      <c r="K85" s="33">
        <f>D85*35</f>
        <v/>
      </c>
      <c r="P85" s="4" t="n"/>
      <c r="Q85" s="4" t="n"/>
      <c r="R85" s="4" t="n"/>
      <c r="S85" s="4" t="n"/>
    </row>
    <row r="86">
      <c r="A86" s="94" t="n"/>
      <c r="B86" s="109" t="inlineStr">
        <is>
          <t>DX-SS-011-002</t>
        </is>
      </c>
      <c r="C86" s="80" t="n">
        <v>0.5</v>
      </c>
      <c r="D86" s="1">
        <f>C86*9</f>
        <v/>
      </c>
      <c r="F86" s="33">
        <f>D86*5</f>
        <v/>
      </c>
      <c r="G86" s="33">
        <f>D86*10</f>
        <v/>
      </c>
      <c r="H86" s="33" t="n"/>
      <c r="I86" s="33" t="n"/>
      <c r="K86" s="33">
        <f>D86*35</f>
        <v/>
      </c>
    </row>
    <row r="87">
      <c r="A87" s="94" t="n"/>
      <c r="B87" s="109" t="inlineStr">
        <is>
          <t>DX-B-015-001</t>
        </is>
      </c>
      <c r="C87" s="80" t="n">
        <v>0.5</v>
      </c>
      <c r="D87" s="1">
        <f>C87*9</f>
        <v/>
      </c>
      <c r="F87" s="33">
        <f>D87*15</f>
        <v/>
      </c>
      <c r="G87" s="33" t="n"/>
      <c r="H87" s="33" t="n"/>
      <c r="I87" s="33" t="n"/>
      <c r="K87" s="33">
        <f>D87*35</f>
        <v/>
      </c>
      <c r="P87" s="4" t="n"/>
      <c r="Q87" s="4" t="n"/>
      <c r="R87" s="4" t="n"/>
      <c r="S87" s="4" t="n"/>
    </row>
    <row r="88">
      <c r="A88" s="94" t="n"/>
      <c r="B88" s="109" t="inlineStr">
        <is>
          <t>DX-B-034-001</t>
        </is>
      </c>
      <c r="C88" s="80" t="n">
        <v>0.3</v>
      </c>
      <c r="D88" s="1">
        <f>C88*9</f>
        <v/>
      </c>
      <c r="F88" s="33">
        <f>D88*5</f>
        <v/>
      </c>
      <c r="G88" s="33">
        <f>D88*10</f>
        <v/>
      </c>
      <c r="H88" s="33" t="n"/>
      <c r="I88" s="33" t="n"/>
      <c r="K88" s="33">
        <f>D88*35</f>
        <v/>
      </c>
    </row>
    <row r="89">
      <c r="A89" s="100" t="n"/>
      <c r="B89" s="109" t="inlineStr">
        <is>
          <t>DX-B-054-001</t>
        </is>
      </c>
      <c r="C89" s="80" t="n">
        <v>0.5</v>
      </c>
      <c r="D89" s="1">
        <f>C89*9</f>
        <v/>
      </c>
      <c r="F89" s="33">
        <f>D89*5</f>
        <v/>
      </c>
      <c r="G89" s="33">
        <f>D89*10</f>
        <v/>
      </c>
      <c r="H89" s="33" t="n"/>
      <c r="I89" s="33" t="n"/>
      <c r="K89" s="33">
        <f>D89*35</f>
        <v/>
      </c>
    </row>
    <row r="90">
      <c r="A90" s="94" t="n"/>
      <c r="B90" s="109" t="inlineStr">
        <is>
          <t>DX-LO-014-002</t>
        </is>
      </c>
      <c r="C90" s="80" t="n">
        <v>0.5</v>
      </c>
      <c r="D90" s="1">
        <f>C90*9</f>
        <v/>
      </c>
      <c r="F90" s="33">
        <f>D90*15</f>
        <v/>
      </c>
      <c r="G90" s="33" t="n"/>
      <c r="H90" s="33" t="n"/>
      <c r="I90" s="33" t="n"/>
      <c r="K90" s="33">
        <f>D90*35</f>
        <v/>
      </c>
    </row>
    <row r="91">
      <c r="A91" s="94" t="n"/>
      <c r="B91" s="109" t="inlineStr">
        <is>
          <t>DX-LO-014-003</t>
        </is>
      </c>
      <c r="C91" s="80" t="n">
        <v>0.5</v>
      </c>
      <c r="D91" s="1">
        <f>C91*9</f>
        <v/>
      </c>
      <c r="F91" s="33">
        <f>D91*15</f>
        <v/>
      </c>
      <c r="G91" s="33" t="n"/>
      <c r="H91" s="33" t="n"/>
      <c r="I91" s="33" t="n"/>
      <c r="K91" s="33">
        <f>D91*35</f>
        <v/>
      </c>
    </row>
    <row r="92">
      <c r="A92" s="109" t="n"/>
      <c r="B92" s="1" t="n"/>
      <c r="C92" s="80" t="n"/>
      <c r="F92" s="33" t="n"/>
      <c r="G92" s="33" t="n"/>
      <c r="H92" s="33" t="n"/>
      <c r="I92" s="33" t="n"/>
      <c r="K92" s="33" t="n"/>
      <c r="P92" s="4" t="n"/>
      <c r="Q92" s="4" t="n"/>
      <c r="R92" s="4" t="n"/>
      <c r="S92" s="4" t="n"/>
    </row>
    <row r="93">
      <c r="A93" s="115" t="inlineStr">
        <is>
          <t>2D DD</t>
        </is>
      </c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</row>
    <row r="94">
      <c r="A94" s="94" t="n"/>
      <c r="B94" s="119" t="inlineStr">
        <is>
          <t>DD-B-092-002</t>
        </is>
      </c>
      <c r="C94" s="80" t="n">
        <v>0.2</v>
      </c>
      <c r="D94" s="1">
        <f>C94*9</f>
        <v/>
      </c>
      <c r="F94" s="33">
        <f>D94*5</f>
        <v/>
      </c>
      <c r="G94" s="33">
        <f>D94*10</f>
        <v/>
      </c>
      <c r="K94" s="33">
        <f>D94*35</f>
        <v/>
      </c>
    </row>
    <row r="95">
      <c r="A95" s="94" t="n"/>
      <c r="B95" s="118" t="inlineStr">
        <is>
          <t>DD-LO-021-002</t>
        </is>
      </c>
      <c r="C95" s="80" t="n">
        <v>0.5</v>
      </c>
      <c r="D95" s="1">
        <f>C95*9</f>
        <v/>
      </c>
      <c r="F95" s="33">
        <f>D95*15</f>
        <v/>
      </c>
      <c r="G95" s="33" t="n"/>
      <c r="K95" s="33">
        <f>D95*35</f>
        <v/>
      </c>
    </row>
    <row r="96">
      <c r="B96" s="118" t="n"/>
      <c r="C96" s="80" t="n"/>
      <c r="F96" s="33" t="n"/>
      <c r="G96" s="33" t="n"/>
      <c r="K96" s="33" t="n"/>
    </row>
    <row r="98">
      <c r="A98" s="11" t="n"/>
      <c r="B98" s="61" t="n"/>
      <c r="C98" s="11">
        <f>SUM(C6:C95)</f>
        <v/>
      </c>
      <c r="D98" s="11">
        <f>SUM(D6:D95)</f>
        <v/>
      </c>
      <c r="E98" s="62" t="n"/>
      <c r="F98" s="63">
        <f>SUM(F6:F92)</f>
        <v/>
      </c>
      <c r="G98" s="63">
        <f>SUM(G6:G92)</f>
        <v/>
      </c>
      <c r="H98" s="63">
        <f>SUM(H6:H92)</f>
        <v/>
      </c>
      <c r="I98" s="63">
        <f>SUM(I6:I92)</f>
        <v/>
      </c>
      <c r="J98" s="63">
        <f>SUM(F98:I98)</f>
        <v/>
      </c>
      <c r="K98" s="64">
        <f>SUM(K6:K97)</f>
        <v/>
      </c>
    </row>
    <row r="99">
      <c r="F99" s="116">
        <f>F98*40</f>
        <v/>
      </c>
      <c r="G99" s="116">
        <f>G98*40</f>
        <v/>
      </c>
      <c r="H99" s="116">
        <f>H98*40</f>
        <v/>
      </c>
      <c r="I99" s="116">
        <f>I98*40</f>
        <v/>
      </c>
      <c r="J99" s="116">
        <f>J98*40</f>
        <v/>
      </c>
      <c r="K99" s="33">
        <f>K98*40</f>
        <v/>
      </c>
    </row>
    <row r="100">
      <c r="G100" s="33" t="n"/>
    </row>
    <row r="101">
      <c r="G101" s="33" t="n"/>
    </row>
  </sheetData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2" topLeftCell="A26" activePane="bottomLeft" state="frozen"/>
      <selection pane="bottomLeft" activeCell="J53" sqref="J53"/>
    </sheetView>
  </sheetViews>
  <sheetFormatPr baseColWidth="10" defaultRowHeight="16"/>
  <cols>
    <col width="3.6640625" bestFit="1" customWidth="1" style="1" min="1" max="1"/>
    <col width="83" customWidth="1" style="2" min="2" max="2"/>
    <col width="10.83203125" customWidth="1" style="1" min="3" max="4"/>
    <col width="9.83203125" customWidth="1" style="1" min="5" max="5"/>
    <col width="10.33203125" customWidth="1" style="1" min="6" max="6"/>
    <col width="10.83203125" customWidth="1" style="1" min="7" max="7"/>
    <col width="11.1640625" customWidth="1" style="1" min="8" max="8"/>
    <col width="11" customWidth="1" style="1" min="9" max="9"/>
    <col width="10.33203125" customWidth="1" style="1" min="10" max="10"/>
    <col width="12.33203125" customWidth="1" style="1" min="11" max="11"/>
    <col width="14" bestFit="1" customWidth="1" style="1" min="12" max="12"/>
    <col width="12.5" bestFit="1" customWidth="1" style="1" min="13" max="13"/>
    <col width="13" customWidth="1" style="1" min="14" max="14"/>
    <col width="10.83203125" customWidth="1" style="1" min="15" max="16384"/>
  </cols>
  <sheetData>
    <row r="1">
      <c r="A1" s="11" t="n"/>
      <c r="B1" s="10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</row>
    <row r="2">
      <c r="B2" s="108" t="inlineStr">
        <is>
          <t>2024 PROJECT NAME</t>
        </is>
      </c>
      <c r="F2" s="41" t="inlineStr">
        <is>
          <t>Настя</t>
        </is>
      </c>
      <c r="G2" s="38" t="inlineStr">
        <is>
          <t>Сергій</t>
        </is>
      </c>
    </row>
    <row r="3">
      <c r="F3" s="38" t="n"/>
      <c r="G3" s="38" t="n"/>
    </row>
    <row r="5">
      <c r="A5" s="27" t="n"/>
      <c r="B5" s="23" t="inlineStr">
        <is>
          <t>August</t>
        </is>
      </c>
      <c r="C5" s="60" t="inlineStr">
        <is>
          <t>SHIFTS</t>
        </is>
      </c>
      <c r="D5" s="24" t="inlineStr">
        <is>
          <t>HOURS</t>
        </is>
      </c>
      <c r="E5" s="25" t="inlineStr">
        <is>
          <t>D.LINE</t>
        </is>
      </c>
      <c r="F5" s="102" t="inlineStr">
        <is>
          <t>EMPL 1</t>
        </is>
      </c>
      <c r="G5" s="102" t="inlineStr">
        <is>
          <t>EMPL 2</t>
        </is>
      </c>
      <c r="H5" s="31" t="inlineStr">
        <is>
          <t>Total EMPL</t>
        </is>
      </c>
      <c r="I5" s="39" t="inlineStr">
        <is>
          <t>STUDIO</t>
        </is>
      </c>
      <c r="J5" s="39" t="n"/>
      <c r="K5" s="39" t="n"/>
      <c r="L5" s="29" t="inlineStr">
        <is>
          <t>UAH</t>
        </is>
      </c>
      <c r="M5" s="16" t="inlineStr">
        <is>
          <t>USD</t>
        </is>
      </c>
    </row>
    <row r="6">
      <c r="A6" s="100" t="n">
        <v>1</v>
      </c>
      <c r="B6" s="111" t="inlineStr">
        <is>
          <t>DX-V-032-004_TinderSwipe_DX-V-026-001_EN_59s</t>
        </is>
      </c>
      <c r="C6" s="80" t="n">
        <v>0.7</v>
      </c>
      <c r="D6" s="1">
        <f>C6*9</f>
        <v/>
      </c>
      <c r="F6" s="33">
        <f>D6*15</f>
        <v/>
      </c>
      <c r="G6" s="3" t="n"/>
      <c r="I6" s="33">
        <f>D6*35</f>
        <v/>
      </c>
      <c r="K6" s="5" t="inlineStr">
        <is>
          <t>CLIENT IN</t>
        </is>
      </c>
      <c r="L6" s="7">
        <f>M6*40</f>
        <v/>
      </c>
      <c r="M6" s="8">
        <f>I45</f>
        <v/>
      </c>
      <c r="N6" s="33" t="n"/>
    </row>
    <row r="7">
      <c r="A7" s="94" t="n">
        <v>2</v>
      </c>
      <c r="B7" s="82" t="inlineStr">
        <is>
          <t>DX-V-032-005_TinderSwipe_NoCursor</t>
        </is>
      </c>
      <c r="C7" s="80" t="n">
        <v>0.5</v>
      </c>
      <c r="D7" s="1">
        <f>C7*9</f>
        <v/>
      </c>
      <c r="G7" s="33">
        <f>D7*15</f>
        <v/>
      </c>
      <c r="I7" s="33">
        <f>D7*35</f>
        <v/>
      </c>
      <c r="K7" s="5" t="inlineStr">
        <is>
          <t>STUDIO (TAX)</t>
        </is>
      </c>
      <c r="L7" s="7">
        <f>M7*40</f>
        <v/>
      </c>
      <c r="M7" s="8">
        <f>M6-M6*0.05</f>
        <v/>
      </c>
      <c r="N7" s="33" t="n"/>
    </row>
    <row r="8">
      <c r="A8" s="94" t="n">
        <v>3</v>
      </c>
      <c r="B8" s="104" t="inlineStr">
        <is>
          <t>DX-V-032-008_TinderSwipe_DX-H-048-001</t>
        </is>
      </c>
      <c r="C8" s="80" t="n">
        <v>0.3</v>
      </c>
      <c r="D8" s="1">
        <f>C8*9</f>
        <v/>
      </c>
      <c r="G8" s="33">
        <f>D8*15</f>
        <v/>
      </c>
      <c r="I8" s="33">
        <f>D8*35</f>
        <v/>
      </c>
      <c r="K8" s="5" t="inlineStr">
        <is>
          <t>EMPL</t>
        </is>
      </c>
      <c r="L8" s="7">
        <f>M8*40</f>
        <v/>
      </c>
      <c r="M8" s="8">
        <f>H45</f>
        <v/>
      </c>
      <c r="N8" s="33" t="n"/>
    </row>
    <row r="9">
      <c r="A9" s="94" t="n">
        <v>4</v>
      </c>
      <c r="B9" s="99" t="inlineStr">
        <is>
          <t>DX-V-002-016_Worlds_NLVillage_NL_30s LOC to EN</t>
        </is>
      </c>
      <c r="C9" s="80" t="n">
        <v>0.5</v>
      </c>
      <c r="D9" s="1">
        <f>C9*9</f>
        <v/>
      </c>
      <c r="G9" s="33">
        <f>D9*15</f>
        <v/>
      </c>
      <c r="I9" s="33">
        <f>D9*35</f>
        <v/>
      </c>
      <c r="K9" s="37" t="inlineStr">
        <is>
          <t>STUDIO</t>
        </is>
      </c>
      <c r="L9" s="7">
        <f>M9*40</f>
        <v/>
      </c>
      <c r="M9" s="8">
        <f>M7-M8</f>
        <v/>
      </c>
      <c r="N9" s="33" t="n"/>
      <c r="O9" s="4" t="n"/>
      <c r="P9" s="4" t="n"/>
      <c r="Q9" s="4" t="n"/>
    </row>
    <row r="10">
      <c r="A10" s="94" t="n">
        <v>5</v>
      </c>
      <c r="B10" s="69" t="inlineStr">
        <is>
          <t>DX-V-060-001_MKTrail_Netherlands | LOC*1: NL</t>
        </is>
      </c>
      <c r="C10" s="80" t="n">
        <v>0.5</v>
      </c>
      <c r="D10" s="1">
        <f>C10*9</f>
        <v/>
      </c>
      <c r="F10" s="33">
        <f>D10*15</f>
        <v/>
      </c>
      <c r="I10" s="33">
        <f>D10*35</f>
        <v/>
      </c>
      <c r="J10" s="8" t="n"/>
      <c r="K10" s="7" t="n"/>
      <c r="M10" s="4" t="n"/>
      <c r="N10" s="33" t="n"/>
    </row>
    <row r="11">
      <c r="A11" s="94" t="n">
        <v>6</v>
      </c>
      <c r="B11" s="81" t="inlineStr">
        <is>
          <t xml:space="preserve">DX-V-060-002_MKTrail_Netherlands_DX-H-067-001 (NLClogs) </t>
        </is>
      </c>
      <c r="C11" s="80" t="n">
        <v>0.5</v>
      </c>
      <c r="D11" s="1">
        <f>C11*9</f>
        <v/>
      </c>
      <c r="F11" s="33">
        <f>D11*15</f>
        <v/>
      </c>
      <c r="I11" s="33">
        <f>D11*35</f>
        <v/>
      </c>
      <c r="J11" s="36" t="inlineStr">
        <is>
          <t>EMPL</t>
        </is>
      </c>
      <c r="K11" s="34" t="inlineStr">
        <is>
          <t>COST</t>
        </is>
      </c>
      <c r="L11" s="17" t="inlineStr">
        <is>
          <t>2PAY</t>
        </is>
      </c>
      <c r="M11" s="35" t="inlineStr">
        <is>
          <t>PAID</t>
        </is>
      </c>
      <c r="N11" s="33" t="n"/>
    </row>
    <row r="12">
      <c r="A12" s="94" t="n">
        <v>7</v>
      </c>
      <c r="B12" s="81" t="inlineStr">
        <is>
          <t>DX-V-060-003_MKTrail_Netherlands_DX-H-066-001 (NLFlowerBlow)</t>
        </is>
      </c>
      <c r="C12" s="80" t="n">
        <v>0.5</v>
      </c>
      <c r="D12" s="1">
        <f>C12*9</f>
        <v/>
      </c>
      <c r="F12" s="33">
        <f>D12*15</f>
        <v/>
      </c>
      <c r="I12" s="33">
        <f>D12*35</f>
        <v/>
      </c>
      <c r="J12" s="32" t="inlineStr">
        <is>
          <t>EMPL 1</t>
        </is>
      </c>
      <c r="K12" s="28">
        <f>F45</f>
        <v/>
      </c>
      <c r="L12" s="33">
        <f>K12-M12</f>
        <v/>
      </c>
      <c r="M12" s="8" t="n"/>
      <c r="N12" s="33" t="n"/>
    </row>
    <row r="13">
      <c r="A13" s="107" t="n">
        <v>8</v>
      </c>
      <c r="B13" s="111" t="inlineStr">
        <is>
          <t>DX-V-060-005_MKTrail_HLWN_DD-H-170-001(FrankensteinTickle)</t>
        </is>
      </c>
      <c r="C13" s="80" t="n">
        <v>0.5</v>
      </c>
      <c r="D13" s="1">
        <f>C13*9</f>
        <v/>
      </c>
      <c r="I13" s="33">
        <f>D13*35</f>
        <v/>
      </c>
      <c r="J13" s="32" t="inlineStr">
        <is>
          <t>EMPL 2</t>
        </is>
      </c>
      <c r="K13" s="28">
        <f>G45</f>
        <v/>
      </c>
      <c r="L13" s="33">
        <f>K13-M13</f>
        <v/>
      </c>
      <c r="M13" s="8" t="n"/>
      <c r="N13" s="33" t="n"/>
    </row>
    <row r="14">
      <c r="A14" s="100" t="n">
        <v>9</v>
      </c>
      <c r="B14" s="105" t="inlineStr">
        <is>
          <t>DX-V-060-006_MKTrail_Netherlands_DX-H-045-003 (LeaningOnCloud_WIN-SFX)</t>
        </is>
      </c>
      <c r="C14" s="80" t="n">
        <v>0.5</v>
      </c>
      <c r="D14" s="1">
        <f>C14*9</f>
        <v/>
      </c>
      <c r="F14" s="33">
        <f>D14*15</f>
        <v/>
      </c>
      <c r="I14" s="33">
        <f>D14*35</f>
        <v/>
      </c>
      <c r="J14" s="32" t="n"/>
      <c r="K14" s="8" t="n"/>
      <c r="L14" s="33" t="n"/>
      <c r="M14" s="8" t="n"/>
      <c r="N14" s="33" t="n"/>
    </row>
    <row r="15">
      <c r="A15" s="94" t="n">
        <v>10</v>
      </c>
      <c r="B15" s="105" t="inlineStr">
        <is>
          <t>DX-V-060-007_MKTrail_Netherlands_DX-H-045-004 (LeaningOnCloud_FAIL-SFX)</t>
        </is>
      </c>
      <c r="C15" s="80" t="n">
        <v>0.5</v>
      </c>
      <c r="D15" s="1">
        <f>C15*9</f>
        <v/>
      </c>
      <c r="F15" s="33">
        <f>D15*15</f>
        <v/>
      </c>
      <c r="I15" s="33">
        <f>D15*35</f>
        <v/>
      </c>
      <c r="J15" s="32" t="n"/>
      <c r="K15" s="8" t="n"/>
      <c r="L15" s="33" t="n"/>
      <c r="M15" s="7" t="n"/>
      <c r="N15" s="33" t="n"/>
    </row>
    <row r="16">
      <c r="A16" s="94" t="n">
        <v>11</v>
      </c>
      <c r="B16" s="110" t="inlineStr">
        <is>
          <t>DX-V-033-008_BuildInPuzzle_DX-V-017-003 (WorldsIntro)_PTE</t>
        </is>
      </c>
      <c r="C16" s="80" t="n">
        <v>1.5</v>
      </c>
      <c r="D16" s="1">
        <f>C16*9</f>
        <v/>
      </c>
      <c r="I16" s="33">
        <f>D16*35</f>
        <v/>
      </c>
    </row>
    <row r="17">
      <c r="A17" s="94" t="n">
        <v>12</v>
      </c>
      <c r="B17" s="83" t="inlineStr">
        <is>
          <t>DD-V-079-001_GameplayPeoject_Blue_DE_30s</t>
        </is>
      </c>
      <c r="C17" s="80" t="n">
        <v>0.5</v>
      </c>
      <c r="D17" s="1">
        <f>C17*9</f>
        <v/>
      </c>
      <c r="F17" s="33">
        <f>D17*15</f>
        <v/>
      </c>
      <c r="I17" s="33">
        <f>D17*35</f>
        <v/>
      </c>
    </row>
    <row r="18">
      <c r="A18" s="94" t="n">
        <v>13</v>
      </c>
      <c r="B18" s="105" t="inlineStr">
        <is>
          <t>DD-V-079-020_GameplayProject_Blue_DD-H-073-001(HookXmas2021_Snowball)_DE_00s</t>
        </is>
      </c>
      <c r="C18" s="80" t="n">
        <v>0.3</v>
      </c>
      <c r="D18" s="1">
        <f>C18*9</f>
        <v/>
      </c>
      <c r="F18" s="33">
        <f>D18*15</f>
        <v/>
      </c>
      <c r="I18" s="33">
        <f>D18*35</f>
        <v/>
      </c>
      <c r="P18" s="4" t="n"/>
      <c r="Q18" s="4" t="n"/>
    </row>
    <row r="19">
      <c r="A19" s="94" t="n">
        <v>14</v>
      </c>
      <c r="B19" s="83" t="inlineStr">
        <is>
          <t>DD-V-079-019_GameplayProject_Blue_DD-H-177-001(HookBeerFest)_DE_00s</t>
        </is>
      </c>
      <c r="C19" s="80" t="n">
        <v>0.3</v>
      </c>
      <c r="D19" s="1">
        <f>C19*9</f>
        <v/>
      </c>
      <c r="F19" s="33">
        <f>D19*15</f>
        <v/>
      </c>
      <c r="I19" s="33">
        <f>D19*35</f>
        <v/>
      </c>
      <c r="N19" s="4" t="n"/>
      <c r="O19" s="4" t="n"/>
      <c r="P19" s="4" t="n"/>
      <c r="Q19" s="4" t="n"/>
    </row>
    <row r="20">
      <c r="A20" s="94" t="n">
        <v>15</v>
      </c>
      <c r="B20" s="83" t="inlineStr">
        <is>
          <t>DD-V-126-030_PullThePin_DD-H-177-001(HookBeerFest)_DE_00s</t>
        </is>
      </c>
      <c r="C20" s="80" t="n">
        <v>0.3</v>
      </c>
      <c r="D20" s="1">
        <f>C20*9</f>
        <v/>
      </c>
      <c r="G20" s="33">
        <f>D20*15</f>
        <v/>
      </c>
      <c r="I20" s="33">
        <f>D20*35</f>
        <v/>
      </c>
      <c r="L20" s="5" t="n"/>
      <c r="N20" s="4" t="n"/>
      <c r="O20" s="4" t="n"/>
      <c r="P20" s="4" t="n"/>
      <c r="Q20" s="4" t="n"/>
    </row>
    <row r="21">
      <c r="A21" s="94" t="n">
        <v>16</v>
      </c>
      <c r="B21" s="83" t="inlineStr">
        <is>
          <t>DD-V-123-002_BeerPong_DD-H-177-001(HookBeerFest)_DE_00s</t>
        </is>
      </c>
      <c r="C21" s="80" t="n">
        <v>0.3</v>
      </c>
      <c r="D21" s="1">
        <f>C21*9</f>
        <v/>
      </c>
      <c r="G21" s="33">
        <f>D21*15</f>
        <v/>
      </c>
      <c r="I21" s="33">
        <f>D21*35</f>
        <v/>
      </c>
      <c r="L21" s="5" t="n"/>
      <c r="N21" s="4" t="n"/>
      <c r="O21" s="4" t="n"/>
      <c r="P21" s="4" t="n"/>
      <c r="Q21" s="4" t="n"/>
    </row>
    <row r="22">
      <c r="A22" s="94" t="n">
        <v>17</v>
      </c>
      <c r="B22" s="83" t="inlineStr">
        <is>
          <t>DD-V-116-023_Trail_Xmas_DE_DD-H-073-001(HookXmas2021_Snowball)_DE_00s</t>
        </is>
      </c>
      <c r="C22" s="80" t="n">
        <v>0.3</v>
      </c>
      <c r="D22" s="1">
        <f>C22*9</f>
        <v/>
      </c>
      <c r="G22" s="33">
        <f>D22*15</f>
        <v/>
      </c>
      <c r="I22" s="33">
        <f>D22*35</f>
        <v/>
      </c>
      <c r="L22" s="5" t="n"/>
      <c r="N22" s="4" t="n"/>
      <c r="O22" s="4" t="n"/>
      <c r="P22" s="4" t="n"/>
      <c r="Q22" s="4" t="n"/>
    </row>
    <row r="23">
      <c r="A23" s="94" t="n">
        <v>18</v>
      </c>
      <c r="B23" s="83" t="inlineStr">
        <is>
          <t>DD-V-078-051_RoyalMatch_NoDiceTryYourself_DD-H-073-001(HookXmas2021_Snowball)_DE_00s</t>
        </is>
      </c>
      <c r="C23" s="80" t="n">
        <v>0.3</v>
      </c>
      <c r="D23" s="1">
        <f>C23*9</f>
        <v/>
      </c>
      <c r="G23" s="33">
        <f>D23*15</f>
        <v/>
      </c>
      <c r="I23" s="33">
        <f>D23*35</f>
        <v/>
      </c>
      <c r="L23" s="5" t="n"/>
      <c r="N23" s="4" t="n"/>
      <c r="O23" s="4" t="n"/>
      <c r="P23" s="4" t="n"/>
      <c r="Q23" s="4" t="n"/>
    </row>
    <row r="24">
      <c r="A24" s="94" t="n">
        <v>19</v>
      </c>
      <c r="B24" s="83" t="inlineStr">
        <is>
          <t>DD-V-078-050_RoyalMatch_NoDiceTryYourself_DD-H-177-001(HookBeerFest)_DE_00s</t>
        </is>
      </c>
      <c r="C24" s="80" t="n">
        <v>0.3</v>
      </c>
      <c r="D24" s="1">
        <f>C24*9</f>
        <v/>
      </c>
      <c r="G24" s="33">
        <f>D24*15</f>
        <v/>
      </c>
      <c r="I24" s="33">
        <f>D24*35</f>
        <v/>
      </c>
      <c r="L24" s="4" t="n"/>
      <c r="N24" s="6" t="n"/>
      <c r="O24" s="4" t="n"/>
      <c r="P24" s="4" t="n"/>
      <c r="Q24" s="4" t="n"/>
    </row>
    <row r="25">
      <c r="A25" s="94" t="n">
        <v>20</v>
      </c>
      <c r="B25" s="83" t="inlineStr">
        <is>
          <t>DD-V-122-002_LocalizedIntro_DD-H-177-001_DE-ASO</t>
        </is>
      </c>
      <c r="C25" s="80" t="n">
        <v>1</v>
      </c>
      <c r="D25" s="1">
        <f>C25*9</f>
        <v/>
      </c>
      <c r="G25" s="33">
        <f>D25*15</f>
        <v/>
      </c>
      <c r="I25" s="33">
        <f>D25*35</f>
        <v/>
      </c>
      <c r="L25" s="4" t="n"/>
      <c r="N25" s="6" t="n"/>
      <c r="O25" s="4" t="n"/>
      <c r="P25" s="4" t="n"/>
      <c r="Q25" s="4" t="n"/>
    </row>
    <row r="26">
      <c r="A26" s="94" t="n">
        <v>21</v>
      </c>
      <c r="B26" s="83" t="inlineStr">
        <is>
          <t>DD-V-126-031_PullThePin_DD-H-073-001(HookXmas2021_Snowball)_DE_00</t>
        </is>
      </c>
      <c r="C26" s="80" t="n">
        <v>0.3</v>
      </c>
      <c r="D26" s="1">
        <f>C26*9</f>
        <v/>
      </c>
      <c r="G26" s="33">
        <f>D26*15</f>
        <v/>
      </c>
      <c r="I26" s="33">
        <f>D26*35</f>
        <v/>
      </c>
      <c r="L26" s="4" t="n"/>
      <c r="N26" s="4" t="n"/>
      <c r="O26" s="4" t="n"/>
      <c r="P26" s="4" t="n"/>
      <c r="Q26" s="4" t="n"/>
    </row>
    <row r="27">
      <c r="A27" s="94" t="n">
        <v>22</v>
      </c>
      <c r="B27" s="110" t="inlineStr">
        <is>
          <t>DD-V-224-002_TeamChat_ShortVer_15s  |  comp</t>
        </is>
      </c>
      <c r="C27" s="80" t="n">
        <v>1</v>
      </c>
      <c r="D27" s="1">
        <f>C27*9</f>
        <v/>
      </c>
      <c r="F27" s="33" t="n"/>
      <c r="G27" s="33">
        <f>D27*15</f>
        <v/>
      </c>
      <c r="I27" s="33">
        <f>D27*35</f>
        <v/>
      </c>
      <c r="L27" s="4" t="n"/>
      <c r="N27" s="33" t="n"/>
      <c r="O27" s="4" t="n"/>
      <c r="P27" s="4" t="n"/>
      <c r="Q27" s="4" t="n"/>
    </row>
    <row r="28">
      <c r="A28" s="94" t="n">
        <v>23</v>
      </c>
      <c r="B28" s="98" t="inlineStr">
        <is>
          <t>DD-V-224-003_TeamChat_DD-H-175-001(80sIntro)_EN_45s  |  comp</t>
        </is>
      </c>
      <c r="C28" s="80" t="n">
        <v>0.5</v>
      </c>
      <c r="D28" s="1">
        <f>C28*9</f>
        <v/>
      </c>
      <c r="F28" s="33" t="n"/>
      <c r="G28" s="33">
        <f>D28*15</f>
        <v/>
      </c>
      <c r="I28" s="33">
        <f>D28*35</f>
        <v/>
      </c>
      <c r="L28" s="4" t="n"/>
      <c r="N28" s="33" t="n"/>
      <c r="O28" s="4" t="n"/>
      <c r="P28" s="4" t="n"/>
      <c r="Q28" s="4" t="n"/>
    </row>
    <row r="29">
      <c r="A29" s="94" t="n">
        <v>24</v>
      </c>
      <c r="B29" s="98" t="inlineStr">
        <is>
          <t>DD-V-224-004_TeamChat_DD-V-144-001(SimpleStealBlast)_EN_60s  |  comp</t>
        </is>
      </c>
      <c r="C29" s="80" t="n">
        <v>0.5</v>
      </c>
      <c r="D29" s="1">
        <f>C29*9</f>
        <v/>
      </c>
      <c r="F29" s="33" t="n"/>
      <c r="G29" s="33">
        <f>D29*15</f>
        <v/>
      </c>
      <c r="I29" s="33">
        <f>D29*35</f>
        <v/>
      </c>
      <c r="L29" s="4" t="n"/>
      <c r="N29" s="4" t="n"/>
      <c r="O29" s="4" t="n"/>
      <c r="P29" s="4" t="n"/>
      <c r="Q29" s="4" t="n"/>
    </row>
    <row r="30">
      <c r="A30" s="106" t="n">
        <v>25</v>
      </c>
      <c r="B30" s="110" t="inlineStr">
        <is>
          <t>DD-V-223-002_FirstPlace_CTA_15s  |  comp</t>
        </is>
      </c>
      <c r="C30" s="80" t="n">
        <v>0.5</v>
      </c>
      <c r="D30" s="1">
        <f>C30*9</f>
        <v/>
      </c>
      <c r="G30" s="33">
        <f>D30*15</f>
        <v/>
      </c>
      <c r="I30" s="33">
        <f>D30*35</f>
        <v/>
      </c>
      <c r="L30" s="4" t="n"/>
    </row>
    <row r="31">
      <c r="A31" s="94" t="n">
        <v>26</v>
      </c>
      <c r="B31" s="110" t="inlineStr">
        <is>
          <t>DD-V-223-003_FirstPlace_DD-H-175-001_EN_45s  |  comp</t>
        </is>
      </c>
      <c r="C31" s="80" t="n">
        <v>0.5</v>
      </c>
      <c r="D31" s="1">
        <f>C31*9</f>
        <v/>
      </c>
      <c r="G31" s="33">
        <f>D31*15</f>
        <v/>
      </c>
      <c r="I31" s="33">
        <f>D31*35</f>
        <v/>
      </c>
      <c r="L31" s="4" t="n"/>
      <c r="N31" s="4" t="n"/>
      <c r="O31" s="4" t="n"/>
      <c r="P31" s="4" t="n"/>
      <c r="Q31" s="4" t="n"/>
    </row>
    <row r="32">
      <c r="A32" s="94" t="n">
        <v>27</v>
      </c>
      <c r="B32" s="83" t="inlineStr">
        <is>
          <t>DD-V-223_004_FirstPlace_DD-V-049-001(Trail_Knight)_EN_60s | comp</t>
        </is>
      </c>
      <c r="C32" s="80" t="n">
        <v>0.5</v>
      </c>
      <c r="D32" s="1">
        <f>C32*9</f>
        <v/>
      </c>
      <c r="G32" s="33">
        <f>D32*15</f>
        <v/>
      </c>
      <c r="I32" s="33">
        <f>D32*35</f>
        <v/>
      </c>
      <c r="M32" s="33" t="n"/>
    </row>
    <row r="33">
      <c r="A33" s="94" t="n">
        <v>28</v>
      </c>
      <c r="B33" s="97" t="inlineStr">
        <is>
          <t>DD-V-049-025_Trail_KnightCoins_EN LOC to IT</t>
        </is>
      </c>
      <c r="C33" s="80" t="n">
        <v>0.5</v>
      </c>
      <c r="D33" s="1">
        <f>C33*9</f>
        <v/>
      </c>
      <c r="F33" s="33" t="n"/>
      <c r="I33" s="33">
        <f>D33*35</f>
        <v/>
      </c>
      <c r="J33" s="33" t="n"/>
      <c r="K33" s="68" t="n"/>
    </row>
    <row r="34">
      <c r="A34" s="94" t="n">
        <v>29</v>
      </c>
      <c r="B34" s="97" t="inlineStr">
        <is>
          <t>DD-V-229-001_Coins&amp;Coins_EN LOC to IT- 0.5 shift</t>
        </is>
      </c>
      <c r="C34" s="80" t="n">
        <v>0.5</v>
      </c>
      <c r="D34" s="1">
        <f>C34*9</f>
        <v/>
      </c>
      <c r="G34" s="33">
        <f>D34*15</f>
        <v/>
      </c>
      <c r="I34" s="33">
        <f>D34*35</f>
        <v/>
      </c>
    </row>
    <row r="35">
      <c r="A35" s="94" t="n">
        <v>30</v>
      </c>
      <c r="B35" s="97" t="inlineStr">
        <is>
          <t xml:space="preserve">DD-V-212-001_FairytaleAttack_EN 30 LOC to IT- 0.5 shift </t>
        </is>
      </c>
      <c r="C35" s="80" t="n">
        <v>0.5</v>
      </c>
      <c r="D35" s="1">
        <f>C35*9</f>
        <v/>
      </c>
      <c r="F35" s="33">
        <f>D35*15</f>
        <v/>
      </c>
      <c r="I35" s="33">
        <f>D35*35</f>
        <v/>
      </c>
    </row>
    <row r="36">
      <c r="A36" s="107" t="n">
        <v>31</v>
      </c>
      <c r="B36" s="110" t="inlineStr">
        <is>
          <t>DD-V-221-001 LuckySpins [By RHQ] LOC to IT- 0.5 shift</t>
        </is>
      </c>
      <c r="C36" s="80" t="n">
        <v>0.5</v>
      </c>
      <c r="D36" s="1">
        <f>C36*9</f>
        <v/>
      </c>
      <c r="I36" s="33">
        <f>D36*35</f>
        <v/>
      </c>
    </row>
    <row r="37">
      <c r="A37" s="94" t="n">
        <v>32</v>
      </c>
      <c r="B37" s="97" t="inlineStr">
        <is>
          <t>DD-V-195-001_Stickers_LastSticker-Retro-1Left_RT_EN LOC to IT- 0.5 shift</t>
        </is>
      </c>
      <c r="C37" s="80" t="n">
        <v>0.5</v>
      </c>
      <c r="D37" s="1">
        <f>C37*9</f>
        <v/>
      </c>
      <c r="F37" s="33">
        <f>D37*15</f>
        <v/>
      </c>
      <c r="I37" s="33">
        <f>D37*35</f>
        <v/>
      </c>
      <c r="L37" s="4" t="n"/>
      <c r="N37" s="4" t="n"/>
      <c r="O37" s="4" t="n"/>
      <c r="P37" s="4" t="n"/>
      <c r="Q37" s="4" t="n"/>
    </row>
    <row r="38">
      <c r="A38" s="100" t="n">
        <v>33</v>
      </c>
      <c r="B38" s="97" t="inlineStr">
        <is>
          <t>DD-V-226-001_StickerGameplay [by RHQ] LOC to IT- 0.5 shift</t>
        </is>
      </c>
      <c r="C38" s="80" t="n">
        <v>0.5</v>
      </c>
      <c r="D38" s="1">
        <f>C38*9</f>
        <v/>
      </c>
      <c r="I38" s="33">
        <f>D38*35</f>
        <v/>
      </c>
      <c r="L38" s="4" t="n"/>
      <c r="N38" s="4" t="n"/>
      <c r="O38" s="4" t="n"/>
      <c r="P38" s="4" t="n"/>
      <c r="Q38" s="4" t="n"/>
    </row>
    <row r="39">
      <c r="A39" s="94" t="n">
        <v>34</v>
      </c>
      <c r="B39" s="105" t="inlineStr">
        <is>
          <t>DD-V-078-011_RoyalMatch_NoDiceDoBetter LOC to IT- 0.5 shift</t>
        </is>
      </c>
      <c r="C39" s="80" t="n">
        <v>0.5</v>
      </c>
      <c r="D39" s="1">
        <f>C39*9</f>
        <v/>
      </c>
      <c r="F39" s="33">
        <f>D39*15</f>
        <v/>
      </c>
      <c r="I39" s="33">
        <f>D39*35</f>
        <v/>
      </c>
    </row>
    <row r="40">
      <c r="A40" s="94" t="n">
        <v>35</v>
      </c>
      <c r="B40" s="97" t="inlineStr">
        <is>
          <t>DD-V-144-001_SimpleStealBlast_Pirate LOC to IT- 0.5 shift</t>
        </is>
      </c>
      <c r="C40" s="80" t="n">
        <v>0.5</v>
      </c>
      <c r="D40" s="1">
        <f>C40*9</f>
        <v/>
      </c>
      <c r="F40" s="33">
        <f>D40*15</f>
        <v/>
      </c>
      <c r="I40" s="33">
        <f>D40*35</f>
        <v/>
      </c>
    </row>
    <row r="41">
      <c r="A41" s="94" t="n">
        <v>36</v>
      </c>
      <c r="B41" s="97" t="inlineStr">
        <is>
          <t>DD-B-083-001_FreeFallSkyDive LOC to IT- 0.3 shift</t>
        </is>
      </c>
      <c r="C41" s="80" t="n">
        <v>0.3</v>
      </c>
      <c r="D41" s="1">
        <f>C41*9</f>
        <v/>
      </c>
      <c r="I41" s="33">
        <f>D41*35</f>
        <v/>
      </c>
    </row>
    <row r="42">
      <c r="A42" s="94" t="n">
        <v>37</v>
      </c>
      <c r="B42" s="104" t="inlineStr">
        <is>
          <t>DD-B-077-002_StPatrickSlide_PeonWaterSlide_RT  |  Design</t>
        </is>
      </c>
      <c r="C42" s="80" t="n">
        <v>0.5</v>
      </c>
      <c r="D42" s="1">
        <f>C42*9</f>
        <v/>
      </c>
      <c r="F42" s="33">
        <f>D42*15</f>
        <v/>
      </c>
      <c r="I42" s="33">
        <f>D42*35</f>
        <v/>
      </c>
    </row>
    <row r="43">
      <c r="A43" s="94" t="n">
        <v>38</v>
      </c>
      <c r="B43" s="104" t="inlineStr">
        <is>
          <t>DX-V-032-008_TinderSwipe_DX-H-048-001_StackExplosion | Comp &amp; Resizes</t>
        </is>
      </c>
      <c r="C43" s="80" t="n">
        <v>0.3</v>
      </c>
      <c r="D43" s="1">
        <f>C43*9</f>
        <v/>
      </c>
      <c r="G43" s="33">
        <f>D43*15</f>
        <v/>
      </c>
      <c r="I43" s="33">
        <f>D43*35</f>
        <v/>
      </c>
    </row>
    <row r="45">
      <c r="A45" s="11" t="n"/>
      <c r="B45" s="61" t="n"/>
      <c r="C45" s="11">
        <f>SUM(C6:C44)</f>
        <v/>
      </c>
      <c r="D45" s="11">
        <f>SUM(D6:D44)</f>
        <v/>
      </c>
      <c r="E45" s="62" t="n"/>
      <c r="F45" s="116">
        <f>SUM(F6:F44)</f>
        <v/>
      </c>
      <c r="G45" s="116">
        <f>SUM(G6:G44)</f>
        <v/>
      </c>
      <c r="H45" s="63">
        <f>F45+G45</f>
        <v/>
      </c>
      <c r="I45" s="64">
        <f>SUM(I6:I44)</f>
        <v/>
      </c>
    </row>
    <row r="46">
      <c r="F46" s="116">
        <f>F45*40</f>
        <v/>
      </c>
      <c r="G46" s="116">
        <f>G45*40</f>
        <v/>
      </c>
      <c r="H46" s="33">
        <f>H45*40</f>
        <v/>
      </c>
      <c r="I46" s="33">
        <f>I45*40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38"/>
  <sheetViews>
    <sheetView workbookViewId="0">
      <pane ySplit="2" topLeftCell="A3" activePane="bottomLeft" state="frozen"/>
      <selection pane="bottomLeft" activeCell="B34" sqref="B34"/>
    </sheetView>
  </sheetViews>
  <sheetFormatPr baseColWidth="10" defaultRowHeight="16"/>
  <cols>
    <col width="3.6640625" bestFit="1" customWidth="1" style="1" min="1" max="1"/>
    <col width="66.6640625" customWidth="1" style="2" min="2" max="2"/>
    <col width="10.83203125" customWidth="1" style="1" min="3" max="4"/>
    <col width="9.1640625" customWidth="1" style="1" min="5" max="5"/>
    <col width="11.6640625" customWidth="1" style="1" min="6" max="6"/>
    <col width="10.83203125" customWidth="1" style="1" min="7" max="7"/>
    <col width="12" customWidth="1" style="1" min="8" max="8"/>
    <col width="11.83203125" customWidth="1" style="1" min="9" max="9"/>
    <col width="10.33203125" customWidth="1" style="1" min="10" max="10"/>
    <col width="12.33203125" customWidth="1" style="1" min="11" max="11"/>
    <col width="12.5" bestFit="1" customWidth="1" style="1" min="12" max="12"/>
    <col width="14" bestFit="1" customWidth="1" style="1" min="13" max="13"/>
    <col width="13" customWidth="1" style="1" min="14" max="14"/>
    <col width="10.83203125" customWidth="1" style="1" min="15" max="16384"/>
  </cols>
  <sheetData>
    <row r="2">
      <c r="B2" s="65" t="inlineStr">
        <is>
          <t>2024 PROJECT NAME</t>
        </is>
      </c>
      <c r="F2" s="41" t="inlineStr">
        <is>
          <t>Настя</t>
        </is>
      </c>
      <c r="G2" s="38" t="inlineStr">
        <is>
          <t>Сергій</t>
        </is>
      </c>
    </row>
    <row r="3">
      <c r="F3" s="38" t="inlineStr">
        <is>
          <t>2Dpaint</t>
        </is>
      </c>
      <c r="G3" s="38" t="inlineStr">
        <is>
          <t>2Dvideo</t>
        </is>
      </c>
    </row>
    <row r="4">
      <c r="A4" s="72" t="n"/>
      <c r="B4" s="71" t="inlineStr">
        <is>
          <t>JULY</t>
        </is>
      </c>
      <c r="C4" s="73" t="inlineStr">
        <is>
          <t>SHIFTS</t>
        </is>
      </c>
      <c r="D4" s="74" t="inlineStr">
        <is>
          <t>HOURS</t>
        </is>
      </c>
      <c r="E4" s="75" t="inlineStr">
        <is>
          <t>D.LINE</t>
        </is>
      </c>
      <c r="F4" s="77" t="inlineStr">
        <is>
          <t>EMPL 2</t>
        </is>
      </c>
      <c r="G4" s="77" t="inlineStr">
        <is>
          <t>EMPL 3</t>
        </is>
      </c>
      <c r="H4" s="77" t="inlineStr">
        <is>
          <t>Total EMPL</t>
        </is>
      </c>
      <c r="I4" s="79" t="inlineStr">
        <is>
          <t>STUDIO</t>
        </is>
      </c>
      <c r="K4" s="25" t="n"/>
      <c r="L4" s="25" t="n"/>
      <c r="M4" s="14" t="n"/>
      <c r="N4" s="31" t="inlineStr">
        <is>
          <t>Rates/h</t>
        </is>
      </c>
    </row>
    <row r="5">
      <c r="B5" s="30" t="n"/>
      <c r="E5" s="20" t="n"/>
      <c r="F5" s="12" t="n"/>
      <c r="G5" s="12" t="n"/>
      <c r="I5" s="20" t="n"/>
      <c r="K5" s="4" t="n"/>
      <c r="L5" s="16" t="inlineStr">
        <is>
          <t>USD</t>
        </is>
      </c>
      <c r="M5" s="29" t="inlineStr">
        <is>
          <t>UAH</t>
        </is>
      </c>
      <c r="N5" s="33" t="n">
        <v>50</v>
      </c>
    </row>
    <row r="6">
      <c r="A6" s="13" t="n">
        <v>1</v>
      </c>
      <c r="B6" s="40" t="inlineStr">
        <is>
          <t>DD-SS-001-002_PurpleRibbonOriginals_OneWord_LOC_DE+ES-SP, ES-LA+FR | design</t>
        </is>
      </c>
      <c r="C6" s="38" t="n">
        <v>1</v>
      </c>
      <c r="D6" s="1">
        <f>C6*9</f>
        <v/>
      </c>
      <c r="F6" s="70">
        <f>D6*N17</f>
        <v/>
      </c>
      <c r="I6" s="33">
        <f>D6*35</f>
        <v/>
      </c>
      <c r="K6" s="5" t="inlineStr">
        <is>
          <t>CLIENT IN</t>
        </is>
      </c>
      <c r="L6" s="8">
        <f>I18</f>
        <v/>
      </c>
      <c r="M6" s="7">
        <f>L6*36.95</f>
        <v/>
      </c>
      <c r="N6" s="33" t="n">
        <v>45</v>
      </c>
    </row>
    <row r="7">
      <c r="A7" s="13" t="n">
        <v>2</v>
      </c>
      <c r="B7" s="59" t="inlineStr">
        <is>
          <t>DX-B-011-006_TreasureTrail_Netherlands_PTE  |  Resizes:</t>
        </is>
      </c>
      <c r="C7" s="38" t="n">
        <v>0.5</v>
      </c>
      <c r="D7" s="1">
        <f>C7*9</f>
        <v/>
      </c>
      <c r="E7" s="20" t="n"/>
      <c r="F7" s="70">
        <f>D7*N17</f>
        <v/>
      </c>
      <c r="G7" s="21" t="n"/>
      <c r="H7" s="21" t="n"/>
      <c r="I7" s="33">
        <f>D7*35</f>
        <v/>
      </c>
      <c r="K7" s="5" t="inlineStr">
        <is>
          <t>STUDIO (TAX)</t>
        </is>
      </c>
      <c r="L7" s="8">
        <f>L6-L6*0.05</f>
        <v/>
      </c>
      <c r="M7" s="7">
        <f>L7*36.95</f>
        <v/>
      </c>
      <c r="N7" s="33" t="n">
        <v>40</v>
      </c>
    </row>
    <row r="8">
      <c r="A8" s="13" t="n">
        <v>3</v>
      </c>
      <c r="B8" s="66" t="inlineStr">
        <is>
          <t>DX-V-031-001_PeonChest_EN 30s | LOC*1: NL | Comp &amp; Resizes</t>
        </is>
      </c>
      <c r="C8" s="38" t="n">
        <v>0.6</v>
      </c>
      <c r="D8" s="1">
        <f>C8*9</f>
        <v/>
      </c>
      <c r="G8" s="70">
        <f>D8*N13</f>
        <v/>
      </c>
      <c r="I8" s="33">
        <f>D8*35</f>
        <v/>
      </c>
      <c r="K8" s="5" t="inlineStr">
        <is>
          <t>EMPL</t>
        </is>
      </c>
      <c r="L8" s="8">
        <f>H18</f>
        <v/>
      </c>
      <c r="M8" s="7">
        <f>L8*36.95</f>
        <v/>
      </c>
      <c r="N8" s="33" t="n">
        <v>35</v>
      </c>
    </row>
    <row r="9">
      <c r="A9" s="13" t="n">
        <v>4</v>
      </c>
      <c r="B9" s="59" t="inlineStr">
        <is>
          <t>DX-V-028-001_ImpossibleLevel | LOC*2: NL+ES-LA | Comp</t>
        </is>
      </c>
      <c r="C9" s="38" t="n">
        <v>0.6</v>
      </c>
      <c r="D9" s="1">
        <f>C9*9</f>
        <v/>
      </c>
      <c r="E9" s="20" t="n"/>
      <c r="F9" s="21" t="n"/>
      <c r="G9" s="70">
        <f>D9*N13</f>
        <v/>
      </c>
      <c r="H9" s="21" t="n"/>
      <c r="I9" s="33">
        <f>D9*35</f>
        <v/>
      </c>
      <c r="K9" s="37" t="inlineStr">
        <is>
          <t>STUDIO</t>
        </is>
      </c>
      <c r="L9" s="8">
        <f>L7-L8</f>
        <v/>
      </c>
      <c r="M9" s="7">
        <f>L9*36.95</f>
        <v/>
      </c>
      <c r="N9" s="33" t="n">
        <v>32</v>
      </c>
      <c r="O9" s="4" t="n"/>
      <c r="P9" s="4" t="n"/>
      <c r="Q9" s="4" t="n"/>
    </row>
    <row r="10">
      <c r="A10" s="13" t="n">
        <v>5</v>
      </c>
      <c r="B10" s="59" t="inlineStr">
        <is>
          <t>DX-V-022-001_BuildSequence_ASO | LOC*1: NL | Comp</t>
        </is>
      </c>
      <c r="C10" s="38" t="n">
        <v>0.5</v>
      </c>
      <c r="D10" s="1">
        <f>C10*9</f>
        <v/>
      </c>
      <c r="G10" s="70">
        <f>D10*N13</f>
        <v/>
      </c>
      <c r="I10" s="33">
        <f>D10*35</f>
        <v/>
      </c>
      <c r="J10" s="8" t="n"/>
      <c r="K10" s="7" t="n"/>
      <c r="L10" s="4" t="n"/>
      <c r="N10" s="33" t="n">
        <v>30</v>
      </c>
    </row>
    <row r="11">
      <c r="A11" s="13" t="n">
        <v>6</v>
      </c>
      <c r="B11" s="66" t="inlineStr">
        <is>
          <t>DX-V-032-002_TinderSwipe_RenaissanceFair_20s</t>
        </is>
      </c>
      <c r="C11" s="38" t="n">
        <v>0.5</v>
      </c>
      <c r="D11" s="1">
        <f>C11*9</f>
        <v/>
      </c>
      <c r="G11" s="70">
        <f>D11*N13</f>
        <v/>
      </c>
      <c r="I11" s="33">
        <f>D11*35</f>
        <v/>
      </c>
      <c r="J11" s="36" t="inlineStr">
        <is>
          <t>EMPL</t>
        </is>
      </c>
      <c r="K11" s="34" t="inlineStr">
        <is>
          <t>COST</t>
        </is>
      </c>
      <c r="L11" s="35" t="inlineStr">
        <is>
          <t>PAID</t>
        </is>
      </c>
      <c r="M11" s="17" t="inlineStr">
        <is>
          <t>2PAY</t>
        </is>
      </c>
      <c r="N11" s="33" t="n">
        <v>25</v>
      </c>
    </row>
    <row r="12">
      <c r="A12" s="13" t="n">
        <v>7</v>
      </c>
      <c r="B12" s="66" t="inlineStr">
        <is>
          <t>DX-B-015-003_LeaningDominoDreams_PlayNow</t>
        </is>
      </c>
      <c r="C12" s="1" t="n">
        <v>0.25</v>
      </c>
      <c r="D12" s="1">
        <f>C12*9</f>
        <v/>
      </c>
      <c r="G12" s="70">
        <f>D12*N13</f>
        <v/>
      </c>
      <c r="I12" s="33">
        <f>D12*35</f>
        <v/>
      </c>
      <c r="J12" s="32" t="inlineStr">
        <is>
          <t>EMPL 1</t>
        </is>
      </c>
      <c r="K12" s="28">
        <f>F18</f>
        <v/>
      </c>
      <c r="L12" s="8" t="n"/>
      <c r="M12" s="33">
        <f>K12-L12</f>
        <v/>
      </c>
      <c r="N12" s="33" t="n">
        <v>20</v>
      </c>
    </row>
    <row r="13">
      <c r="A13" s="13" t="n">
        <v>8</v>
      </c>
      <c r="B13" s="66" t="inlineStr">
        <is>
          <t>DX-B-026-002_BeachLife_RT | LOC*1 - NL | Design</t>
        </is>
      </c>
      <c r="C13" s="1" t="n">
        <v>0.25</v>
      </c>
      <c r="D13" s="1">
        <f>C13*9</f>
        <v/>
      </c>
      <c r="F13" s="70">
        <f>D13*N17</f>
        <v/>
      </c>
      <c r="I13" s="33">
        <f>D13*35</f>
        <v/>
      </c>
      <c r="J13" s="32" t="inlineStr">
        <is>
          <t>EMPL 2</t>
        </is>
      </c>
      <c r="K13" s="28">
        <f>G18</f>
        <v/>
      </c>
      <c r="L13" s="8" t="n"/>
      <c r="M13" s="33">
        <f>K13-L13</f>
        <v/>
      </c>
      <c r="N13" s="33" t="n">
        <v>15</v>
      </c>
    </row>
    <row r="14">
      <c r="A14" s="13" t="n">
        <v>9</v>
      </c>
      <c r="B14" s="66" t="inlineStr">
        <is>
          <t>DX-B-012-001_BeachCastle | LOC*3: ES-LA+DE+NL | Design</t>
        </is>
      </c>
      <c r="C14" s="38" t="n">
        <v>0.3</v>
      </c>
      <c r="D14" s="1">
        <f>C14*9</f>
        <v/>
      </c>
      <c r="F14" s="70">
        <f>D14*N17</f>
        <v/>
      </c>
      <c r="I14" s="33">
        <f>D14*35</f>
        <v/>
      </c>
      <c r="J14" s="32" t="n"/>
      <c r="K14" s="8" t="n"/>
      <c r="L14" s="8" t="n"/>
      <c r="M14" s="33" t="n"/>
      <c r="N14" s="33" t="n">
        <v>13</v>
      </c>
    </row>
    <row r="15">
      <c r="A15" s="13" t="n">
        <v>10</v>
      </c>
      <c r="B15" s="66" t="inlineStr">
        <is>
          <t>DX-B-019-001_PileofDominos LOC*1: ES-LA + DE | Design</t>
        </is>
      </c>
      <c r="C15" s="38" t="n">
        <v>0.3</v>
      </c>
      <c r="D15" s="1">
        <f>C15*9</f>
        <v/>
      </c>
      <c r="F15" s="70">
        <f>D15*N17</f>
        <v/>
      </c>
      <c r="I15" s="33">
        <f>D15*35</f>
        <v/>
      </c>
      <c r="J15" s="32" t="n"/>
      <c r="K15" s="8" t="n"/>
      <c r="L15" s="7" t="n"/>
      <c r="M15" s="33" t="n"/>
      <c r="N15" s="33" t="n">
        <v>12</v>
      </c>
    </row>
    <row r="16">
      <c r="A16" s="13" t="n">
        <v>11</v>
      </c>
      <c r="B16" s="67" t="inlineStr">
        <is>
          <t>DD-V-229-Coins&amp;Coins_EN - 15,30,45 &amp; 60s</t>
        </is>
      </c>
      <c r="C16" s="1" t="n">
        <v>1.2</v>
      </c>
      <c r="D16" s="1">
        <f>C16*9</f>
        <v/>
      </c>
      <c r="F16" s="33" t="n"/>
      <c r="G16" s="70">
        <f>D16*N13</f>
        <v/>
      </c>
      <c r="I16" s="33">
        <f>D16*35</f>
        <v/>
      </c>
      <c r="M16" s="4" t="n"/>
      <c r="N16" s="33" t="n">
        <v>11</v>
      </c>
      <c r="O16" s="4" t="n"/>
      <c r="P16" s="4" t="n"/>
      <c r="Q16" s="4" t="n"/>
    </row>
    <row r="17">
      <c r="M17" s="9" t="n"/>
      <c r="N17" s="33" t="n">
        <v>10</v>
      </c>
      <c r="O17" s="4" t="n"/>
      <c r="P17" s="4" t="n"/>
      <c r="Q17" s="4" t="n"/>
    </row>
    <row r="18">
      <c r="A18" s="11" t="n"/>
      <c r="B18" s="61" t="n"/>
      <c r="C18" s="11">
        <f>SUM(C5:C17)</f>
        <v/>
      </c>
      <c r="D18" s="11">
        <f>SUM(D6:D17)</f>
        <v/>
      </c>
      <c r="E18" s="62" t="n"/>
      <c r="F18" s="70">
        <f>SUM(F6:F16)</f>
        <v/>
      </c>
      <c r="G18" s="70">
        <f>SUM(G5:G16)</f>
        <v/>
      </c>
      <c r="H18" s="63">
        <f>SUM(F18:G18)</f>
        <v/>
      </c>
      <c r="I18" s="64">
        <f>SUM(I6:I16)</f>
        <v/>
      </c>
      <c r="N18" s="4" t="n"/>
      <c r="O18" s="4" t="n"/>
      <c r="P18" s="4" t="n"/>
      <c r="Q18" s="4" t="n"/>
    </row>
    <row r="20">
      <c r="P20" s="4" t="n"/>
      <c r="Q20" s="4" t="n"/>
    </row>
    <row r="21">
      <c r="N21" s="4" t="n"/>
      <c r="O21" s="4" t="n"/>
      <c r="P21" s="4" t="n"/>
      <c r="Q21" s="4" t="n"/>
    </row>
    <row r="22">
      <c r="M22" s="5" t="n"/>
      <c r="N22" s="4" t="n"/>
      <c r="O22" s="4" t="n"/>
      <c r="P22" s="4" t="n"/>
      <c r="Q22" s="4" t="n"/>
    </row>
    <row r="23">
      <c r="M23" s="5" t="n"/>
      <c r="N23" s="4" t="n"/>
      <c r="O23" s="4" t="n"/>
      <c r="P23" s="4" t="n"/>
      <c r="Q23" s="4" t="n"/>
    </row>
    <row r="24">
      <c r="M24" s="5" t="n"/>
      <c r="N24" s="4" t="n"/>
      <c r="O24" s="4" t="n"/>
      <c r="P24" s="4" t="n"/>
      <c r="Q24" s="4" t="n"/>
    </row>
    <row r="25">
      <c r="M25" s="5" t="n"/>
      <c r="N25" s="4" t="n"/>
      <c r="O25" s="4" t="n"/>
      <c r="P25" s="4" t="n"/>
      <c r="Q25" s="4" t="n"/>
    </row>
    <row r="26">
      <c r="M26" s="4" t="n"/>
      <c r="N26" s="6" t="n"/>
      <c r="O26" s="4" t="n"/>
      <c r="P26" s="4" t="n"/>
      <c r="Q26" s="4" t="n"/>
    </row>
    <row r="27">
      <c r="M27" s="4" t="n"/>
      <c r="N27" s="6" t="n"/>
      <c r="O27" s="4" t="n"/>
      <c r="P27" s="4" t="n"/>
      <c r="Q27" s="4" t="n"/>
    </row>
    <row r="28">
      <c r="M28" s="4" t="n"/>
      <c r="N28" s="4" t="n"/>
      <c r="O28" s="4" t="n"/>
      <c r="P28" s="4" t="n"/>
      <c r="Q28" s="4" t="n"/>
    </row>
    <row r="30">
      <c r="M30" s="4" t="n"/>
      <c r="N30" s="4" t="n"/>
      <c r="O30" s="4" t="n"/>
      <c r="P30" s="4" t="n"/>
      <c r="Q30" s="4" t="n"/>
    </row>
    <row r="31">
      <c r="L31" s="33" t="n"/>
    </row>
    <row r="32">
      <c r="K32" s="68" t="n"/>
    </row>
    <row r="37">
      <c r="M37" s="4" t="n"/>
      <c r="N37" s="4" t="n"/>
      <c r="O37" s="4" t="n"/>
      <c r="P37" s="4" t="n"/>
      <c r="Q37" s="4" t="n"/>
    </row>
    <row r="38">
      <c r="M38" s="4" t="n"/>
      <c r="N38" s="4" t="n"/>
      <c r="O38" s="4" t="n"/>
      <c r="P38" s="4" t="n"/>
      <c r="Q38" s="4" t="n"/>
    </row>
  </sheetData>
  <pageMargins left="0.7" right="0.7" top="0.75" bottom="0.75" header="0.3" footer="0.3"/>
  <pageSetup orientation="portrait" paperSize="9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2" topLeftCell="A3" activePane="bottomLeft" state="frozen"/>
      <selection pane="bottomLeft" activeCell="J25" sqref="J25"/>
    </sheetView>
  </sheetViews>
  <sheetFormatPr baseColWidth="10" defaultRowHeight="16"/>
  <cols>
    <col width="3.6640625" bestFit="1" customWidth="1" style="1" min="1" max="1"/>
    <col width="66.6640625" customWidth="1" style="2" min="2" max="2"/>
    <col width="10.83203125" customWidth="1" style="1" min="3" max="4"/>
    <col width="9.1640625" customWidth="1" style="1" min="5" max="5"/>
    <col width="11.5" bestFit="1" customWidth="1" style="1" min="6" max="6"/>
    <col width="11.6640625" customWidth="1" style="1" min="7" max="7"/>
    <col width="10.83203125" customWidth="1" style="1" min="8" max="8"/>
    <col width="10.83203125" customWidth="1" style="3" min="9" max="9"/>
    <col width="12" customWidth="1" style="1" min="10" max="10"/>
    <col width="11.83203125" customWidth="1" style="1" min="11" max="11"/>
    <col width="10.33203125" customWidth="1" style="1" min="12" max="12"/>
    <col width="12.33203125" customWidth="1" style="1" min="13" max="13"/>
    <col width="12.5" bestFit="1" customWidth="1" style="1" min="14" max="14"/>
    <col width="14" bestFit="1" customWidth="1" style="1" min="15" max="15"/>
    <col width="13" customWidth="1" style="1" min="16" max="16"/>
    <col width="10.83203125" customWidth="1" style="1" min="17" max="16384"/>
  </cols>
  <sheetData>
    <row r="1">
      <c r="I1" s="1" t="n"/>
    </row>
    <row r="2">
      <c r="B2" s="65" t="inlineStr">
        <is>
          <t>2024 PROJECT NAME</t>
        </is>
      </c>
      <c r="F2" s="38" t="inlineStr">
        <is>
          <t>Mary</t>
        </is>
      </c>
      <c r="G2" s="41" t="inlineStr">
        <is>
          <t>Настя</t>
        </is>
      </c>
      <c r="H2" s="38" t="inlineStr">
        <is>
          <t>Сергій</t>
        </is>
      </c>
      <c r="I2" s="38" t="inlineStr">
        <is>
          <t>Настя</t>
        </is>
      </c>
    </row>
    <row r="3">
      <c r="F3" s="38" t="inlineStr">
        <is>
          <t>2Dpaint</t>
        </is>
      </c>
      <c r="G3" s="38" t="inlineStr">
        <is>
          <t>2Dpaint</t>
        </is>
      </c>
      <c r="H3" s="38" t="inlineStr">
        <is>
          <t>2Dvideo</t>
        </is>
      </c>
      <c r="I3" s="38" t="inlineStr">
        <is>
          <t>2Dbanner</t>
        </is>
      </c>
    </row>
    <row r="4">
      <c r="A4" s="72" t="n"/>
      <c r="B4" s="71" t="inlineStr">
        <is>
          <t>JUNE</t>
        </is>
      </c>
      <c r="C4" s="73" t="inlineStr">
        <is>
          <t>SHIFTS</t>
        </is>
      </c>
      <c r="D4" s="74" t="inlineStr">
        <is>
          <t>HOURS</t>
        </is>
      </c>
      <c r="E4" s="75" t="inlineStr">
        <is>
          <t>D.LINE</t>
        </is>
      </c>
      <c r="F4" s="76" t="inlineStr">
        <is>
          <t>EMPL 1</t>
        </is>
      </c>
      <c r="G4" s="77" t="inlineStr">
        <is>
          <t>EMPL 2</t>
        </is>
      </c>
      <c r="H4" s="77" t="inlineStr">
        <is>
          <t>EMPL 3</t>
        </is>
      </c>
      <c r="I4" s="78" t="inlineStr">
        <is>
          <t>EMPL 4</t>
        </is>
      </c>
      <c r="J4" s="77" t="inlineStr">
        <is>
          <t>Total EMPL</t>
        </is>
      </c>
      <c r="K4" s="79" t="inlineStr">
        <is>
          <t>STUDIO</t>
        </is>
      </c>
      <c r="M4" s="25" t="n"/>
      <c r="N4" s="25" t="n"/>
      <c r="O4" s="14" t="n"/>
      <c r="P4" s="31" t="inlineStr">
        <is>
          <t>Rates/h</t>
        </is>
      </c>
    </row>
    <row r="5">
      <c r="B5" s="15" t="n"/>
      <c r="E5" s="22" t="n"/>
      <c r="F5" s="12" t="n"/>
      <c r="G5" s="12" t="n"/>
      <c r="H5" s="12" t="n"/>
      <c r="I5" s="12" t="n"/>
      <c r="K5" s="22" t="n"/>
      <c r="M5" s="4" t="n"/>
      <c r="N5" s="16" t="inlineStr">
        <is>
          <t>USD</t>
        </is>
      </c>
      <c r="O5" s="29" t="inlineStr">
        <is>
          <t>UAH</t>
        </is>
      </c>
      <c r="P5" s="33" t="n">
        <v>50</v>
      </c>
    </row>
    <row r="6">
      <c r="A6" s="13" t="n">
        <v>1</v>
      </c>
      <c r="B6" s="26" t="inlineStr">
        <is>
          <t>DD-B-087-001_AllOfThisKingdom</t>
        </is>
      </c>
      <c r="C6" s="1" t="n">
        <v>1.1</v>
      </c>
      <c r="D6" s="1">
        <f>C6*9</f>
        <v/>
      </c>
      <c r="E6" s="10" t="n"/>
      <c r="F6" s="33">
        <f>D6*P12</f>
        <v/>
      </c>
      <c r="H6" s="12" t="n"/>
      <c r="I6" s="12" t="n"/>
      <c r="K6" s="33">
        <f>D6*P7</f>
        <v/>
      </c>
      <c r="M6" s="5" t="inlineStr">
        <is>
          <t>CLIENT IN</t>
        </is>
      </c>
      <c r="N6" s="8">
        <f>K12</f>
        <v/>
      </c>
      <c r="O6" s="7">
        <f>N6*36.95</f>
        <v/>
      </c>
      <c r="P6" s="33" t="n">
        <v>45</v>
      </c>
    </row>
    <row r="7">
      <c r="A7" s="13" t="n">
        <v>2</v>
      </c>
      <c r="B7" s="40" t="inlineStr">
        <is>
          <t>DD-SPS-002-007_DiceThrowPeons_PurpleBanner</t>
        </is>
      </c>
      <c r="C7" s="1" t="n">
        <v>1.5</v>
      </c>
      <c r="D7" s="1">
        <f>C7*9</f>
        <v/>
      </c>
      <c r="E7" s="10" t="n"/>
      <c r="F7" s="12" t="n"/>
      <c r="G7" s="70">
        <f>D7*E17</f>
        <v/>
      </c>
      <c r="K7" s="33">
        <f>D7*P11</f>
        <v/>
      </c>
      <c r="M7" s="5" t="inlineStr">
        <is>
          <t>STUDIO (TAX)</t>
        </is>
      </c>
      <c r="N7" s="8">
        <f>N6-N6*0.05</f>
        <v/>
      </c>
      <c r="O7" s="7">
        <f>N7*36.95</f>
        <v/>
      </c>
      <c r="P7" s="33" t="n">
        <v>40</v>
      </c>
    </row>
    <row r="8">
      <c r="A8" s="13" t="n">
        <v>3</v>
      </c>
      <c r="B8" s="40" t="inlineStr">
        <is>
          <t>DX-B-032-001_Skateboard + DX-B-032-002_Skateboard_RT</t>
        </is>
      </c>
      <c r="C8" s="1" t="n">
        <v>1.5</v>
      </c>
      <c r="D8" s="1">
        <f>C8*9</f>
        <v/>
      </c>
      <c r="E8" s="10" t="n"/>
      <c r="F8" s="33">
        <f>D8*P12</f>
        <v/>
      </c>
      <c r="G8" s="12" t="n"/>
      <c r="H8" s="12" t="n"/>
      <c r="I8" s="12" t="n"/>
      <c r="K8" s="33">
        <f>D8*P7</f>
        <v/>
      </c>
      <c r="M8" s="5" t="inlineStr">
        <is>
          <t>EMPL</t>
        </is>
      </c>
      <c r="N8" s="8">
        <f>J12</f>
        <v/>
      </c>
      <c r="O8" s="7">
        <f>N8*36.95</f>
        <v/>
      </c>
      <c r="P8" s="33" t="n">
        <v>35</v>
      </c>
    </row>
    <row r="9">
      <c r="A9" s="13" t="n">
        <v>4</v>
      </c>
      <c r="B9" s="40" t="inlineStr">
        <is>
          <t>DX-V-015-016_SimpleIntro_DX-H-009-002(PeonDominoThrow_WildDom)_EN_26s</t>
        </is>
      </c>
      <c r="C9" s="1" t="n">
        <v>0.25</v>
      </c>
      <c r="D9" s="1">
        <f>C9*9</f>
        <v/>
      </c>
      <c r="E9" s="10" t="n"/>
      <c r="H9" s="70">
        <f>D9*P13</f>
        <v/>
      </c>
      <c r="I9" s="12" t="n"/>
      <c r="K9" s="33">
        <f>D9*P9</f>
        <v/>
      </c>
      <c r="M9" s="37" t="inlineStr">
        <is>
          <t>STUDIO</t>
        </is>
      </c>
      <c r="N9" s="8">
        <f>N7-N8</f>
        <v/>
      </c>
      <c r="O9" s="7">
        <f>N9*36.95</f>
        <v/>
      </c>
      <c r="P9" s="33" t="n">
        <v>32</v>
      </c>
      <c r="Q9" s="4" t="n"/>
      <c r="R9" s="4" t="n"/>
      <c r="S9" s="4" t="n"/>
    </row>
    <row r="10">
      <c r="A10" s="13" t="n">
        <v>5</v>
      </c>
      <c r="B10" s="40" t="inlineStr">
        <is>
          <t>DX-V-028-005_ImpossibleLevel_DX-H-054-001(Pinata)_EN_24s</t>
        </is>
      </c>
      <c r="C10" s="1" t="n">
        <v>0.25</v>
      </c>
      <c r="D10" s="1">
        <f>C10*9</f>
        <v/>
      </c>
      <c r="E10" s="10" t="n"/>
      <c r="H10" s="70">
        <f>D10*P13</f>
        <v/>
      </c>
      <c r="I10" s="12" t="n"/>
      <c r="K10" s="33">
        <f>D10*P9</f>
        <v/>
      </c>
      <c r="L10" s="8" t="n"/>
      <c r="M10" s="7" t="n"/>
      <c r="N10" s="4" t="n"/>
      <c r="P10" s="33" t="n">
        <v>30</v>
      </c>
    </row>
    <row r="11">
      <c r="B11" s="18" t="n"/>
      <c r="E11" s="10" t="n"/>
      <c r="F11" s="12" t="n"/>
      <c r="G11" s="12" t="n"/>
      <c r="H11" s="12" t="n"/>
      <c r="I11" s="12" t="n"/>
      <c r="K11" s="10" t="n"/>
      <c r="L11" s="36" t="inlineStr">
        <is>
          <t>EMPL</t>
        </is>
      </c>
      <c r="M11" s="34" t="inlineStr">
        <is>
          <t>COST</t>
        </is>
      </c>
      <c r="N11" s="35" t="inlineStr">
        <is>
          <t>PAID</t>
        </is>
      </c>
      <c r="O11" s="17" t="inlineStr">
        <is>
          <t>2PAY</t>
        </is>
      </c>
      <c r="P11" s="33" t="n">
        <v>25</v>
      </c>
    </row>
    <row r="12">
      <c r="A12" s="11" t="n"/>
      <c r="B12" s="61" t="n"/>
      <c r="C12" s="11">
        <f>SUM(C6:C11)</f>
        <v/>
      </c>
      <c r="D12" s="11">
        <f>SUM(D6:D11)</f>
        <v/>
      </c>
      <c r="E12" s="62" t="n"/>
      <c r="F12" s="63">
        <f>SUM(F5:F11)</f>
        <v/>
      </c>
      <c r="G12" s="70">
        <f>SUM(G5:G11)</f>
        <v/>
      </c>
      <c r="H12" s="70">
        <f>SUM(H5:H11)</f>
        <v/>
      </c>
      <c r="I12" s="63" t="n"/>
      <c r="J12" s="63">
        <f>SUM(F12:H12)</f>
        <v/>
      </c>
      <c r="K12" s="64">
        <f>SUM(K6:K11)</f>
        <v/>
      </c>
      <c r="L12" s="84" t="inlineStr">
        <is>
          <t>EMPL 1</t>
        </is>
      </c>
      <c r="M12" s="28">
        <f>F12</f>
        <v/>
      </c>
      <c r="N12" s="8" t="n"/>
      <c r="O12" s="33">
        <f>M12-N12</f>
        <v/>
      </c>
      <c r="P12" s="33" t="n">
        <v>20</v>
      </c>
    </row>
    <row r="13">
      <c r="B13" s="18" t="n"/>
      <c r="E13" s="10" t="n"/>
      <c r="F13" s="12" t="n"/>
      <c r="G13" s="12" t="n"/>
      <c r="H13" s="12" t="n"/>
      <c r="I13" s="12" t="n"/>
      <c r="K13" s="10" t="n"/>
      <c r="L13" s="32" t="inlineStr">
        <is>
          <t>EMPL 2</t>
        </is>
      </c>
      <c r="M13" s="28">
        <f>G12</f>
        <v/>
      </c>
      <c r="N13" s="8" t="n"/>
      <c r="O13" s="33">
        <f>M13-N13</f>
        <v/>
      </c>
      <c r="P13" s="33" t="n">
        <v>15</v>
      </c>
    </row>
    <row r="14">
      <c r="B14" s="19" t="n"/>
      <c r="E14" s="10" t="n"/>
      <c r="F14" s="12" t="n"/>
      <c r="G14" s="12" t="n"/>
      <c r="H14" s="12" t="n"/>
      <c r="I14" s="12" t="n"/>
      <c r="K14" s="10" t="n"/>
      <c r="L14" s="32" t="inlineStr">
        <is>
          <t>EMPL 3</t>
        </is>
      </c>
      <c r="M14" s="8">
        <f>H12</f>
        <v/>
      </c>
      <c r="N14" s="8" t="n"/>
      <c r="O14" s="33">
        <f>M14-N14</f>
        <v/>
      </c>
      <c r="P14" s="33" t="n">
        <v>13</v>
      </c>
    </row>
    <row r="15">
      <c r="A15" s="32" t="n"/>
      <c r="B15" s="8" t="n"/>
      <c r="C15" s="7" t="n"/>
      <c r="D15" s="33" t="n"/>
      <c r="E15" s="33" t="n"/>
      <c r="I15" s="1" t="n"/>
    </row>
    <row r="16">
      <c r="B16" s="1" t="n"/>
      <c r="D16" s="4" t="n"/>
      <c r="E16" s="33" t="n"/>
      <c r="F16" s="4" t="n"/>
      <c r="G16" s="4" t="n"/>
      <c r="H16" s="4" t="n"/>
      <c r="I16" s="1" t="n"/>
    </row>
    <row r="17">
      <c r="B17" s="1" t="n"/>
      <c r="D17" s="9" t="n"/>
      <c r="E17" s="33" t="n"/>
      <c r="F17" s="4" t="n"/>
      <c r="G17" s="4" t="n"/>
      <c r="H17" s="4" t="n"/>
      <c r="I17" s="1" t="n"/>
    </row>
    <row r="18">
      <c r="B18" s="1" t="n"/>
      <c r="E18" s="4" t="n"/>
      <c r="F18" s="4" t="n"/>
      <c r="G18" s="4" t="n"/>
      <c r="H18" s="4" t="n"/>
      <c r="I18" s="1" t="n"/>
    </row>
    <row r="19">
      <c r="B19" s="1" t="n"/>
      <c r="I19" s="1" t="n"/>
    </row>
    <row r="20">
      <c r="B20" s="1" t="n"/>
      <c r="G20" s="4" t="n"/>
      <c r="H20" s="4" t="n"/>
      <c r="I20" s="1" t="n"/>
    </row>
    <row r="21">
      <c r="B21" s="1" t="n"/>
      <c r="E21" s="4" t="n"/>
      <c r="F21" s="4" t="n"/>
      <c r="G21" s="4" t="n"/>
      <c r="H21" s="4" t="n"/>
      <c r="I21" s="1" t="n"/>
    </row>
    <row r="22">
      <c r="B22" s="1" t="n"/>
      <c r="D22" s="5" t="n"/>
      <c r="E22" s="4" t="n"/>
      <c r="F22" s="4" t="n"/>
      <c r="G22" s="4" t="n"/>
      <c r="H22" s="4" t="n"/>
      <c r="I22" s="1" t="n"/>
    </row>
    <row r="23">
      <c r="B23" s="1" t="n"/>
      <c r="D23" s="5" t="n"/>
      <c r="E23" s="4" t="n"/>
      <c r="F23" s="4" t="n"/>
      <c r="G23" s="4" t="n"/>
      <c r="H23" s="4" t="n"/>
      <c r="I23" s="1" t="n"/>
    </row>
    <row r="24">
      <c r="B24" s="1" t="n"/>
      <c r="D24" s="5" t="n"/>
      <c r="E24" s="4" t="n"/>
      <c r="F24" s="4" t="n"/>
      <c r="G24" s="4" t="n"/>
      <c r="H24" s="4" t="n"/>
      <c r="I24" s="1" t="n"/>
    </row>
    <row r="25">
      <c r="B25" s="1" t="n"/>
      <c r="D25" s="5" t="n"/>
      <c r="E25" s="4" t="n"/>
      <c r="F25" s="4" t="n"/>
      <c r="G25" s="4" t="n"/>
      <c r="H25" s="4" t="n"/>
      <c r="I25" s="1" t="n"/>
    </row>
    <row r="26">
      <c r="B26" s="1" t="n"/>
      <c r="D26" s="4" t="n"/>
      <c r="E26" s="6" t="n"/>
      <c r="F26" s="4" t="n"/>
      <c r="G26" s="4" t="n"/>
      <c r="H26" s="4" t="n"/>
      <c r="I26" s="1" t="n"/>
    </row>
    <row r="27">
      <c r="B27" s="1" t="n"/>
      <c r="D27" s="4" t="n"/>
      <c r="E27" s="6" t="n"/>
      <c r="F27" s="4" t="n"/>
      <c r="G27" s="4" t="n"/>
      <c r="H27" s="4" t="n"/>
      <c r="I27" s="1" t="n"/>
    </row>
    <row r="28">
      <c r="B28" s="1" t="n"/>
      <c r="D28" s="4" t="n"/>
      <c r="E28" s="4" t="n"/>
      <c r="F28" s="4" t="n"/>
      <c r="G28" s="4" t="n"/>
      <c r="H28" s="4" t="n"/>
      <c r="I28" s="1" t="n"/>
    </row>
    <row r="29">
      <c r="B29" s="1" t="n"/>
      <c r="I29" s="1" t="n"/>
    </row>
    <row r="30">
      <c r="B30" s="1" t="n"/>
      <c r="D30" s="4" t="n"/>
      <c r="E30" s="4" t="n"/>
      <c r="F30" s="4" t="n"/>
      <c r="G30" s="4" t="n"/>
      <c r="H30" s="4" t="n"/>
      <c r="I30" s="1" t="n"/>
    </row>
    <row r="31">
      <c r="B31" s="1" t="n"/>
      <c r="C31" s="33" t="n"/>
      <c r="I31" s="1" t="n"/>
    </row>
    <row r="32">
      <c r="A32" s="33" t="n"/>
      <c r="B32" s="68" t="n"/>
      <c r="I32" s="1" t="n"/>
    </row>
    <row r="33">
      <c r="B33" s="1" t="n"/>
      <c r="I33" s="1" t="n"/>
    </row>
    <row r="34">
      <c r="B34" s="1" t="n"/>
      <c r="I34" s="1" t="n"/>
    </row>
    <row r="35">
      <c r="B35" s="1" t="n"/>
      <c r="I35" s="1" t="n"/>
    </row>
    <row r="36">
      <c r="B36" s="1" t="n"/>
      <c r="I36" s="1" t="n"/>
    </row>
    <row r="37">
      <c r="B37" s="1" t="n"/>
      <c r="D37" s="4" t="n"/>
      <c r="E37" s="4" t="n"/>
      <c r="F37" s="4" t="n"/>
      <c r="G37" s="4" t="n"/>
      <c r="H37" s="4" t="n"/>
      <c r="I37" s="1" t="n"/>
    </row>
    <row r="38">
      <c r="B38" s="1" t="n"/>
      <c r="D38" s="4" t="n"/>
      <c r="E38" s="4" t="n"/>
      <c r="F38" s="4" t="n"/>
      <c r="G38" s="4" t="n"/>
      <c r="H38" s="4" t="n"/>
      <c r="I38" s="1" t="n"/>
    </row>
    <row r="39">
      <c r="B39" s="1" t="n"/>
      <c r="I39" s="1" t="n"/>
    </row>
    <row r="40">
      <c r="B40" s="1" t="n"/>
      <c r="I40" s="1" t="n"/>
    </row>
    <row r="41">
      <c r="B41" s="1" t="n"/>
      <c r="I41" s="1" t="n"/>
    </row>
    <row r="42">
      <c r="B42" s="1" t="n"/>
      <c r="I42" s="1" t="n"/>
    </row>
    <row r="43">
      <c r="B43" s="1" t="n"/>
      <c r="I43" s="1" t="n"/>
    </row>
    <row r="44">
      <c r="B44" s="1" t="n"/>
      <c r="I44" s="1" t="n"/>
    </row>
    <row r="45">
      <c r="B45" s="1" t="n"/>
      <c r="I45" s="1" t="n"/>
    </row>
    <row r="46">
      <c r="B46" s="1" t="n"/>
      <c r="I46" s="1" t="n"/>
    </row>
    <row r="47">
      <c r="B47" s="1" t="n"/>
      <c r="I47" s="1" t="n"/>
    </row>
    <row r="48">
      <c r="A48" s="1" t="n">
        <v>16</v>
      </c>
      <c r="B48" s="1" t="n"/>
      <c r="C48" s="80" t="n"/>
      <c r="K48" s="33" t="n"/>
    </row>
    <row r="49">
      <c r="A49" s="1" t="n">
        <v>17</v>
      </c>
    </row>
    <row r="61">
      <c r="A61" s="11" t="n"/>
      <c r="B61" s="61" t="n"/>
      <c r="C61" s="11">
        <f>SUM(C48:C49)</f>
        <v/>
      </c>
      <c r="D61" s="11">
        <f>SUM(D48:D49)</f>
        <v/>
      </c>
      <c r="E61" s="62" t="n"/>
      <c r="F61" s="63" t="n"/>
      <c r="G61" s="63">
        <f>SUM(G48:G49)</f>
        <v/>
      </c>
      <c r="H61" s="63">
        <f>SUM(H48:H49)</f>
        <v/>
      </c>
      <c r="I61" s="63" t="n"/>
      <c r="J61" s="63">
        <f>SUM(G61:H61)</f>
        <v/>
      </c>
      <c r="K61" s="64">
        <f>SUM(K48:K49)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3"/>
  <sheetViews>
    <sheetView workbookViewId="0">
      <pane xSplit="2" topLeftCell="C1" activePane="topRight" state="frozen"/>
      <selection pane="topRight" activeCell="E25" sqref="E25"/>
    </sheetView>
  </sheetViews>
  <sheetFormatPr baseColWidth="10" defaultColWidth="11.1640625" defaultRowHeight="15" customHeight="1"/>
  <cols>
    <col width="10.5" customWidth="1" style="42" min="1" max="1"/>
    <col width="35.1640625" customWidth="1" style="42" min="2" max="2"/>
    <col width="24.1640625" customWidth="1" style="42" min="3" max="3"/>
    <col width="7.5" customWidth="1" style="42" min="4" max="4"/>
    <col width="31.33203125" customWidth="1" style="42" min="5" max="5"/>
    <col width="13" customWidth="1" style="42" min="6" max="6"/>
    <col width="22.6640625" customWidth="1" style="42" min="7" max="7"/>
    <col width="36.1640625" bestFit="1" customWidth="1" style="42" min="8" max="8"/>
    <col width="12.83203125" bestFit="1" customWidth="1" style="42" min="9" max="9"/>
    <col width="10.5" customWidth="1" style="42" min="10" max="12"/>
    <col width="10.6640625" customWidth="1" style="42" min="13" max="13"/>
    <col width="52.33203125" customWidth="1" style="42" min="14" max="14"/>
    <col width="10.5" customWidth="1" style="42" min="15" max="27"/>
    <col width="11.1640625" customWidth="1" style="42" min="28" max="16384"/>
  </cols>
  <sheetData>
    <row r="1" ht="15.75" customHeight="1">
      <c r="E1" s="43" t="n"/>
    </row>
    <row r="2" ht="15.75" customHeight="1">
      <c r="E2" s="43" t="n"/>
    </row>
    <row r="3" ht="15.75" customHeight="1">
      <c r="E3" s="43" t="n"/>
    </row>
    <row r="4" ht="15.75" customHeight="1">
      <c r="A4" s="44" t="n"/>
      <c r="B4" s="44" t="n"/>
      <c r="C4" s="44" t="n"/>
      <c r="D4" s="44" t="n"/>
      <c r="E4" s="44" t="inlineStr">
        <is>
          <t>LISENBART FILM CREW</t>
        </is>
      </c>
      <c r="F4" s="44" t="n"/>
      <c r="G4" s="45" t="n"/>
    </row>
    <row r="5" ht="15.75" customHeight="1">
      <c r="A5" s="46" t="n"/>
      <c r="B5" s="46" t="n"/>
      <c r="C5" s="46" t="n"/>
      <c r="D5" s="46" t="n"/>
      <c r="E5" s="44" t="n"/>
      <c r="F5" s="46" t="n"/>
      <c r="G5" s="47" t="n"/>
    </row>
    <row r="6" ht="15.75" customHeight="1">
      <c r="A6" s="44" t="n"/>
      <c r="B6" s="48" t="inlineStr">
        <is>
          <t>name</t>
        </is>
      </c>
      <c r="C6" s="49" t="inlineStr">
        <is>
          <t>phone</t>
        </is>
      </c>
      <c r="D6" s="49" t="n"/>
      <c r="E6" s="50" t="inlineStr">
        <is>
          <t>email</t>
        </is>
      </c>
      <c r="F6" s="51" t="inlineStr">
        <is>
          <t>name of bank</t>
        </is>
      </c>
      <c r="G6" s="52" t="inlineStr">
        <is>
          <t>bank card</t>
        </is>
      </c>
      <c r="H6" s="52" t="inlineStr">
        <is>
          <t>IBAN</t>
        </is>
      </c>
      <c r="I6" s="52" t="inlineStr">
        <is>
          <t>ІПН</t>
        </is>
      </c>
      <c r="N6" s="47" t="n"/>
    </row>
    <row r="7" ht="15.75" customHeight="1">
      <c r="A7" s="46" t="n">
        <v>1</v>
      </c>
      <c r="B7" s="53" t="inlineStr">
        <is>
          <t>Лащенко Сергій Олексійович</t>
        </is>
      </c>
      <c r="C7" s="112" t="inlineStr">
        <is>
          <t>+380 93 763 1347</t>
        </is>
      </c>
      <c r="D7" s="55" t="n"/>
      <c r="E7" s="42" t="inlineStr">
        <is>
          <t>lashenko285@gmail.com</t>
        </is>
      </c>
      <c r="F7" s="53" t="inlineStr">
        <is>
          <t>Monobank</t>
        </is>
      </c>
      <c r="G7" s="45" t="inlineStr">
        <is>
          <t>4441111039612886</t>
        </is>
      </c>
      <c r="H7" s="112" t="inlineStr">
        <is>
          <t>UA433220010000026202353175173</t>
        </is>
      </c>
      <c r="I7" s="112" t="n">
        <v>3276811970</v>
      </c>
      <c r="M7" s="53" t="n"/>
      <c r="N7" s="56" t="n"/>
    </row>
    <row r="8" ht="15.75" customHeight="1">
      <c r="A8" s="46" t="n">
        <v>2</v>
      </c>
      <c r="B8" s="53" t="inlineStr">
        <is>
          <t>Анастасія Сиченко</t>
        </is>
      </c>
      <c r="C8" s="112" t="inlineStr">
        <is>
          <t>+380 99 550 5455</t>
        </is>
      </c>
      <c r="D8" s="57" t="n"/>
      <c r="E8" s="42" t="inlineStr">
        <is>
          <t>cat44cat22@gmail.com</t>
        </is>
      </c>
      <c r="F8" s="53" t="inlineStr">
        <is>
          <t>Monobank</t>
        </is>
      </c>
      <c r="G8" s="45" t="inlineStr">
        <is>
          <t>4441114424460887</t>
        </is>
      </c>
      <c r="H8" s="112" t="inlineStr">
        <is>
          <t>UA173220010000026202314266322</t>
        </is>
      </c>
      <c r="M8" s="53" t="n"/>
      <c r="N8" s="56" t="n"/>
    </row>
    <row r="9" ht="15.75" customHeight="1">
      <c r="A9" s="46" t="n">
        <v>3</v>
      </c>
      <c r="B9" s="53" t="inlineStr">
        <is>
          <t>Андрій Миглін</t>
        </is>
      </c>
      <c r="C9" s="112" t="inlineStr">
        <is>
          <t>+380 99 608 9025</t>
        </is>
      </c>
      <c r="E9" s="42" t="inlineStr">
        <is>
          <t>andrii.myhlin@gmail.com</t>
        </is>
      </c>
      <c r="F9" s="53" t="inlineStr">
        <is>
          <t>Monobank</t>
        </is>
      </c>
      <c r="G9" s="45" t="inlineStr">
        <is>
          <t>5168752085544776</t>
        </is>
      </c>
      <c r="H9" s="112" t="inlineStr">
        <is>
          <t>UA643052990000026201875784751</t>
        </is>
      </c>
      <c r="I9" s="112" t="n">
        <v>3734505291</v>
      </c>
    </row>
    <row r="10" ht="15.75" customHeight="1">
      <c r="A10" s="140" t="n">
        <v>4</v>
      </c>
      <c r="B10" s="53" t="inlineStr">
        <is>
          <t>Терлецька Марія Максимівна</t>
        </is>
      </c>
      <c r="E10" s="43" t="n"/>
      <c r="F10" s="141" t="inlineStr">
        <is>
          <t>Monobank</t>
        </is>
      </c>
      <c r="H10" s="112" t="inlineStr">
        <is>
          <t>UA683220010000026202353816766</t>
        </is>
      </c>
      <c r="I10" s="112" t="n">
        <v>3781707605</v>
      </c>
    </row>
    <row r="11" ht="15.75" customHeight="1">
      <c r="A11" s="46" t="n">
        <v>5</v>
      </c>
      <c r="B11" s="53" t="inlineStr">
        <is>
          <t>Лавренишин Анатлоій</t>
        </is>
      </c>
      <c r="C11" s="54" t="n"/>
      <c r="E11" s="43" t="n"/>
      <c r="F11" s="141" t="inlineStr">
        <is>
          <t>Приват</t>
        </is>
      </c>
      <c r="H11" s="112" t="inlineStr">
        <is>
          <t>UA433052990000026207663260641</t>
        </is>
      </c>
    </row>
    <row r="12" ht="15.75" customHeight="1">
      <c r="B12" s="150" t="inlineStr">
        <is>
          <t>Маргарита Бездітко</t>
        </is>
      </c>
      <c r="C12" s="151" t="inlineStr">
        <is>
          <t>+380 73 123 0042</t>
        </is>
      </c>
      <c r="D12" s="152" t="n"/>
      <c r="E12" s="152" t="inlineStr">
        <is>
          <t>rita.bezditko@gmail.com</t>
        </is>
      </c>
      <c r="F12" s="150" t="inlineStr">
        <is>
          <t>Monobank</t>
        </is>
      </c>
      <c r="G12" s="153" t="inlineStr">
        <is>
          <t>4441114427187438</t>
        </is>
      </c>
    </row>
    <row r="13" ht="15.75" customHeight="1">
      <c r="E13" s="43" t="n"/>
    </row>
    <row r="14" ht="15.75" customHeight="1">
      <c r="I14" s="112" t="n"/>
    </row>
    <row r="15" ht="15.75" customHeight="1">
      <c r="E15" s="43" t="n"/>
    </row>
    <row r="16" ht="15.75" customHeight="1">
      <c r="B16" s="56" t="n"/>
      <c r="D16" s="43" t="n"/>
      <c r="E16" s="43" t="n"/>
      <c r="H16" s="137" t="inlineStr"/>
    </row>
    <row r="17" ht="15.75" customHeight="1">
      <c r="B17" s="56" t="n"/>
      <c r="D17" s="43" t="n"/>
      <c r="E17" s="43" t="n"/>
    </row>
    <row r="18" ht="16" customHeight="1">
      <c r="E18" s="43" t="n"/>
    </row>
    <row r="19" ht="15.75" customHeight="1">
      <c r="B19" s="56" t="n"/>
      <c r="D19" s="43" t="n"/>
      <c r="E19" s="43" t="n"/>
    </row>
    <row r="20" ht="15.75" customHeight="1">
      <c r="B20" s="56" t="n"/>
      <c r="D20" s="43" t="n"/>
      <c r="E20" s="43" t="n"/>
    </row>
    <row r="21" ht="15.75" customHeight="1">
      <c r="B21" s="56" t="n"/>
      <c r="D21" s="43" t="n"/>
      <c r="E21" s="43" t="n"/>
    </row>
    <row r="22" ht="16" customHeight="1">
      <c r="E22" s="43" t="n"/>
    </row>
    <row r="23" ht="15.75" customHeight="1">
      <c r="B23" s="56" t="n"/>
      <c r="D23" s="58" t="n"/>
      <c r="E23" s="43" t="n"/>
    </row>
    <row r="24" ht="15.75" customHeight="1">
      <c r="D24" s="43" t="n"/>
      <c r="E24" s="43" t="n"/>
    </row>
    <row r="25" ht="15.75" customHeight="1">
      <c r="B25" s="56" t="n"/>
      <c r="E25" s="43" t="n"/>
    </row>
    <row r="26" ht="15.75" customHeight="1">
      <c r="E26" s="43" t="n"/>
    </row>
    <row r="27" ht="15.75" customHeight="1">
      <c r="B27" s="56" t="n"/>
      <c r="E27" s="43" t="n"/>
    </row>
    <row r="28" ht="15.75" customHeight="1">
      <c r="E28" s="43" t="n"/>
    </row>
    <row r="29" ht="15.75" customHeight="1">
      <c r="B29" s="56" t="n"/>
      <c r="E29" s="43" t="n"/>
    </row>
    <row r="30" ht="15.75" customHeight="1">
      <c r="E30" s="43" t="n"/>
    </row>
    <row r="31" ht="15.75" customHeight="1">
      <c r="B31" s="56" t="n"/>
      <c r="E31" s="43" t="n"/>
    </row>
    <row r="32" ht="15.75" customHeight="1">
      <c r="E32" s="43" t="n"/>
    </row>
    <row r="33" ht="15.75" customHeight="1">
      <c r="E33" s="43" t="n"/>
    </row>
    <row r="34" ht="15.75" customHeight="1">
      <c r="E34" s="43" t="n"/>
    </row>
    <row r="35" ht="15.75" customHeight="1">
      <c r="E35" s="43" t="n"/>
    </row>
    <row r="36" ht="15.75" customHeight="1">
      <c r="E36" s="43" t="n"/>
    </row>
    <row r="37" ht="15.75" customHeight="1">
      <c r="E37" s="43" t="n"/>
    </row>
    <row r="38" ht="15.75" customHeight="1">
      <c r="E38" s="43" t="n"/>
    </row>
    <row r="39" ht="15.75" customHeight="1">
      <c r="E39" s="43" t="n"/>
    </row>
    <row r="40" ht="15.75" customHeight="1">
      <c r="E40" s="43" t="n"/>
    </row>
    <row r="41" ht="15.75" customHeight="1">
      <c r="E41" s="43" t="n"/>
    </row>
    <row r="42" ht="15.75" customHeight="1">
      <c r="E42" s="43" t="n"/>
    </row>
    <row r="43" ht="15.75" customHeight="1">
      <c r="E43" s="43" t="n"/>
    </row>
    <row r="44" ht="15.75" customHeight="1">
      <c r="E44" s="43" t="n"/>
    </row>
    <row r="45" ht="15.75" customHeight="1">
      <c r="E45" s="43" t="n"/>
    </row>
    <row r="46" ht="15.75" customHeight="1">
      <c r="E46" s="43" t="n"/>
    </row>
    <row r="47" ht="15.75" customHeight="1">
      <c r="E47" s="43" t="n"/>
    </row>
    <row r="48" ht="15.75" customHeight="1">
      <c r="E48" s="43" t="n"/>
    </row>
    <row r="49" ht="15.75" customHeight="1">
      <c r="E49" s="43" t="n"/>
    </row>
    <row r="50" ht="15.75" customHeight="1">
      <c r="E50" s="43" t="n"/>
    </row>
    <row r="51" ht="15.75" customHeight="1">
      <c r="E51" s="43" t="n"/>
    </row>
    <row r="52" ht="15.75" customHeight="1">
      <c r="E52" s="43" t="n"/>
    </row>
    <row r="53" ht="15.75" customHeight="1">
      <c r="E53" s="43" t="n"/>
    </row>
    <row r="54" ht="15.75" customHeight="1">
      <c r="E54" s="43" t="n"/>
    </row>
    <row r="55" ht="15.75" customHeight="1">
      <c r="E55" s="43" t="n"/>
    </row>
    <row r="56" ht="15.75" customHeight="1">
      <c r="E56" s="43" t="n"/>
    </row>
    <row r="57" ht="15.75" customHeight="1">
      <c r="E57" s="43" t="n"/>
    </row>
    <row r="58" ht="15.75" customHeight="1">
      <c r="E58" s="43" t="n"/>
    </row>
    <row r="59" ht="15.75" customHeight="1">
      <c r="E59" s="43" t="n"/>
    </row>
    <row r="60" ht="15.75" customHeight="1">
      <c r="E60" s="43" t="n"/>
    </row>
    <row r="61" ht="15.75" customHeight="1">
      <c r="E61" s="43" t="n"/>
    </row>
    <row r="62" ht="15.75" customHeight="1">
      <c r="E62" s="43" t="n"/>
    </row>
    <row r="63" ht="15.75" customHeight="1">
      <c r="E63" s="43" t="n"/>
    </row>
    <row r="64" ht="15.75" customHeight="1">
      <c r="E64" s="43" t="n"/>
    </row>
    <row r="65" ht="15.75" customHeight="1">
      <c r="E65" s="43" t="n"/>
    </row>
    <row r="66" ht="15.75" customHeight="1">
      <c r="E66" s="43" t="n"/>
    </row>
    <row r="67" ht="15.75" customHeight="1">
      <c r="E67" s="43" t="n"/>
    </row>
    <row r="68" ht="15.75" customHeight="1">
      <c r="E68" s="43" t="n"/>
    </row>
    <row r="69" ht="15.75" customHeight="1">
      <c r="E69" s="43" t="n"/>
    </row>
    <row r="70" ht="15.75" customHeight="1">
      <c r="E70" s="43" t="n"/>
    </row>
    <row r="71" ht="15.75" customHeight="1">
      <c r="E71" s="43" t="n"/>
    </row>
    <row r="72" ht="15.75" customHeight="1">
      <c r="E72" s="43" t="n"/>
    </row>
    <row r="73" ht="15.75" customHeight="1">
      <c r="E73" s="43" t="n"/>
    </row>
    <row r="74" ht="15.75" customHeight="1">
      <c r="E74" s="43" t="n"/>
    </row>
    <row r="75" ht="15.75" customHeight="1">
      <c r="E75" s="43" t="n"/>
    </row>
    <row r="76" ht="15.75" customHeight="1">
      <c r="E76" s="43" t="n"/>
    </row>
    <row r="77" ht="15.75" customHeight="1">
      <c r="E77" s="43" t="n"/>
    </row>
    <row r="78" ht="15.75" customHeight="1">
      <c r="E78" s="43" t="n"/>
    </row>
    <row r="79" ht="15.75" customHeight="1">
      <c r="E79" s="43" t="n"/>
    </row>
    <row r="80" ht="15.75" customHeight="1">
      <c r="E80" s="43" t="n"/>
    </row>
    <row r="81" ht="15.75" customHeight="1">
      <c r="E81" s="43" t="n"/>
    </row>
    <row r="82" ht="15.75" customHeight="1">
      <c r="E82" s="43" t="n"/>
    </row>
    <row r="83" ht="15.75" customHeight="1">
      <c r="E83" s="43" t="n"/>
    </row>
    <row r="84" ht="15.75" customHeight="1">
      <c r="E84" s="43" t="n"/>
    </row>
    <row r="85" ht="15.75" customHeight="1">
      <c r="E85" s="43" t="n"/>
    </row>
    <row r="86" ht="15.75" customHeight="1">
      <c r="E86" s="43" t="n"/>
    </row>
    <row r="87" ht="15.75" customHeight="1">
      <c r="E87" s="43" t="n"/>
    </row>
    <row r="88" ht="15.75" customHeight="1">
      <c r="E88" s="43" t="n"/>
    </row>
    <row r="89" ht="15.75" customHeight="1">
      <c r="E89" s="43" t="n"/>
    </row>
    <row r="90" ht="15.75" customHeight="1">
      <c r="E90" s="43" t="n"/>
    </row>
    <row r="91" ht="15.75" customHeight="1">
      <c r="E91" s="43" t="n"/>
    </row>
    <row r="92" ht="15.75" customHeight="1">
      <c r="E92" s="43" t="n"/>
    </row>
    <row r="93" ht="15.75" customHeight="1">
      <c r="E93" s="43" t="n"/>
    </row>
    <row r="94" ht="15.75" customHeight="1">
      <c r="E94" s="43" t="n"/>
    </row>
    <row r="95" ht="15.75" customHeight="1">
      <c r="E95" s="43" t="n"/>
    </row>
    <row r="96" ht="15.75" customHeight="1">
      <c r="E96" s="43" t="n"/>
    </row>
    <row r="97" ht="15.75" customHeight="1">
      <c r="E97" s="43" t="n"/>
    </row>
    <row r="98" ht="15.75" customHeight="1">
      <c r="E98" s="43" t="n"/>
    </row>
    <row r="99" ht="15.75" customHeight="1">
      <c r="E99" s="43" t="n"/>
    </row>
    <row r="100" ht="15.75" customHeight="1">
      <c r="E100" s="43" t="n"/>
    </row>
    <row r="101" ht="15.75" customHeight="1">
      <c r="E101" s="43" t="n"/>
    </row>
    <row r="102" ht="15.75" customHeight="1">
      <c r="E102" s="43" t="n"/>
    </row>
    <row r="103" ht="15.75" customHeight="1">
      <c r="E103" s="43" t="n"/>
    </row>
    <row r="104" ht="15.75" customHeight="1">
      <c r="E104" s="43" t="n"/>
    </row>
    <row r="105" ht="15.75" customHeight="1">
      <c r="E105" s="43" t="n"/>
    </row>
    <row r="106" ht="15.75" customHeight="1">
      <c r="E106" s="43" t="n"/>
    </row>
    <row r="107" ht="15.75" customHeight="1">
      <c r="E107" s="43" t="n"/>
    </row>
    <row r="108" ht="15.75" customHeight="1">
      <c r="E108" s="43" t="n"/>
    </row>
    <row r="109" ht="15.75" customHeight="1">
      <c r="E109" s="43" t="n"/>
    </row>
    <row r="110" ht="15.75" customHeight="1">
      <c r="E110" s="43" t="n"/>
    </row>
    <row r="111" ht="15.75" customHeight="1">
      <c r="E111" s="43" t="n"/>
    </row>
    <row r="112" ht="15.75" customHeight="1">
      <c r="E112" s="43" t="n"/>
    </row>
    <row r="113" ht="15.75" customHeight="1">
      <c r="E113" s="43" t="n"/>
    </row>
    <row r="114" ht="15.75" customHeight="1">
      <c r="E114" s="43" t="n"/>
    </row>
    <row r="115" ht="15.75" customHeight="1">
      <c r="E115" s="43" t="n"/>
    </row>
    <row r="116" ht="15.75" customHeight="1">
      <c r="E116" s="43" t="n"/>
    </row>
    <row r="117" ht="15.75" customHeight="1">
      <c r="E117" s="43" t="n"/>
    </row>
    <row r="118" ht="15.75" customHeight="1">
      <c r="E118" s="43" t="n"/>
    </row>
    <row r="119" ht="15.75" customHeight="1">
      <c r="E119" s="43" t="n"/>
    </row>
    <row r="120" ht="15.75" customHeight="1">
      <c r="E120" s="43" t="n"/>
    </row>
    <row r="121" ht="15.75" customHeight="1">
      <c r="E121" s="43" t="n"/>
    </row>
    <row r="122" ht="15.75" customHeight="1">
      <c r="E122" s="43" t="n"/>
    </row>
    <row r="123" ht="15.75" customHeight="1">
      <c r="E123" s="43" t="n"/>
    </row>
    <row r="124" ht="15.75" customHeight="1">
      <c r="E124" s="43" t="n"/>
    </row>
    <row r="125" ht="15.75" customHeight="1">
      <c r="E125" s="43" t="n"/>
    </row>
    <row r="126" ht="15.75" customHeight="1">
      <c r="E126" s="43" t="n"/>
    </row>
    <row r="127" ht="15.75" customHeight="1">
      <c r="E127" s="43" t="n"/>
    </row>
    <row r="128" ht="15.75" customHeight="1">
      <c r="E128" s="43" t="n"/>
    </row>
    <row r="129" ht="15.75" customHeight="1">
      <c r="E129" s="43" t="n"/>
    </row>
    <row r="130" ht="15.75" customHeight="1">
      <c r="E130" s="43" t="n"/>
    </row>
    <row r="131" ht="15.75" customHeight="1">
      <c r="E131" s="43" t="n"/>
    </row>
    <row r="132" ht="15.75" customHeight="1">
      <c r="E132" s="43" t="n"/>
    </row>
    <row r="133" ht="15.75" customHeight="1">
      <c r="E133" s="43" t="n"/>
    </row>
    <row r="134" ht="15.75" customHeight="1">
      <c r="E134" s="43" t="n"/>
    </row>
    <row r="135" ht="15.75" customHeight="1">
      <c r="E135" s="43" t="n"/>
    </row>
    <row r="136" ht="15.75" customHeight="1">
      <c r="E136" s="43" t="n"/>
    </row>
    <row r="137" ht="15.75" customHeight="1">
      <c r="E137" s="43" t="n"/>
    </row>
    <row r="138" ht="15.75" customHeight="1">
      <c r="E138" s="43" t="n"/>
    </row>
    <row r="139" ht="15.75" customHeight="1">
      <c r="E139" s="43" t="n"/>
    </row>
    <row r="140" ht="15.75" customHeight="1">
      <c r="E140" s="43" t="n"/>
    </row>
    <row r="141" ht="15.75" customHeight="1">
      <c r="E141" s="43" t="n"/>
    </row>
    <row r="142" ht="15.75" customHeight="1">
      <c r="E142" s="43" t="n"/>
    </row>
    <row r="143" ht="15.75" customHeight="1">
      <c r="E143" s="43" t="n"/>
    </row>
    <row r="144" ht="15.75" customHeight="1">
      <c r="E144" s="43" t="n"/>
    </row>
    <row r="145" ht="15.75" customHeight="1">
      <c r="E145" s="43" t="n"/>
    </row>
    <row r="146" ht="15.75" customHeight="1">
      <c r="E146" s="43" t="n"/>
    </row>
    <row r="147" ht="15.75" customHeight="1">
      <c r="E147" s="43" t="n"/>
    </row>
    <row r="148" ht="15.75" customHeight="1">
      <c r="E148" s="43" t="n"/>
    </row>
    <row r="149" ht="15.75" customHeight="1">
      <c r="E149" s="43" t="n"/>
    </row>
    <row r="150" ht="15.75" customHeight="1">
      <c r="E150" s="43" t="n"/>
    </row>
    <row r="151" ht="15.75" customHeight="1">
      <c r="E151" s="43" t="n"/>
    </row>
    <row r="152" ht="15.75" customHeight="1">
      <c r="E152" s="43" t="n"/>
    </row>
    <row r="153" ht="15.75" customHeight="1">
      <c r="E153" s="43" t="n"/>
    </row>
    <row r="154" ht="15.75" customHeight="1">
      <c r="E154" s="43" t="n"/>
    </row>
    <row r="155" ht="15.75" customHeight="1">
      <c r="E155" s="43" t="n"/>
    </row>
    <row r="156" ht="15.75" customHeight="1">
      <c r="E156" s="43" t="n"/>
    </row>
    <row r="157" ht="15.75" customHeight="1">
      <c r="E157" s="43" t="n"/>
    </row>
    <row r="158" ht="15.75" customHeight="1">
      <c r="E158" s="43" t="n"/>
    </row>
    <row r="159" ht="15.75" customHeight="1">
      <c r="E159" s="43" t="n"/>
    </row>
    <row r="160" ht="15.75" customHeight="1">
      <c r="E160" s="43" t="n"/>
    </row>
    <row r="161" ht="15.75" customHeight="1">
      <c r="E161" s="43" t="n"/>
    </row>
    <row r="162" ht="15.75" customHeight="1">
      <c r="E162" s="43" t="n"/>
    </row>
    <row r="163" ht="15.75" customHeight="1">
      <c r="E163" s="43" t="n"/>
    </row>
    <row r="164" ht="15.75" customHeight="1">
      <c r="E164" s="43" t="n"/>
    </row>
    <row r="165" ht="15.75" customHeight="1">
      <c r="E165" s="43" t="n"/>
    </row>
    <row r="166" ht="15.75" customHeight="1">
      <c r="E166" s="43" t="n"/>
    </row>
    <row r="167" ht="15.75" customHeight="1">
      <c r="E167" s="43" t="n"/>
    </row>
    <row r="168" ht="15.75" customHeight="1">
      <c r="E168" s="43" t="n"/>
    </row>
    <row r="169" ht="15.75" customHeight="1">
      <c r="E169" s="43" t="n"/>
    </row>
    <row r="170" ht="15.75" customHeight="1">
      <c r="E170" s="43" t="n"/>
    </row>
    <row r="171" ht="15.75" customHeight="1">
      <c r="E171" s="43" t="n"/>
    </row>
    <row r="172" ht="15.75" customHeight="1">
      <c r="E172" s="43" t="n"/>
    </row>
    <row r="173" ht="15.75" customHeight="1">
      <c r="E173" s="43" t="n"/>
    </row>
    <row r="174" ht="15.75" customHeight="1">
      <c r="E174" s="43" t="n"/>
    </row>
    <row r="175" ht="15.75" customHeight="1">
      <c r="E175" s="43" t="n"/>
    </row>
    <row r="176" ht="15.75" customHeight="1">
      <c r="E176" s="43" t="n"/>
    </row>
    <row r="177" ht="15.75" customHeight="1">
      <c r="E177" s="43" t="n"/>
    </row>
    <row r="178" ht="15.75" customHeight="1">
      <c r="E178" s="43" t="n"/>
    </row>
    <row r="179" ht="15.75" customHeight="1">
      <c r="E179" s="43" t="n"/>
    </row>
    <row r="180" ht="15.75" customHeight="1">
      <c r="E180" s="43" t="n"/>
    </row>
    <row r="181" ht="15.75" customHeight="1">
      <c r="E181" s="43" t="n"/>
    </row>
    <row r="182" ht="15.75" customHeight="1">
      <c r="E182" s="43" t="n"/>
    </row>
    <row r="183" ht="15.75" customHeight="1">
      <c r="E183" s="43" t="n"/>
    </row>
    <row r="184" ht="15.75" customHeight="1">
      <c r="E184" s="43" t="n"/>
    </row>
    <row r="185" ht="15.75" customHeight="1">
      <c r="E185" s="43" t="n"/>
    </row>
    <row r="186" ht="15.75" customHeight="1">
      <c r="E186" s="43" t="n"/>
    </row>
    <row r="187" ht="15.75" customHeight="1">
      <c r="E187" s="43" t="n"/>
    </row>
    <row r="188" ht="15.75" customHeight="1">
      <c r="E188" s="43" t="n"/>
    </row>
    <row r="189" ht="15.75" customHeight="1">
      <c r="E189" s="43" t="n"/>
    </row>
    <row r="190" ht="15.75" customHeight="1">
      <c r="E190" s="43" t="n"/>
    </row>
    <row r="191" ht="15.75" customHeight="1">
      <c r="E191" s="43" t="n"/>
    </row>
    <row r="192" ht="15.75" customHeight="1">
      <c r="E192" s="43" t="n"/>
    </row>
    <row r="193" ht="15.75" customHeight="1">
      <c r="E193" s="43" t="n"/>
    </row>
    <row r="194" ht="15.75" customHeight="1">
      <c r="E194" s="43" t="n"/>
    </row>
    <row r="195" ht="15.75" customHeight="1">
      <c r="E195" s="43" t="n"/>
    </row>
    <row r="196" ht="15.75" customHeight="1">
      <c r="E196" s="43" t="n"/>
    </row>
    <row r="197" ht="15.75" customHeight="1">
      <c r="E197" s="43" t="n"/>
    </row>
    <row r="198" ht="15.75" customHeight="1">
      <c r="E198" s="43" t="n"/>
    </row>
    <row r="199" ht="15.75" customHeight="1">
      <c r="E199" s="43" t="n"/>
    </row>
    <row r="200" ht="15.75" customHeight="1">
      <c r="E200" s="43" t="n"/>
    </row>
    <row r="201" ht="15.75" customHeight="1">
      <c r="E201" s="43" t="n"/>
    </row>
    <row r="202" ht="15.75" customHeight="1">
      <c r="E202" s="43" t="n"/>
    </row>
    <row r="203" ht="15.75" customHeight="1">
      <c r="E203" s="43" t="n"/>
    </row>
    <row r="204" ht="15.75" customHeight="1">
      <c r="E204" s="43" t="n"/>
    </row>
    <row r="205" ht="15.75" customHeight="1">
      <c r="E205" s="43" t="n"/>
    </row>
    <row r="206" ht="15.75" customHeight="1">
      <c r="E206" s="43" t="n"/>
    </row>
    <row r="207" ht="15.75" customHeight="1">
      <c r="E207" s="43" t="n"/>
    </row>
    <row r="208" ht="15.75" customHeight="1">
      <c r="E208" s="43" t="n"/>
    </row>
    <row r="209" ht="15.75" customHeight="1">
      <c r="E209" s="43" t="n"/>
    </row>
    <row r="210" ht="15.75" customHeight="1">
      <c r="E210" s="43" t="n"/>
    </row>
    <row r="211" ht="15.75" customHeight="1">
      <c r="E211" s="43" t="n"/>
    </row>
    <row r="212" ht="15.75" customHeight="1">
      <c r="E212" s="43" t="n"/>
    </row>
    <row r="213" ht="15.75" customHeight="1">
      <c r="E213" s="43" t="n"/>
    </row>
    <row r="214" ht="15.75" customHeight="1">
      <c r="E214" s="43" t="n"/>
    </row>
    <row r="215" ht="15.75" customHeight="1">
      <c r="E215" s="43" t="n"/>
    </row>
    <row r="216" ht="15.75" customHeight="1">
      <c r="E216" s="43" t="n"/>
    </row>
    <row r="217" ht="15.75" customHeight="1">
      <c r="E217" s="43" t="n"/>
    </row>
    <row r="218" ht="15.75" customHeight="1">
      <c r="E218" s="43" t="n"/>
    </row>
    <row r="219" ht="15.75" customHeight="1">
      <c r="E219" s="43" t="n"/>
    </row>
    <row r="220" ht="15.75" customHeight="1">
      <c r="E220" s="43" t="n"/>
    </row>
    <row r="221" ht="15.75" customHeight="1">
      <c r="E221" s="43" t="n"/>
    </row>
    <row r="222" ht="15.75" customHeight="1">
      <c r="E222" s="43" t="n"/>
    </row>
    <row r="223" ht="15.75" customHeight="1">
      <c r="E223" s="43" t="n"/>
    </row>
    <row r="224" ht="15.75" customHeight="1">
      <c r="E224" s="43" t="n"/>
    </row>
    <row r="225" ht="15.75" customHeight="1">
      <c r="E225" s="43" t="n"/>
    </row>
    <row r="226" ht="15.75" customHeight="1">
      <c r="E226" s="43" t="n"/>
    </row>
    <row r="227" ht="15.75" customHeight="1">
      <c r="E227" s="43" t="n"/>
    </row>
    <row r="228" ht="15.75" customHeight="1">
      <c r="E228" s="43" t="n"/>
    </row>
    <row r="229" ht="15.75" customHeight="1">
      <c r="E229" s="43" t="n"/>
    </row>
    <row r="230" ht="15.75" customHeight="1">
      <c r="E230" s="43" t="n"/>
    </row>
    <row r="231" ht="15.75" customHeight="1">
      <c r="E231" s="43" t="n"/>
    </row>
    <row r="232" ht="15.75" customHeight="1">
      <c r="E232" s="43" t="n"/>
    </row>
    <row r="233" ht="15.75" customHeight="1">
      <c r="E233" s="43" t="n"/>
    </row>
    <row r="234" ht="15.75" customHeight="1">
      <c r="E234" s="43" t="n"/>
    </row>
    <row r="235" ht="15.75" customHeight="1">
      <c r="E235" s="43" t="n"/>
    </row>
    <row r="236" ht="15.75" customHeight="1">
      <c r="E236" s="43" t="n"/>
    </row>
    <row r="237" ht="15.75" customHeight="1">
      <c r="E237" s="43" t="n"/>
    </row>
    <row r="238" ht="15.75" customHeight="1">
      <c r="E238" s="43" t="n"/>
    </row>
    <row r="239" ht="15.75" customHeight="1">
      <c r="E239" s="43" t="n"/>
    </row>
    <row r="240" ht="15.75" customHeight="1">
      <c r="E240" s="43" t="n"/>
    </row>
    <row r="241" ht="15.75" customHeight="1">
      <c r="E241" s="43" t="n"/>
    </row>
    <row r="242" ht="15.75" customHeight="1">
      <c r="E242" s="43" t="n"/>
    </row>
    <row r="243" ht="15.75" customHeight="1">
      <c r="E243" s="43" t="n"/>
    </row>
    <row r="244" ht="15.75" customHeight="1">
      <c r="E244" s="43" t="n"/>
    </row>
    <row r="245" ht="15.75" customHeight="1">
      <c r="E245" s="43" t="n"/>
    </row>
    <row r="246" ht="15.75" customHeight="1">
      <c r="E246" s="43" t="n"/>
    </row>
    <row r="247" ht="15.75" customHeight="1">
      <c r="E247" s="43" t="n"/>
    </row>
    <row r="248" ht="15.75" customHeight="1">
      <c r="E248" s="43" t="n"/>
    </row>
    <row r="249" ht="15.75" customHeight="1">
      <c r="E249" s="43" t="n"/>
    </row>
    <row r="250" ht="15.75" customHeight="1">
      <c r="E250" s="43" t="n"/>
    </row>
    <row r="251" ht="15.75" customHeight="1">
      <c r="E251" s="43" t="n"/>
    </row>
    <row r="252" ht="15.75" customHeight="1">
      <c r="E252" s="43" t="n"/>
    </row>
    <row r="253" ht="15.75" customHeight="1">
      <c r="E253" s="43" t="n"/>
    </row>
    <row r="254" ht="15.75" customHeight="1">
      <c r="E254" s="43" t="n"/>
    </row>
    <row r="255" ht="15.75" customHeight="1">
      <c r="E255" s="43" t="n"/>
    </row>
    <row r="256" ht="15.75" customHeight="1">
      <c r="E256" s="43" t="n"/>
    </row>
    <row r="257" ht="15.75" customHeight="1">
      <c r="E257" s="43" t="n"/>
    </row>
    <row r="258" ht="15.75" customHeight="1">
      <c r="E258" s="43" t="n"/>
    </row>
    <row r="259" ht="15.75" customHeight="1">
      <c r="E259" s="43" t="n"/>
    </row>
    <row r="260" ht="15.75" customHeight="1">
      <c r="E260" s="43" t="n"/>
    </row>
    <row r="261" ht="15.75" customHeight="1">
      <c r="E261" s="43" t="n"/>
    </row>
    <row r="262" ht="15.75" customHeight="1">
      <c r="E262" s="43" t="n"/>
    </row>
    <row r="263" ht="15.75" customHeight="1">
      <c r="E263" s="43" t="n"/>
    </row>
    <row r="264" ht="15.75" customHeight="1">
      <c r="E264" s="43" t="n"/>
    </row>
    <row r="265" ht="15.75" customHeight="1">
      <c r="E265" s="43" t="n"/>
    </row>
    <row r="266" ht="15.75" customHeight="1">
      <c r="E266" s="43" t="n"/>
    </row>
    <row r="267" ht="15.75" customHeight="1">
      <c r="E267" s="43" t="n"/>
    </row>
    <row r="268" ht="15.75" customHeight="1">
      <c r="E268" s="43" t="n"/>
    </row>
    <row r="269" ht="15.75" customHeight="1">
      <c r="E269" s="43" t="n"/>
    </row>
    <row r="270" ht="15.75" customHeight="1">
      <c r="E270" s="43" t="n"/>
    </row>
    <row r="271" ht="15.75" customHeight="1">
      <c r="E271" s="43" t="n"/>
    </row>
    <row r="272" ht="15.75" customHeight="1">
      <c r="E272" s="43" t="n"/>
    </row>
    <row r="273" ht="15.75" customHeight="1">
      <c r="E273" s="43" t="n"/>
    </row>
    <row r="274" ht="15.75" customHeight="1">
      <c r="E274" s="43" t="n"/>
    </row>
    <row r="275" ht="15.75" customHeight="1">
      <c r="E275" s="43" t="n"/>
    </row>
    <row r="276" ht="15.75" customHeight="1">
      <c r="E276" s="43" t="n"/>
    </row>
    <row r="277" ht="15.75" customHeight="1">
      <c r="E277" s="43" t="n"/>
    </row>
    <row r="278" ht="15.75" customHeight="1">
      <c r="E278" s="43" t="n"/>
    </row>
    <row r="279" ht="15.75" customHeight="1">
      <c r="E279" s="43" t="n"/>
    </row>
    <row r="280" ht="15.75" customHeight="1">
      <c r="E280" s="43" t="n"/>
    </row>
    <row r="281" ht="15.75" customHeight="1">
      <c r="E281" s="43" t="n"/>
    </row>
    <row r="282" ht="15.75" customHeight="1">
      <c r="E282" s="43" t="n"/>
    </row>
    <row r="283" ht="15.75" customHeight="1">
      <c r="E283" s="43" t="n"/>
    </row>
    <row r="284" ht="15.75" customHeight="1">
      <c r="E284" s="43" t="n"/>
    </row>
    <row r="285" ht="15.75" customHeight="1">
      <c r="E285" s="43" t="n"/>
    </row>
    <row r="286" ht="15.75" customHeight="1">
      <c r="E286" s="43" t="n"/>
    </row>
    <row r="287" ht="15.75" customHeight="1">
      <c r="E287" s="43" t="n"/>
    </row>
    <row r="288" ht="15.75" customHeight="1">
      <c r="E288" s="43" t="n"/>
    </row>
    <row r="289" ht="15.75" customHeight="1">
      <c r="E289" s="43" t="n"/>
    </row>
    <row r="290" ht="15.75" customHeight="1">
      <c r="E290" s="43" t="n"/>
    </row>
    <row r="291" ht="15.75" customHeight="1">
      <c r="E291" s="43" t="n"/>
    </row>
    <row r="292" ht="15.75" customHeight="1">
      <c r="E292" s="43" t="n"/>
    </row>
    <row r="293" ht="15.75" customHeight="1">
      <c r="E293" s="43" t="n"/>
    </row>
    <row r="294" ht="15.75" customHeight="1">
      <c r="E294" s="43" t="n"/>
    </row>
    <row r="295" ht="15.75" customHeight="1">
      <c r="E295" s="43" t="n"/>
    </row>
    <row r="296" ht="15.75" customHeight="1">
      <c r="E296" s="43" t="n"/>
    </row>
    <row r="297" ht="15.75" customHeight="1">
      <c r="E297" s="43" t="n"/>
    </row>
    <row r="298" ht="15.75" customHeight="1">
      <c r="E298" s="43" t="n"/>
    </row>
    <row r="299" ht="15.75" customHeight="1">
      <c r="E299" s="43" t="n"/>
    </row>
    <row r="300" ht="15.75" customHeight="1">
      <c r="E300" s="43" t="n"/>
    </row>
    <row r="301" ht="15.75" customHeight="1">
      <c r="E301" s="43" t="n"/>
    </row>
    <row r="302" ht="15.75" customHeight="1">
      <c r="E302" s="43" t="n"/>
    </row>
    <row r="303" ht="15.75" customHeight="1">
      <c r="E303" s="43" t="n"/>
    </row>
    <row r="304" ht="15.75" customHeight="1">
      <c r="E304" s="43" t="n"/>
    </row>
    <row r="305" ht="15.75" customHeight="1">
      <c r="E305" s="43" t="n"/>
    </row>
    <row r="306" ht="15.75" customHeight="1">
      <c r="E306" s="43" t="n"/>
    </row>
    <row r="307" ht="15.75" customHeight="1">
      <c r="E307" s="43" t="n"/>
    </row>
    <row r="308" ht="15.75" customHeight="1">
      <c r="E308" s="43" t="n"/>
    </row>
    <row r="309" ht="15.75" customHeight="1">
      <c r="E309" s="43" t="n"/>
    </row>
    <row r="310" ht="15.75" customHeight="1">
      <c r="E310" s="43" t="n"/>
    </row>
    <row r="311" ht="15.75" customHeight="1">
      <c r="E311" s="43" t="n"/>
    </row>
    <row r="312" ht="15.75" customHeight="1">
      <c r="E312" s="43" t="n"/>
    </row>
    <row r="313" ht="15.75" customHeight="1">
      <c r="E313" s="43" t="n"/>
    </row>
    <row r="314" ht="15.75" customHeight="1">
      <c r="E314" s="43" t="n"/>
    </row>
    <row r="315" ht="15.75" customHeight="1">
      <c r="E315" s="43" t="n"/>
    </row>
    <row r="316" ht="15.75" customHeight="1">
      <c r="E316" s="43" t="n"/>
    </row>
    <row r="317" ht="15.75" customHeight="1">
      <c r="E317" s="43" t="n"/>
    </row>
    <row r="318" ht="15.75" customHeight="1">
      <c r="E318" s="43" t="n"/>
    </row>
    <row r="319" ht="15.75" customHeight="1">
      <c r="E319" s="43" t="n"/>
    </row>
    <row r="320" ht="15.75" customHeight="1">
      <c r="E320" s="43" t="n"/>
    </row>
    <row r="321" ht="15.75" customHeight="1">
      <c r="E321" s="43" t="n"/>
    </row>
    <row r="322" ht="15.75" customHeight="1">
      <c r="E322" s="43" t="n"/>
    </row>
    <row r="323" ht="15.75" customHeight="1">
      <c r="E323" s="43" t="n"/>
    </row>
    <row r="324" ht="15.75" customHeight="1">
      <c r="E324" s="43" t="n"/>
    </row>
    <row r="325" ht="15.75" customHeight="1">
      <c r="E325" s="43" t="n"/>
    </row>
    <row r="326" ht="15.75" customHeight="1">
      <c r="E326" s="43" t="n"/>
    </row>
    <row r="327" ht="15.75" customHeight="1">
      <c r="E327" s="43" t="n"/>
    </row>
    <row r="328" ht="15.75" customHeight="1">
      <c r="E328" s="43" t="n"/>
    </row>
    <row r="329" ht="15.75" customHeight="1">
      <c r="E329" s="43" t="n"/>
    </row>
    <row r="330" ht="15.75" customHeight="1">
      <c r="E330" s="43" t="n"/>
    </row>
    <row r="331" ht="15.75" customHeight="1">
      <c r="E331" s="43" t="n"/>
    </row>
    <row r="332" ht="15.75" customHeight="1">
      <c r="E332" s="43" t="n"/>
    </row>
    <row r="333" ht="15.75" customHeight="1">
      <c r="E333" s="43" t="n"/>
    </row>
    <row r="334" ht="15.75" customHeight="1">
      <c r="E334" s="43" t="n"/>
    </row>
    <row r="335" ht="15.75" customHeight="1">
      <c r="E335" s="43" t="n"/>
    </row>
    <row r="336" ht="15.75" customHeight="1">
      <c r="E336" s="43" t="n"/>
    </row>
    <row r="337" ht="15.75" customHeight="1">
      <c r="E337" s="43" t="n"/>
    </row>
    <row r="338" ht="15.75" customHeight="1">
      <c r="E338" s="43" t="n"/>
    </row>
    <row r="339" ht="15.75" customHeight="1">
      <c r="E339" s="43" t="n"/>
    </row>
    <row r="340" ht="15.75" customHeight="1">
      <c r="E340" s="43" t="n"/>
    </row>
    <row r="341" ht="15.75" customHeight="1">
      <c r="E341" s="43" t="n"/>
    </row>
    <row r="342" ht="15.75" customHeight="1">
      <c r="E342" s="43" t="n"/>
    </row>
    <row r="343" ht="15.75" customHeight="1">
      <c r="E343" s="43" t="n"/>
    </row>
    <row r="344" ht="15.75" customHeight="1">
      <c r="E344" s="43" t="n"/>
    </row>
    <row r="345" ht="15.75" customHeight="1">
      <c r="E345" s="43" t="n"/>
    </row>
    <row r="346" ht="15.75" customHeight="1">
      <c r="E346" s="43" t="n"/>
    </row>
    <row r="347" ht="15.75" customHeight="1">
      <c r="E347" s="43" t="n"/>
    </row>
    <row r="348" ht="15.75" customHeight="1">
      <c r="E348" s="43" t="n"/>
    </row>
    <row r="349" ht="15.75" customHeight="1">
      <c r="E349" s="43" t="n"/>
    </row>
    <row r="350" ht="15.75" customHeight="1">
      <c r="E350" s="43" t="n"/>
    </row>
    <row r="351" ht="15.75" customHeight="1">
      <c r="E351" s="43" t="n"/>
    </row>
    <row r="352" ht="15.75" customHeight="1">
      <c r="E352" s="43" t="n"/>
    </row>
    <row r="353" ht="15.75" customHeight="1">
      <c r="E353" s="43" t="n"/>
    </row>
    <row r="354" ht="15.75" customHeight="1">
      <c r="E354" s="43" t="n"/>
    </row>
    <row r="355" ht="15.75" customHeight="1">
      <c r="E355" s="43" t="n"/>
    </row>
    <row r="356" ht="15.75" customHeight="1">
      <c r="E356" s="43" t="n"/>
    </row>
    <row r="357" ht="15.75" customHeight="1">
      <c r="E357" s="43" t="n"/>
    </row>
    <row r="358" ht="15.75" customHeight="1">
      <c r="E358" s="43" t="n"/>
    </row>
    <row r="359" ht="15.75" customHeight="1">
      <c r="E359" s="43" t="n"/>
    </row>
    <row r="360" ht="15.75" customHeight="1">
      <c r="E360" s="43" t="n"/>
    </row>
    <row r="361" ht="15.75" customHeight="1">
      <c r="E361" s="43" t="n"/>
    </row>
    <row r="362" ht="15.75" customHeight="1">
      <c r="E362" s="43" t="n"/>
    </row>
    <row r="363" ht="15.75" customHeight="1">
      <c r="E363" s="43" t="n"/>
    </row>
    <row r="364" ht="15.75" customHeight="1">
      <c r="E364" s="43" t="n"/>
    </row>
    <row r="365" ht="15.75" customHeight="1">
      <c r="E365" s="43" t="n"/>
    </row>
    <row r="366" ht="15.75" customHeight="1">
      <c r="E366" s="43" t="n"/>
    </row>
    <row r="367" ht="15.75" customHeight="1">
      <c r="E367" s="43" t="n"/>
    </row>
    <row r="368" ht="15.75" customHeight="1">
      <c r="E368" s="43" t="n"/>
    </row>
    <row r="369" ht="15.75" customHeight="1">
      <c r="E369" s="43" t="n"/>
    </row>
    <row r="370" ht="15.75" customHeight="1">
      <c r="E370" s="43" t="n"/>
    </row>
    <row r="371" ht="15.75" customHeight="1">
      <c r="E371" s="43" t="n"/>
    </row>
    <row r="372" ht="15.75" customHeight="1">
      <c r="E372" s="43" t="n"/>
    </row>
    <row r="373" ht="15.75" customHeight="1">
      <c r="E373" s="43" t="n"/>
    </row>
    <row r="374" ht="15.75" customHeight="1">
      <c r="E374" s="43" t="n"/>
    </row>
    <row r="375" ht="15.75" customHeight="1">
      <c r="E375" s="43" t="n"/>
    </row>
    <row r="376" ht="15.75" customHeight="1">
      <c r="E376" s="43" t="n"/>
    </row>
    <row r="377" ht="15.75" customHeight="1">
      <c r="E377" s="43" t="n"/>
    </row>
    <row r="378" ht="15.75" customHeight="1">
      <c r="E378" s="43" t="n"/>
    </row>
    <row r="379" ht="15.75" customHeight="1">
      <c r="E379" s="43" t="n"/>
    </row>
    <row r="380" ht="15.75" customHeight="1">
      <c r="E380" s="43" t="n"/>
    </row>
    <row r="381" ht="15.75" customHeight="1">
      <c r="E381" s="43" t="n"/>
    </row>
    <row r="382" ht="15.75" customHeight="1">
      <c r="E382" s="43" t="n"/>
    </row>
    <row r="383" ht="15.75" customHeight="1">
      <c r="E383" s="43" t="n"/>
    </row>
    <row r="384" ht="15.75" customHeight="1">
      <c r="E384" s="43" t="n"/>
    </row>
    <row r="385" ht="15.75" customHeight="1">
      <c r="E385" s="43" t="n"/>
    </row>
    <row r="386" ht="15.75" customHeight="1">
      <c r="E386" s="43" t="n"/>
    </row>
    <row r="387" ht="15.75" customHeight="1">
      <c r="E387" s="43" t="n"/>
    </row>
    <row r="388" ht="15.75" customHeight="1">
      <c r="E388" s="43" t="n"/>
    </row>
    <row r="389" ht="15.75" customHeight="1">
      <c r="E389" s="43" t="n"/>
    </row>
    <row r="390" ht="15.75" customHeight="1">
      <c r="E390" s="43" t="n"/>
    </row>
    <row r="391" ht="15.75" customHeight="1">
      <c r="E391" s="43" t="n"/>
    </row>
    <row r="392" ht="15.75" customHeight="1">
      <c r="E392" s="43" t="n"/>
    </row>
    <row r="393" ht="15.75" customHeight="1">
      <c r="E393" s="43" t="n"/>
    </row>
    <row r="394" ht="15.75" customHeight="1">
      <c r="E394" s="43" t="n"/>
    </row>
    <row r="395" ht="15.75" customHeight="1">
      <c r="E395" s="43" t="n"/>
    </row>
    <row r="396" ht="15.75" customHeight="1">
      <c r="E396" s="43" t="n"/>
    </row>
    <row r="397" ht="15.75" customHeight="1">
      <c r="E397" s="43" t="n"/>
    </row>
    <row r="398" ht="15.75" customHeight="1">
      <c r="E398" s="43" t="n"/>
    </row>
    <row r="399" ht="15.75" customHeight="1">
      <c r="E399" s="43" t="n"/>
    </row>
    <row r="400" ht="15.75" customHeight="1">
      <c r="E400" s="43" t="n"/>
    </row>
    <row r="401" ht="15.75" customHeight="1">
      <c r="E401" s="43" t="n"/>
    </row>
    <row r="402" ht="15.75" customHeight="1">
      <c r="E402" s="43" t="n"/>
    </row>
    <row r="403" ht="15.75" customHeight="1">
      <c r="E403" s="43" t="n"/>
    </row>
    <row r="404" ht="15.75" customHeight="1">
      <c r="E404" s="43" t="n"/>
    </row>
    <row r="405" ht="15.75" customHeight="1">
      <c r="E405" s="43" t="n"/>
    </row>
    <row r="406" ht="15.75" customHeight="1">
      <c r="E406" s="43" t="n"/>
    </row>
    <row r="407" ht="15.75" customHeight="1">
      <c r="E407" s="43" t="n"/>
    </row>
    <row r="408" ht="15.75" customHeight="1">
      <c r="E408" s="43" t="n"/>
    </row>
    <row r="409" ht="15.75" customHeight="1">
      <c r="E409" s="43" t="n"/>
    </row>
    <row r="410" ht="15.75" customHeight="1">
      <c r="E410" s="43" t="n"/>
    </row>
    <row r="411" ht="15.75" customHeight="1">
      <c r="E411" s="43" t="n"/>
    </row>
    <row r="412" ht="15.75" customHeight="1">
      <c r="E412" s="43" t="n"/>
    </row>
    <row r="413" ht="15.75" customHeight="1">
      <c r="E413" s="43" t="n"/>
    </row>
    <row r="414" ht="15.75" customHeight="1">
      <c r="E414" s="43" t="n"/>
    </row>
    <row r="415" ht="15.75" customHeight="1">
      <c r="E415" s="43" t="n"/>
    </row>
    <row r="416" ht="15.75" customHeight="1">
      <c r="E416" s="43" t="n"/>
    </row>
    <row r="417" ht="15.75" customHeight="1">
      <c r="E417" s="43" t="n"/>
    </row>
    <row r="418" ht="15.75" customHeight="1">
      <c r="E418" s="43" t="n"/>
    </row>
    <row r="419" ht="15.75" customHeight="1">
      <c r="E419" s="43" t="n"/>
    </row>
    <row r="420" ht="15.75" customHeight="1">
      <c r="E420" s="43" t="n"/>
    </row>
    <row r="421" ht="15.75" customHeight="1">
      <c r="E421" s="43" t="n"/>
    </row>
    <row r="422" ht="15.75" customHeight="1">
      <c r="E422" s="43" t="n"/>
    </row>
    <row r="423" ht="15.75" customHeight="1">
      <c r="E423" s="43" t="n"/>
    </row>
    <row r="424" ht="15.75" customHeight="1">
      <c r="E424" s="43" t="n"/>
    </row>
    <row r="425" ht="15.75" customHeight="1">
      <c r="E425" s="43" t="n"/>
    </row>
    <row r="426" ht="15.75" customHeight="1">
      <c r="E426" s="43" t="n"/>
    </row>
    <row r="427" ht="15.75" customHeight="1">
      <c r="E427" s="43" t="n"/>
    </row>
    <row r="428" ht="15.75" customHeight="1">
      <c r="E428" s="43" t="n"/>
    </row>
    <row r="429" ht="15.75" customHeight="1">
      <c r="E429" s="43" t="n"/>
    </row>
    <row r="430" ht="15.75" customHeight="1">
      <c r="E430" s="43" t="n"/>
    </row>
    <row r="431" ht="15.75" customHeight="1">
      <c r="E431" s="43" t="n"/>
    </row>
    <row r="432" ht="15.75" customHeight="1">
      <c r="E432" s="43" t="n"/>
    </row>
    <row r="433" ht="15.75" customHeight="1">
      <c r="E433" s="43" t="n"/>
    </row>
    <row r="434" ht="15.75" customHeight="1">
      <c r="E434" s="43" t="n"/>
    </row>
    <row r="435" ht="15.75" customHeight="1">
      <c r="E435" s="43" t="n"/>
    </row>
    <row r="436" ht="15.75" customHeight="1">
      <c r="E436" s="43" t="n"/>
    </row>
    <row r="437" ht="15.75" customHeight="1">
      <c r="E437" s="43" t="n"/>
    </row>
    <row r="438" ht="15.75" customHeight="1">
      <c r="E438" s="43" t="n"/>
    </row>
    <row r="439" ht="15.75" customHeight="1">
      <c r="E439" s="43" t="n"/>
    </row>
    <row r="440" ht="15.75" customHeight="1">
      <c r="E440" s="43" t="n"/>
    </row>
    <row r="441" ht="15.75" customHeight="1">
      <c r="E441" s="43" t="n"/>
    </row>
    <row r="442" ht="15.75" customHeight="1">
      <c r="E442" s="43" t="n"/>
    </row>
    <row r="443" ht="15.75" customHeight="1">
      <c r="E443" s="43" t="n"/>
    </row>
    <row r="444" ht="15.75" customHeight="1">
      <c r="E444" s="43" t="n"/>
    </row>
    <row r="445" ht="15.75" customHeight="1">
      <c r="E445" s="43" t="n"/>
    </row>
    <row r="446" ht="15.75" customHeight="1">
      <c r="E446" s="43" t="n"/>
    </row>
    <row r="447" ht="15.75" customHeight="1">
      <c r="E447" s="43" t="n"/>
    </row>
    <row r="448" ht="15.75" customHeight="1">
      <c r="E448" s="43" t="n"/>
    </row>
    <row r="449" ht="15.75" customHeight="1">
      <c r="E449" s="43" t="n"/>
    </row>
    <row r="450" ht="15.75" customHeight="1">
      <c r="E450" s="43" t="n"/>
    </row>
    <row r="451" ht="15.75" customHeight="1">
      <c r="E451" s="43" t="n"/>
    </row>
    <row r="452" ht="15.75" customHeight="1">
      <c r="E452" s="43" t="n"/>
    </row>
    <row r="453" ht="15.75" customHeight="1">
      <c r="E453" s="43" t="n"/>
    </row>
    <row r="454" ht="15.75" customHeight="1">
      <c r="E454" s="43" t="n"/>
    </row>
    <row r="455" ht="15.75" customHeight="1">
      <c r="E455" s="43" t="n"/>
    </row>
    <row r="456" ht="15.75" customHeight="1">
      <c r="E456" s="43" t="n"/>
    </row>
    <row r="457" ht="15.75" customHeight="1">
      <c r="E457" s="43" t="n"/>
    </row>
    <row r="458" ht="15.75" customHeight="1">
      <c r="E458" s="43" t="n"/>
    </row>
    <row r="459" ht="15.75" customHeight="1">
      <c r="E459" s="43" t="n"/>
    </row>
    <row r="460" ht="15.75" customHeight="1">
      <c r="E460" s="43" t="n"/>
    </row>
    <row r="461" ht="15.75" customHeight="1">
      <c r="E461" s="43" t="n"/>
    </row>
    <row r="462" ht="15.75" customHeight="1">
      <c r="E462" s="43" t="n"/>
    </row>
    <row r="463" ht="15.75" customHeight="1">
      <c r="E463" s="43" t="n"/>
    </row>
    <row r="464" ht="15.75" customHeight="1">
      <c r="E464" s="43" t="n"/>
    </row>
    <row r="465" ht="15.75" customHeight="1">
      <c r="E465" s="43" t="n"/>
    </row>
    <row r="466" ht="15.75" customHeight="1">
      <c r="E466" s="43" t="n"/>
    </row>
    <row r="467" ht="15.75" customHeight="1">
      <c r="E467" s="43" t="n"/>
    </row>
    <row r="468" ht="15.75" customHeight="1">
      <c r="E468" s="43" t="n"/>
    </row>
    <row r="469" ht="15.75" customHeight="1">
      <c r="E469" s="43" t="n"/>
    </row>
    <row r="470" ht="15.75" customHeight="1">
      <c r="E470" s="43" t="n"/>
    </row>
    <row r="471" ht="15.75" customHeight="1">
      <c r="E471" s="43" t="n"/>
    </row>
    <row r="472" ht="15.75" customHeight="1">
      <c r="E472" s="43" t="n"/>
    </row>
    <row r="473" ht="15.75" customHeight="1">
      <c r="E473" s="43" t="n"/>
    </row>
    <row r="474" ht="15.75" customHeight="1">
      <c r="E474" s="43" t="n"/>
    </row>
    <row r="475" ht="15.75" customHeight="1">
      <c r="E475" s="43" t="n"/>
    </row>
    <row r="476" ht="15.75" customHeight="1">
      <c r="E476" s="43" t="n"/>
    </row>
    <row r="477" ht="15.75" customHeight="1">
      <c r="E477" s="43" t="n"/>
    </row>
    <row r="478" ht="15.75" customHeight="1">
      <c r="E478" s="43" t="n"/>
    </row>
    <row r="479" ht="15.75" customHeight="1">
      <c r="E479" s="43" t="n"/>
    </row>
    <row r="480" ht="15.75" customHeight="1">
      <c r="E480" s="43" t="n"/>
    </row>
    <row r="481" ht="15.75" customHeight="1">
      <c r="E481" s="43" t="n"/>
    </row>
    <row r="482" ht="15.75" customHeight="1">
      <c r="E482" s="43" t="n"/>
    </row>
    <row r="483" ht="15.75" customHeight="1">
      <c r="E483" s="43" t="n"/>
    </row>
    <row r="484" ht="15.75" customHeight="1">
      <c r="E484" s="43" t="n"/>
    </row>
    <row r="485" ht="15.75" customHeight="1">
      <c r="E485" s="43" t="n"/>
    </row>
    <row r="486" ht="15.75" customHeight="1">
      <c r="E486" s="43" t="n"/>
    </row>
    <row r="487" ht="15.75" customHeight="1">
      <c r="E487" s="43" t="n"/>
    </row>
    <row r="488" ht="15.75" customHeight="1">
      <c r="E488" s="43" t="n"/>
    </row>
    <row r="489" ht="15.75" customHeight="1">
      <c r="E489" s="43" t="n"/>
    </row>
    <row r="490" ht="15.75" customHeight="1">
      <c r="E490" s="43" t="n"/>
    </row>
    <row r="491" ht="15.75" customHeight="1">
      <c r="E491" s="43" t="n"/>
    </row>
    <row r="492" ht="15.75" customHeight="1">
      <c r="E492" s="43" t="n"/>
    </row>
    <row r="493" ht="15.75" customHeight="1">
      <c r="E493" s="43" t="n"/>
    </row>
    <row r="494" ht="15.75" customHeight="1">
      <c r="E494" s="43" t="n"/>
    </row>
    <row r="495" ht="15.75" customHeight="1">
      <c r="E495" s="43" t="n"/>
    </row>
    <row r="496" ht="15.75" customHeight="1">
      <c r="E496" s="43" t="n"/>
    </row>
    <row r="497" ht="15.75" customHeight="1">
      <c r="E497" s="43" t="n"/>
    </row>
    <row r="498" ht="15.75" customHeight="1">
      <c r="E498" s="43" t="n"/>
    </row>
    <row r="499" ht="15.75" customHeight="1">
      <c r="E499" s="43" t="n"/>
    </row>
    <row r="500" ht="15.75" customHeight="1">
      <c r="E500" s="43" t="n"/>
    </row>
    <row r="501" ht="15.75" customHeight="1">
      <c r="E501" s="43" t="n"/>
    </row>
    <row r="502" ht="15.75" customHeight="1">
      <c r="E502" s="43" t="n"/>
    </row>
    <row r="503" ht="15.75" customHeight="1">
      <c r="E503" s="43" t="n"/>
    </row>
    <row r="504" ht="15.75" customHeight="1">
      <c r="E504" s="43" t="n"/>
    </row>
    <row r="505" ht="15.75" customHeight="1">
      <c r="E505" s="43" t="n"/>
    </row>
    <row r="506" ht="15.75" customHeight="1">
      <c r="E506" s="43" t="n"/>
    </row>
    <row r="507" ht="15.75" customHeight="1">
      <c r="E507" s="43" t="n"/>
    </row>
    <row r="508" ht="15.75" customHeight="1">
      <c r="E508" s="43" t="n"/>
    </row>
    <row r="509" ht="15.75" customHeight="1">
      <c r="E509" s="43" t="n"/>
    </row>
    <row r="510" ht="15.75" customHeight="1">
      <c r="E510" s="43" t="n"/>
    </row>
    <row r="511" ht="15.75" customHeight="1">
      <c r="E511" s="43" t="n"/>
    </row>
    <row r="512" ht="15.75" customHeight="1">
      <c r="E512" s="43" t="n"/>
    </row>
    <row r="513" ht="15.75" customHeight="1">
      <c r="E513" s="43" t="n"/>
    </row>
    <row r="514" ht="15.75" customHeight="1">
      <c r="E514" s="43" t="n"/>
    </row>
    <row r="515" ht="15.75" customHeight="1">
      <c r="E515" s="43" t="n"/>
    </row>
    <row r="516" ht="15.75" customHeight="1">
      <c r="E516" s="43" t="n"/>
    </row>
    <row r="517" ht="15.75" customHeight="1">
      <c r="E517" s="43" t="n"/>
    </row>
    <row r="518" ht="15.75" customHeight="1">
      <c r="E518" s="43" t="n"/>
    </row>
    <row r="519" ht="15.75" customHeight="1">
      <c r="E519" s="43" t="n"/>
    </row>
    <row r="520" ht="15.75" customHeight="1">
      <c r="E520" s="43" t="n"/>
    </row>
    <row r="521" ht="15.75" customHeight="1">
      <c r="E521" s="43" t="n"/>
    </row>
    <row r="522" ht="15.75" customHeight="1">
      <c r="E522" s="43" t="n"/>
    </row>
    <row r="523" ht="15.75" customHeight="1">
      <c r="E523" s="43" t="n"/>
    </row>
    <row r="524" ht="15.75" customHeight="1">
      <c r="E524" s="43" t="n"/>
    </row>
    <row r="525" ht="15.75" customHeight="1">
      <c r="E525" s="43" t="n"/>
    </row>
    <row r="526" ht="15.75" customHeight="1">
      <c r="E526" s="43" t="n"/>
    </row>
    <row r="527" ht="15.75" customHeight="1">
      <c r="E527" s="43" t="n"/>
    </row>
    <row r="528" ht="15.75" customHeight="1">
      <c r="E528" s="43" t="n"/>
    </row>
    <row r="529" ht="15.75" customHeight="1">
      <c r="E529" s="43" t="n"/>
    </row>
    <row r="530" ht="15.75" customHeight="1">
      <c r="E530" s="43" t="n"/>
    </row>
    <row r="531" ht="15.75" customHeight="1">
      <c r="E531" s="43" t="n"/>
    </row>
    <row r="532" ht="15.75" customHeight="1">
      <c r="E532" s="43" t="n"/>
    </row>
    <row r="533" ht="15.75" customHeight="1">
      <c r="E533" s="43" t="n"/>
    </row>
    <row r="534" ht="15.75" customHeight="1">
      <c r="E534" s="43" t="n"/>
    </row>
    <row r="535" ht="15.75" customHeight="1">
      <c r="E535" s="43" t="n"/>
    </row>
    <row r="536" ht="15.75" customHeight="1">
      <c r="E536" s="43" t="n"/>
    </row>
    <row r="537" ht="15.75" customHeight="1">
      <c r="E537" s="43" t="n"/>
    </row>
    <row r="538" ht="15.75" customHeight="1">
      <c r="E538" s="43" t="n"/>
    </row>
    <row r="539" ht="15.75" customHeight="1">
      <c r="E539" s="43" t="n"/>
    </row>
    <row r="540" ht="15.75" customHeight="1">
      <c r="E540" s="43" t="n"/>
    </row>
    <row r="541" ht="15.75" customHeight="1">
      <c r="E541" s="43" t="n"/>
    </row>
    <row r="542" ht="15.75" customHeight="1">
      <c r="E542" s="43" t="n"/>
    </row>
    <row r="543" ht="15.75" customHeight="1">
      <c r="E543" s="43" t="n"/>
    </row>
    <row r="544" ht="15.75" customHeight="1">
      <c r="E544" s="43" t="n"/>
    </row>
    <row r="545" ht="15.75" customHeight="1">
      <c r="E545" s="43" t="n"/>
    </row>
    <row r="546" ht="15.75" customHeight="1">
      <c r="E546" s="43" t="n"/>
    </row>
    <row r="547" ht="15.75" customHeight="1">
      <c r="E547" s="43" t="n"/>
    </row>
    <row r="548" ht="15.75" customHeight="1">
      <c r="E548" s="43" t="n"/>
    </row>
    <row r="549" ht="15.75" customHeight="1">
      <c r="E549" s="43" t="n"/>
    </row>
    <row r="550" ht="15.75" customHeight="1">
      <c r="E550" s="43" t="n"/>
    </row>
    <row r="551" ht="15.75" customHeight="1">
      <c r="E551" s="43" t="n"/>
    </row>
    <row r="552" ht="15.75" customHeight="1">
      <c r="E552" s="43" t="n"/>
    </row>
    <row r="553" ht="15.75" customHeight="1">
      <c r="E553" s="43" t="n"/>
    </row>
    <row r="554" ht="15.75" customHeight="1">
      <c r="E554" s="43" t="n"/>
    </row>
    <row r="555" ht="15.75" customHeight="1">
      <c r="E555" s="43" t="n"/>
    </row>
    <row r="556" ht="15.75" customHeight="1">
      <c r="E556" s="43" t="n"/>
    </row>
    <row r="557" ht="15.75" customHeight="1">
      <c r="E557" s="43" t="n"/>
    </row>
    <row r="558" ht="15.75" customHeight="1">
      <c r="E558" s="43" t="n"/>
    </row>
    <row r="559" ht="15.75" customHeight="1">
      <c r="E559" s="43" t="n"/>
    </row>
    <row r="560" ht="15.75" customHeight="1">
      <c r="E560" s="43" t="n"/>
    </row>
    <row r="561" ht="15.75" customHeight="1">
      <c r="E561" s="43" t="n"/>
    </row>
    <row r="562" ht="15.75" customHeight="1">
      <c r="E562" s="43" t="n"/>
    </row>
    <row r="563" ht="15.75" customHeight="1">
      <c r="E563" s="43" t="n"/>
    </row>
    <row r="564" ht="15.75" customHeight="1">
      <c r="E564" s="43" t="n"/>
    </row>
    <row r="565" ht="15.75" customHeight="1">
      <c r="E565" s="43" t="n"/>
    </row>
    <row r="566" ht="15.75" customHeight="1">
      <c r="E566" s="43" t="n"/>
    </row>
    <row r="567" ht="15.75" customHeight="1">
      <c r="E567" s="43" t="n"/>
    </row>
    <row r="568" ht="15.75" customHeight="1">
      <c r="E568" s="43" t="n"/>
    </row>
    <row r="569" ht="15.75" customHeight="1">
      <c r="E569" s="43" t="n"/>
    </row>
    <row r="570" ht="15.75" customHeight="1">
      <c r="E570" s="43" t="n"/>
    </row>
    <row r="571" ht="15.75" customHeight="1">
      <c r="E571" s="43" t="n"/>
    </row>
    <row r="572" ht="15.75" customHeight="1">
      <c r="E572" s="43" t="n"/>
    </row>
    <row r="573" ht="15.75" customHeight="1">
      <c r="E573" s="43" t="n"/>
    </row>
    <row r="574" ht="15.75" customHeight="1">
      <c r="E574" s="43" t="n"/>
    </row>
    <row r="575" ht="15.75" customHeight="1">
      <c r="E575" s="43" t="n"/>
    </row>
    <row r="576" ht="15.75" customHeight="1">
      <c r="E576" s="43" t="n"/>
    </row>
    <row r="577" ht="15.75" customHeight="1">
      <c r="E577" s="43" t="n"/>
    </row>
    <row r="578" ht="15.75" customHeight="1">
      <c r="E578" s="43" t="n"/>
    </row>
    <row r="579" ht="15.75" customHeight="1">
      <c r="E579" s="43" t="n"/>
    </row>
    <row r="580" ht="15.75" customHeight="1">
      <c r="E580" s="43" t="n"/>
    </row>
    <row r="581" ht="15.75" customHeight="1">
      <c r="E581" s="43" t="n"/>
    </row>
    <row r="582" ht="15.75" customHeight="1">
      <c r="E582" s="43" t="n"/>
    </row>
    <row r="583" ht="15.75" customHeight="1">
      <c r="E583" s="43" t="n"/>
    </row>
    <row r="584" ht="15.75" customHeight="1">
      <c r="E584" s="43" t="n"/>
    </row>
    <row r="585" ht="15.75" customHeight="1">
      <c r="E585" s="43" t="n"/>
    </row>
    <row r="586" ht="15.75" customHeight="1">
      <c r="E586" s="43" t="n"/>
    </row>
    <row r="587" ht="15.75" customHeight="1">
      <c r="E587" s="43" t="n"/>
    </row>
    <row r="588" ht="15.75" customHeight="1">
      <c r="E588" s="43" t="n"/>
    </row>
    <row r="589" ht="15.75" customHeight="1">
      <c r="E589" s="43" t="n"/>
    </row>
    <row r="590" ht="15.75" customHeight="1">
      <c r="E590" s="43" t="n"/>
    </row>
    <row r="591" ht="15.75" customHeight="1">
      <c r="E591" s="43" t="n"/>
    </row>
    <row r="592" ht="15.75" customHeight="1">
      <c r="E592" s="43" t="n"/>
    </row>
    <row r="593" ht="15.75" customHeight="1">
      <c r="E593" s="43" t="n"/>
    </row>
    <row r="594" ht="15.75" customHeight="1">
      <c r="E594" s="43" t="n"/>
    </row>
    <row r="595" ht="15.75" customHeight="1">
      <c r="E595" s="43" t="n"/>
    </row>
    <row r="596" ht="15.75" customHeight="1">
      <c r="E596" s="43" t="n"/>
    </row>
    <row r="597" ht="15.75" customHeight="1">
      <c r="E597" s="43" t="n"/>
    </row>
    <row r="598" ht="15.75" customHeight="1">
      <c r="E598" s="43" t="n"/>
    </row>
    <row r="599" ht="15.75" customHeight="1">
      <c r="E599" s="43" t="n"/>
    </row>
    <row r="600" ht="15.75" customHeight="1">
      <c r="E600" s="43" t="n"/>
    </row>
    <row r="601" ht="15.75" customHeight="1">
      <c r="E601" s="43" t="n"/>
    </row>
    <row r="602" ht="15.75" customHeight="1">
      <c r="E602" s="43" t="n"/>
    </row>
    <row r="603" ht="15.75" customHeight="1">
      <c r="E603" s="43" t="n"/>
    </row>
    <row r="604" ht="15.75" customHeight="1">
      <c r="E604" s="43" t="n"/>
    </row>
    <row r="605" ht="15.75" customHeight="1">
      <c r="E605" s="43" t="n"/>
    </row>
    <row r="606" ht="15.75" customHeight="1">
      <c r="E606" s="43" t="n"/>
    </row>
    <row r="607" ht="15.75" customHeight="1">
      <c r="E607" s="43" t="n"/>
    </row>
    <row r="608" ht="15.75" customHeight="1">
      <c r="E608" s="43" t="n"/>
    </row>
    <row r="609" ht="15.75" customHeight="1">
      <c r="E609" s="43" t="n"/>
    </row>
    <row r="610" ht="15.75" customHeight="1">
      <c r="E610" s="43" t="n"/>
    </row>
    <row r="611" ht="15.75" customHeight="1">
      <c r="E611" s="43" t="n"/>
    </row>
    <row r="612" ht="15.75" customHeight="1">
      <c r="E612" s="43" t="n"/>
    </row>
    <row r="613" ht="15.75" customHeight="1">
      <c r="E613" s="43" t="n"/>
    </row>
    <row r="614" ht="15.75" customHeight="1">
      <c r="E614" s="43" t="n"/>
    </row>
    <row r="615" ht="15.75" customHeight="1">
      <c r="E615" s="43" t="n"/>
    </row>
    <row r="616" ht="15.75" customHeight="1">
      <c r="E616" s="43" t="n"/>
    </row>
    <row r="617" ht="15.75" customHeight="1">
      <c r="E617" s="43" t="n"/>
    </row>
    <row r="618" ht="15.75" customHeight="1">
      <c r="E618" s="43" t="n"/>
    </row>
    <row r="619" ht="15.75" customHeight="1">
      <c r="E619" s="43" t="n"/>
    </row>
    <row r="620" ht="15.75" customHeight="1">
      <c r="E620" s="43" t="n"/>
    </row>
    <row r="621" ht="15.75" customHeight="1">
      <c r="E621" s="43" t="n"/>
    </row>
    <row r="622" ht="15.75" customHeight="1">
      <c r="E622" s="43" t="n"/>
    </row>
    <row r="623" ht="15.75" customHeight="1">
      <c r="E623" s="43" t="n"/>
    </row>
    <row r="624" ht="15.75" customHeight="1">
      <c r="E624" s="43" t="n"/>
    </row>
    <row r="625" ht="15.75" customHeight="1">
      <c r="E625" s="43" t="n"/>
    </row>
    <row r="626" ht="15.75" customHeight="1">
      <c r="E626" s="43" t="n"/>
    </row>
    <row r="627" ht="15.75" customHeight="1">
      <c r="E627" s="43" t="n"/>
    </row>
    <row r="628" ht="15.75" customHeight="1">
      <c r="E628" s="43" t="n"/>
    </row>
    <row r="629" ht="15.75" customHeight="1">
      <c r="E629" s="43" t="n"/>
    </row>
    <row r="630" ht="15.75" customHeight="1">
      <c r="E630" s="43" t="n"/>
    </row>
    <row r="631" ht="15.75" customHeight="1">
      <c r="E631" s="43" t="n"/>
    </row>
    <row r="632" ht="15.75" customHeight="1">
      <c r="E632" s="43" t="n"/>
    </row>
    <row r="633" ht="15.75" customHeight="1">
      <c r="E633" s="43" t="n"/>
    </row>
    <row r="634" ht="15.75" customHeight="1">
      <c r="E634" s="43" t="n"/>
    </row>
    <row r="635" ht="15.75" customHeight="1">
      <c r="E635" s="43" t="n"/>
    </row>
    <row r="636" ht="15.75" customHeight="1">
      <c r="E636" s="43" t="n"/>
    </row>
    <row r="637" ht="15.75" customHeight="1">
      <c r="E637" s="43" t="n"/>
    </row>
    <row r="638" ht="15.75" customHeight="1">
      <c r="E638" s="43" t="n"/>
    </row>
    <row r="639" ht="15.75" customHeight="1">
      <c r="E639" s="43" t="n"/>
    </row>
    <row r="640" ht="15.75" customHeight="1">
      <c r="E640" s="43" t="n"/>
    </row>
    <row r="641" ht="15.75" customHeight="1">
      <c r="E641" s="43" t="n"/>
    </row>
    <row r="642" ht="15.75" customHeight="1">
      <c r="E642" s="43" t="n"/>
    </row>
    <row r="643" ht="15.75" customHeight="1">
      <c r="E643" s="43" t="n"/>
    </row>
    <row r="644" ht="15.75" customHeight="1">
      <c r="E644" s="43" t="n"/>
    </row>
    <row r="645" ht="15.75" customHeight="1">
      <c r="E645" s="43" t="n"/>
    </row>
    <row r="646" ht="15.75" customHeight="1">
      <c r="E646" s="43" t="n"/>
    </row>
    <row r="647" ht="15.75" customHeight="1">
      <c r="E647" s="43" t="n"/>
    </row>
    <row r="648" ht="15.75" customHeight="1">
      <c r="E648" s="43" t="n"/>
    </row>
    <row r="649" ht="15.75" customHeight="1">
      <c r="E649" s="43" t="n"/>
    </row>
    <row r="650" ht="15.75" customHeight="1">
      <c r="E650" s="43" t="n"/>
    </row>
    <row r="651" ht="15.75" customHeight="1">
      <c r="E651" s="43" t="n"/>
    </row>
    <row r="652" ht="15.75" customHeight="1">
      <c r="E652" s="43" t="n"/>
    </row>
    <row r="653" ht="15.75" customHeight="1">
      <c r="E653" s="43" t="n"/>
    </row>
    <row r="654" ht="15.75" customHeight="1">
      <c r="E654" s="43" t="n"/>
    </row>
    <row r="655" ht="15.75" customHeight="1">
      <c r="E655" s="43" t="n"/>
    </row>
    <row r="656" ht="15.75" customHeight="1">
      <c r="E656" s="43" t="n"/>
    </row>
    <row r="657" ht="15.75" customHeight="1">
      <c r="E657" s="43" t="n"/>
    </row>
    <row r="658" ht="15.75" customHeight="1">
      <c r="E658" s="43" t="n"/>
    </row>
    <row r="659" ht="15.75" customHeight="1">
      <c r="E659" s="43" t="n"/>
    </row>
    <row r="660" ht="15.75" customHeight="1">
      <c r="E660" s="43" t="n"/>
    </row>
    <row r="661" ht="15.75" customHeight="1">
      <c r="E661" s="43" t="n"/>
    </row>
    <row r="662" ht="15.75" customHeight="1">
      <c r="E662" s="43" t="n"/>
    </row>
    <row r="663" ht="15.75" customHeight="1">
      <c r="E663" s="43" t="n"/>
    </row>
    <row r="664" ht="15.75" customHeight="1">
      <c r="E664" s="43" t="n"/>
    </row>
    <row r="665" ht="15.75" customHeight="1">
      <c r="E665" s="43" t="n"/>
    </row>
    <row r="666" ht="15.75" customHeight="1">
      <c r="E666" s="43" t="n"/>
    </row>
    <row r="667" ht="15.75" customHeight="1">
      <c r="E667" s="43" t="n"/>
    </row>
    <row r="668" ht="15.75" customHeight="1">
      <c r="E668" s="43" t="n"/>
    </row>
    <row r="669" ht="15.75" customHeight="1">
      <c r="E669" s="43" t="n"/>
    </row>
    <row r="670" ht="15.75" customHeight="1">
      <c r="E670" s="43" t="n"/>
    </row>
    <row r="671" ht="15.75" customHeight="1">
      <c r="E671" s="43" t="n"/>
    </row>
    <row r="672" ht="15.75" customHeight="1">
      <c r="E672" s="43" t="n"/>
    </row>
    <row r="673" ht="15.75" customHeight="1">
      <c r="E673" s="43" t="n"/>
    </row>
    <row r="674" ht="15.75" customHeight="1">
      <c r="E674" s="43" t="n"/>
    </row>
    <row r="675" ht="15.75" customHeight="1">
      <c r="E675" s="43" t="n"/>
    </row>
    <row r="676" ht="15.75" customHeight="1">
      <c r="E676" s="43" t="n"/>
    </row>
    <row r="677" ht="15.75" customHeight="1">
      <c r="E677" s="43" t="n"/>
    </row>
    <row r="678" ht="15.75" customHeight="1">
      <c r="E678" s="43" t="n"/>
    </row>
    <row r="679" ht="15.75" customHeight="1">
      <c r="E679" s="43" t="n"/>
    </row>
    <row r="680" ht="15.75" customHeight="1">
      <c r="E680" s="43" t="n"/>
    </row>
    <row r="681" ht="15.75" customHeight="1">
      <c r="E681" s="43" t="n"/>
    </row>
    <row r="682" ht="15.75" customHeight="1">
      <c r="E682" s="43" t="n"/>
    </row>
    <row r="683" ht="15.75" customHeight="1">
      <c r="E683" s="43" t="n"/>
    </row>
    <row r="684" ht="15.75" customHeight="1">
      <c r="E684" s="43" t="n"/>
    </row>
    <row r="685" ht="15.75" customHeight="1">
      <c r="E685" s="43" t="n"/>
    </row>
    <row r="686" ht="15.75" customHeight="1">
      <c r="E686" s="43" t="n"/>
    </row>
    <row r="687" ht="15.75" customHeight="1">
      <c r="E687" s="43" t="n"/>
    </row>
    <row r="688" ht="15.75" customHeight="1">
      <c r="E688" s="43" t="n"/>
    </row>
    <row r="689" ht="15.75" customHeight="1">
      <c r="E689" s="43" t="n"/>
    </row>
    <row r="690" ht="15.75" customHeight="1">
      <c r="E690" s="43" t="n"/>
    </row>
    <row r="691" ht="15.75" customHeight="1">
      <c r="E691" s="43" t="n"/>
    </row>
    <row r="692" ht="15.75" customHeight="1">
      <c r="E692" s="43" t="n"/>
    </row>
    <row r="693" ht="15.75" customHeight="1">
      <c r="E693" s="43" t="n"/>
    </row>
    <row r="694" ht="15.75" customHeight="1">
      <c r="E694" s="43" t="n"/>
    </row>
    <row r="695" ht="15.75" customHeight="1">
      <c r="E695" s="43" t="n"/>
    </row>
    <row r="696" ht="15.75" customHeight="1">
      <c r="E696" s="43" t="n"/>
    </row>
    <row r="697" ht="15.75" customHeight="1">
      <c r="E697" s="43" t="n"/>
    </row>
    <row r="698" ht="15.75" customHeight="1">
      <c r="E698" s="43" t="n"/>
    </row>
    <row r="699" ht="15.75" customHeight="1">
      <c r="E699" s="43" t="n"/>
    </row>
    <row r="700" ht="15.75" customHeight="1">
      <c r="E700" s="43" t="n"/>
    </row>
    <row r="701" ht="15.75" customHeight="1">
      <c r="E701" s="43" t="n"/>
    </row>
    <row r="702" ht="15.75" customHeight="1">
      <c r="E702" s="43" t="n"/>
    </row>
    <row r="703" ht="15.75" customHeight="1">
      <c r="E703" s="43" t="n"/>
    </row>
    <row r="704" ht="15.75" customHeight="1">
      <c r="E704" s="43" t="n"/>
    </row>
    <row r="705" ht="15.75" customHeight="1">
      <c r="E705" s="43" t="n"/>
    </row>
    <row r="706" ht="15.75" customHeight="1">
      <c r="E706" s="43" t="n"/>
    </row>
    <row r="707" ht="15.75" customHeight="1">
      <c r="E707" s="43" t="n"/>
    </row>
    <row r="708" ht="15.75" customHeight="1">
      <c r="E708" s="43" t="n"/>
    </row>
    <row r="709" ht="15.75" customHeight="1">
      <c r="E709" s="43" t="n"/>
    </row>
    <row r="710" ht="15.75" customHeight="1">
      <c r="E710" s="43" t="n"/>
    </row>
    <row r="711" ht="15.75" customHeight="1">
      <c r="E711" s="43" t="n"/>
    </row>
    <row r="712" ht="15.75" customHeight="1">
      <c r="E712" s="43" t="n"/>
    </row>
    <row r="713" ht="15.75" customHeight="1">
      <c r="E713" s="43" t="n"/>
    </row>
    <row r="714" ht="15.75" customHeight="1">
      <c r="E714" s="43" t="n"/>
    </row>
    <row r="715" ht="15.75" customHeight="1">
      <c r="E715" s="43" t="n"/>
    </row>
    <row r="716" ht="15.75" customHeight="1">
      <c r="E716" s="43" t="n"/>
    </row>
    <row r="717" ht="15.75" customHeight="1">
      <c r="E717" s="43" t="n"/>
    </row>
    <row r="718" ht="15.75" customHeight="1">
      <c r="E718" s="43" t="n"/>
    </row>
    <row r="719" ht="15.75" customHeight="1">
      <c r="E719" s="43" t="n"/>
    </row>
    <row r="720" ht="15.75" customHeight="1">
      <c r="E720" s="43" t="n"/>
    </row>
    <row r="721" ht="15.75" customHeight="1">
      <c r="E721" s="43" t="n"/>
    </row>
    <row r="722" ht="15.75" customHeight="1">
      <c r="E722" s="43" t="n"/>
    </row>
    <row r="723" ht="15.75" customHeight="1">
      <c r="E723" s="43" t="n"/>
    </row>
    <row r="724" ht="15.75" customHeight="1">
      <c r="E724" s="43" t="n"/>
    </row>
    <row r="725" ht="15.75" customHeight="1">
      <c r="E725" s="43" t="n"/>
    </row>
    <row r="726" ht="15.75" customHeight="1">
      <c r="E726" s="43" t="n"/>
    </row>
    <row r="727" ht="15.75" customHeight="1">
      <c r="E727" s="43" t="n"/>
    </row>
    <row r="728" ht="15.75" customHeight="1">
      <c r="E728" s="43" t="n"/>
    </row>
    <row r="729" ht="15.75" customHeight="1">
      <c r="E729" s="43" t="n"/>
    </row>
    <row r="730" ht="15.75" customHeight="1">
      <c r="E730" s="43" t="n"/>
    </row>
    <row r="731" ht="15.75" customHeight="1">
      <c r="E731" s="43" t="n"/>
    </row>
    <row r="732" ht="15.75" customHeight="1">
      <c r="E732" s="43" t="n"/>
    </row>
    <row r="733" ht="15.75" customHeight="1">
      <c r="E733" s="43" t="n"/>
    </row>
    <row r="734" ht="15.75" customHeight="1">
      <c r="E734" s="43" t="n"/>
    </row>
    <row r="735" ht="15.75" customHeight="1">
      <c r="E735" s="43" t="n"/>
    </row>
    <row r="736" ht="15.75" customHeight="1">
      <c r="E736" s="43" t="n"/>
    </row>
    <row r="737" ht="15.75" customHeight="1">
      <c r="E737" s="43" t="n"/>
    </row>
    <row r="738" ht="15.75" customHeight="1">
      <c r="E738" s="43" t="n"/>
    </row>
    <row r="739" ht="15.75" customHeight="1">
      <c r="E739" s="43" t="n"/>
    </row>
    <row r="740" ht="15.75" customHeight="1">
      <c r="E740" s="43" t="n"/>
    </row>
    <row r="741" ht="15.75" customHeight="1">
      <c r="E741" s="43" t="n"/>
    </row>
    <row r="742" ht="15.75" customHeight="1">
      <c r="E742" s="43" t="n"/>
    </row>
    <row r="743" ht="15.75" customHeight="1">
      <c r="E743" s="43" t="n"/>
    </row>
    <row r="744" ht="15.75" customHeight="1">
      <c r="E744" s="43" t="n"/>
    </row>
    <row r="745" ht="15.75" customHeight="1">
      <c r="E745" s="43" t="n"/>
    </row>
    <row r="746" ht="15.75" customHeight="1">
      <c r="E746" s="43" t="n"/>
    </row>
    <row r="747" ht="15.75" customHeight="1">
      <c r="E747" s="43" t="n"/>
    </row>
    <row r="748" ht="15.75" customHeight="1">
      <c r="E748" s="43" t="n"/>
    </row>
    <row r="749" ht="15.75" customHeight="1">
      <c r="E749" s="43" t="n"/>
    </row>
    <row r="750" ht="15.75" customHeight="1">
      <c r="E750" s="43" t="n"/>
    </row>
    <row r="751" ht="15.75" customHeight="1">
      <c r="E751" s="43" t="n"/>
    </row>
    <row r="752" ht="15.75" customHeight="1">
      <c r="E752" s="43" t="n"/>
    </row>
    <row r="753" ht="15.75" customHeight="1">
      <c r="E753" s="43" t="n"/>
    </row>
    <row r="754" ht="15.75" customHeight="1">
      <c r="E754" s="43" t="n"/>
    </row>
    <row r="755" ht="15.75" customHeight="1">
      <c r="E755" s="43" t="n"/>
    </row>
    <row r="756" ht="15.75" customHeight="1">
      <c r="E756" s="43" t="n"/>
    </row>
    <row r="757" ht="15.75" customHeight="1">
      <c r="E757" s="43" t="n"/>
    </row>
    <row r="758" ht="15.75" customHeight="1">
      <c r="E758" s="43" t="n"/>
    </row>
    <row r="759" ht="15.75" customHeight="1">
      <c r="E759" s="43" t="n"/>
    </row>
    <row r="760" ht="15.75" customHeight="1">
      <c r="E760" s="43" t="n"/>
    </row>
    <row r="761" ht="15.75" customHeight="1">
      <c r="E761" s="43" t="n"/>
    </row>
    <row r="762" ht="15.75" customHeight="1">
      <c r="E762" s="43" t="n"/>
    </row>
    <row r="763" ht="15.75" customHeight="1">
      <c r="E763" s="43" t="n"/>
    </row>
    <row r="764" ht="15.75" customHeight="1">
      <c r="E764" s="43" t="n"/>
    </row>
    <row r="765" ht="15.75" customHeight="1">
      <c r="E765" s="43" t="n"/>
    </row>
    <row r="766" ht="15.75" customHeight="1">
      <c r="E766" s="43" t="n"/>
    </row>
    <row r="767" ht="15.75" customHeight="1">
      <c r="E767" s="43" t="n"/>
    </row>
    <row r="768" ht="15.75" customHeight="1">
      <c r="E768" s="43" t="n"/>
    </row>
    <row r="769" ht="15.75" customHeight="1">
      <c r="E769" s="43" t="n"/>
    </row>
    <row r="770" ht="15.75" customHeight="1">
      <c r="E770" s="43" t="n"/>
    </row>
    <row r="771" ht="15.75" customHeight="1">
      <c r="E771" s="43" t="n"/>
    </row>
    <row r="772" ht="15.75" customHeight="1">
      <c r="E772" s="43" t="n"/>
    </row>
    <row r="773" ht="15.75" customHeight="1">
      <c r="E773" s="43" t="n"/>
    </row>
    <row r="774" ht="15.75" customHeight="1">
      <c r="E774" s="43" t="n"/>
    </row>
    <row r="775" ht="15.75" customHeight="1">
      <c r="E775" s="43" t="n"/>
    </row>
    <row r="776" ht="15.75" customHeight="1">
      <c r="E776" s="43" t="n"/>
    </row>
    <row r="777" ht="15.75" customHeight="1">
      <c r="E777" s="43" t="n"/>
    </row>
    <row r="778" ht="15.75" customHeight="1">
      <c r="E778" s="43" t="n"/>
    </row>
    <row r="779" ht="15.75" customHeight="1">
      <c r="E779" s="43" t="n"/>
    </row>
    <row r="780" ht="15.75" customHeight="1">
      <c r="E780" s="43" t="n"/>
    </row>
    <row r="781" ht="15.75" customHeight="1">
      <c r="E781" s="43" t="n"/>
    </row>
    <row r="782" ht="15.75" customHeight="1">
      <c r="E782" s="43" t="n"/>
    </row>
    <row r="783" ht="15.75" customHeight="1">
      <c r="E783" s="43" t="n"/>
    </row>
    <row r="784" ht="15.75" customHeight="1">
      <c r="E784" s="43" t="n"/>
    </row>
    <row r="785" ht="15.75" customHeight="1">
      <c r="E785" s="43" t="n"/>
    </row>
    <row r="786" ht="15.75" customHeight="1">
      <c r="E786" s="43" t="n"/>
    </row>
    <row r="787" ht="15.75" customHeight="1">
      <c r="E787" s="43" t="n"/>
    </row>
    <row r="788" ht="15.75" customHeight="1">
      <c r="E788" s="43" t="n"/>
    </row>
    <row r="789" ht="15.75" customHeight="1">
      <c r="E789" s="43" t="n"/>
    </row>
    <row r="790" ht="15.75" customHeight="1">
      <c r="E790" s="43" t="n"/>
    </row>
    <row r="791" ht="15.75" customHeight="1">
      <c r="E791" s="43" t="n"/>
    </row>
    <row r="792" ht="15.75" customHeight="1">
      <c r="E792" s="43" t="n"/>
    </row>
    <row r="793" ht="15.75" customHeight="1">
      <c r="E793" s="43" t="n"/>
    </row>
    <row r="794" ht="15.75" customHeight="1">
      <c r="E794" s="43" t="n"/>
    </row>
    <row r="795" ht="15.75" customHeight="1">
      <c r="E795" s="43" t="n"/>
    </row>
    <row r="796" ht="15.75" customHeight="1">
      <c r="E796" s="43" t="n"/>
    </row>
    <row r="797" ht="15.75" customHeight="1">
      <c r="E797" s="43" t="n"/>
    </row>
    <row r="798" ht="15.75" customHeight="1">
      <c r="E798" s="43" t="n"/>
    </row>
    <row r="799" ht="15.75" customHeight="1">
      <c r="E799" s="43" t="n"/>
    </row>
    <row r="800" ht="15.75" customHeight="1">
      <c r="E800" s="43" t="n"/>
    </row>
    <row r="801" ht="15.75" customHeight="1">
      <c r="E801" s="43" t="n"/>
    </row>
    <row r="802" ht="15.75" customHeight="1">
      <c r="E802" s="43" t="n"/>
    </row>
    <row r="803" ht="15.75" customHeight="1">
      <c r="E803" s="43" t="n"/>
    </row>
    <row r="804" ht="15.75" customHeight="1">
      <c r="E804" s="43" t="n"/>
    </row>
    <row r="805" ht="15.75" customHeight="1">
      <c r="E805" s="43" t="n"/>
    </row>
    <row r="806" ht="15.75" customHeight="1">
      <c r="E806" s="43" t="n"/>
    </row>
    <row r="807" ht="15.75" customHeight="1">
      <c r="E807" s="43" t="n"/>
    </row>
    <row r="808" ht="15.75" customHeight="1">
      <c r="E808" s="43" t="n"/>
    </row>
    <row r="809" ht="15.75" customHeight="1">
      <c r="E809" s="43" t="n"/>
    </row>
    <row r="810" ht="15.75" customHeight="1">
      <c r="E810" s="43" t="n"/>
    </row>
    <row r="811" ht="15.75" customHeight="1">
      <c r="E811" s="43" t="n"/>
    </row>
    <row r="812" ht="15.75" customHeight="1">
      <c r="E812" s="43" t="n"/>
    </row>
    <row r="813" ht="15.75" customHeight="1">
      <c r="E813" s="43" t="n"/>
    </row>
    <row r="814" ht="15.75" customHeight="1">
      <c r="E814" s="43" t="n"/>
    </row>
    <row r="815" ht="15.75" customHeight="1">
      <c r="E815" s="43" t="n"/>
    </row>
    <row r="816" ht="15.75" customHeight="1">
      <c r="E816" s="43" t="n"/>
    </row>
    <row r="817" ht="15.75" customHeight="1">
      <c r="E817" s="43" t="n"/>
    </row>
    <row r="818" ht="15.75" customHeight="1">
      <c r="E818" s="43" t="n"/>
    </row>
    <row r="819" ht="15.75" customHeight="1">
      <c r="E819" s="43" t="n"/>
    </row>
    <row r="820" ht="15.75" customHeight="1">
      <c r="E820" s="43" t="n"/>
    </row>
    <row r="821" ht="15.75" customHeight="1">
      <c r="E821" s="43" t="n"/>
    </row>
    <row r="822" ht="15.75" customHeight="1">
      <c r="E822" s="43" t="n"/>
    </row>
    <row r="823" ht="15.75" customHeight="1">
      <c r="E823" s="43" t="n"/>
    </row>
    <row r="824" ht="15.75" customHeight="1">
      <c r="E824" s="43" t="n"/>
    </row>
    <row r="825" ht="15.75" customHeight="1">
      <c r="E825" s="43" t="n"/>
    </row>
    <row r="826" ht="15.75" customHeight="1">
      <c r="E826" s="43" t="n"/>
    </row>
    <row r="827" ht="15.75" customHeight="1">
      <c r="E827" s="43" t="n"/>
    </row>
    <row r="828" ht="15.75" customHeight="1">
      <c r="E828" s="43" t="n"/>
    </row>
    <row r="829" ht="15.75" customHeight="1">
      <c r="E829" s="43" t="n"/>
    </row>
    <row r="830" ht="15.75" customHeight="1">
      <c r="E830" s="43" t="n"/>
    </row>
    <row r="831" ht="15.75" customHeight="1">
      <c r="E831" s="43" t="n"/>
    </row>
    <row r="832" ht="15.75" customHeight="1">
      <c r="E832" s="43" t="n"/>
    </row>
    <row r="833" ht="15.75" customHeight="1">
      <c r="E833" s="43" t="n"/>
    </row>
    <row r="834" ht="15.75" customHeight="1">
      <c r="E834" s="43" t="n"/>
    </row>
    <row r="835" ht="15.75" customHeight="1">
      <c r="E835" s="43" t="n"/>
    </row>
    <row r="836" ht="15.75" customHeight="1">
      <c r="E836" s="43" t="n"/>
    </row>
    <row r="837" ht="15.75" customHeight="1">
      <c r="E837" s="43" t="n"/>
    </row>
    <row r="838" ht="15.75" customHeight="1">
      <c r="E838" s="43" t="n"/>
    </row>
    <row r="839" ht="15.75" customHeight="1">
      <c r="E839" s="43" t="n"/>
    </row>
    <row r="840" ht="15.75" customHeight="1">
      <c r="E840" s="43" t="n"/>
    </row>
    <row r="841" ht="15.75" customHeight="1">
      <c r="E841" s="43" t="n"/>
    </row>
    <row r="842" ht="15.75" customHeight="1">
      <c r="E842" s="43" t="n"/>
    </row>
    <row r="843" ht="15.75" customHeight="1">
      <c r="E843" s="43" t="n"/>
    </row>
    <row r="844" ht="15.75" customHeight="1">
      <c r="E844" s="43" t="n"/>
    </row>
    <row r="845" ht="15.75" customHeight="1">
      <c r="E845" s="43" t="n"/>
    </row>
    <row r="846" ht="15.75" customHeight="1">
      <c r="E846" s="43" t="n"/>
    </row>
    <row r="847" ht="15.75" customHeight="1">
      <c r="E847" s="43" t="n"/>
    </row>
    <row r="848" ht="15.75" customHeight="1">
      <c r="E848" s="43" t="n"/>
    </row>
    <row r="849" ht="15.75" customHeight="1">
      <c r="E849" s="43" t="n"/>
    </row>
    <row r="850" ht="15.75" customHeight="1">
      <c r="E850" s="43" t="n"/>
    </row>
    <row r="851" ht="15.75" customHeight="1">
      <c r="E851" s="43" t="n"/>
    </row>
    <row r="852" ht="15.75" customHeight="1">
      <c r="E852" s="43" t="n"/>
    </row>
    <row r="853" ht="15.75" customHeight="1">
      <c r="E853" s="43" t="n"/>
    </row>
    <row r="854" ht="15.75" customHeight="1">
      <c r="E854" s="43" t="n"/>
    </row>
    <row r="855" ht="15.75" customHeight="1">
      <c r="E855" s="43" t="n"/>
    </row>
    <row r="856" ht="15.75" customHeight="1">
      <c r="E856" s="43" t="n"/>
    </row>
    <row r="857" ht="15.75" customHeight="1">
      <c r="E857" s="43" t="n"/>
    </row>
    <row r="858" ht="15.75" customHeight="1">
      <c r="E858" s="43" t="n"/>
    </row>
    <row r="859" ht="15.75" customHeight="1">
      <c r="E859" s="43" t="n"/>
    </row>
    <row r="860" ht="15.75" customHeight="1">
      <c r="E860" s="43" t="n"/>
    </row>
    <row r="861" ht="15.75" customHeight="1">
      <c r="E861" s="43" t="n"/>
    </row>
    <row r="862" ht="15.75" customHeight="1">
      <c r="E862" s="43" t="n"/>
    </row>
    <row r="863" ht="15.75" customHeight="1">
      <c r="E863" s="43" t="n"/>
    </row>
    <row r="864" ht="15.75" customHeight="1">
      <c r="E864" s="43" t="n"/>
    </row>
    <row r="865" ht="15.75" customHeight="1">
      <c r="E865" s="43" t="n"/>
    </row>
    <row r="866" ht="15.75" customHeight="1">
      <c r="E866" s="43" t="n"/>
    </row>
    <row r="867" ht="15.75" customHeight="1">
      <c r="E867" s="43" t="n"/>
    </row>
    <row r="868" ht="15.75" customHeight="1">
      <c r="E868" s="43" t="n"/>
    </row>
    <row r="869" ht="15.75" customHeight="1">
      <c r="E869" s="43" t="n"/>
    </row>
    <row r="870" ht="15.75" customHeight="1">
      <c r="E870" s="43" t="n"/>
    </row>
    <row r="871" ht="15.75" customHeight="1">
      <c r="E871" s="43" t="n"/>
    </row>
    <row r="872" ht="15.75" customHeight="1">
      <c r="E872" s="43" t="n"/>
    </row>
    <row r="873" ht="15.75" customHeight="1">
      <c r="E873" s="43" t="n"/>
    </row>
    <row r="874" ht="15.75" customHeight="1">
      <c r="E874" s="43" t="n"/>
    </row>
    <row r="875" ht="15.75" customHeight="1">
      <c r="E875" s="43" t="n"/>
    </row>
    <row r="876" ht="15.75" customHeight="1">
      <c r="E876" s="43" t="n"/>
    </row>
    <row r="877" ht="15.75" customHeight="1">
      <c r="E877" s="43" t="n"/>
    </row>
    <row r="878" ht="15.75" customHeight="1">
      <c r="E878" s="43" t="n"/>
    </row>
    <row r="879" ht="15.75" customHeight="1">
      <c r="E879" s="43" t="n"/>
    </row>
    <row r="880" ht="15.75" customHeight="1">
      <c r="E880" s="43" t="n"/>
    </row>
    <row r="881" ht="15.75" customHeight="1">
      <c r="E881" s="43" t="n"/>
    </row>
    <row r="882" ht="15.75" customHeight="1">
      <c r="E882" s="43" t="n"/>
    </row>
    <row r="883" ht="15.75" customHeight="1">
      <c r="E883" s="43" t="n"/>
    </row>
    <row r="884" ht="15.75" customHeight="1">
      <c r="E884" s="43" t="n"/>
    </row>
    <row r="885" ht="15.75" customHeight="1">
      <c r="E885" s="43" t="n"/>
    </row>
    <row r="886" ht="15.75" customHeight="1">
      <c r="E886" s="43" t="n"/>
    </row>
    <row r="887" ht="15.75" customHeight="1">
      <c r="E887" s="43" t="n"/>
    </row>
    <row r="888" ht="15.75" customHeight="1">
      <c r="E888" s="43" t="n"/>
    </row>
    <row r="889" ht="15.75" customHeight="1">
      <c r="E889" s="43" t="n"/>
    </row>
    <row r="890" ht="15.75" customHeight="1">
      <c r="E890" s="43" t="n"/>
    </row>
    <row r="891" ht="15.75" customHeight="1">
      <c r="E891" s="43" t="n"/>
    </row>
    <row r="892" ht="15.75" customHeight="1">
      <c r="E892" s="43" t="n"/>
    </row>
    <row r="893" ht="15.75" customHeight="1">
      <c r="E893" s="43" t="n"/>
    </row>
    <row r="894" ht="15.75" customHeight="1">
      <c r="E894" s="43" t="n"/>
    </row>
    <row r="895" ht="15.75" customHeight="1">
      <c r="E895" s="43" t="n"/>
    </row>
    <row r="896" ht="15.75" customHeight="1">
      <c r="E896" s="43" t="n"/>
    </row>
    <row r="897" ht="15.75" customHeight="1">
      <c r="E897" s="43" t="n"/>
    </row>
    <row r="898" ht="15.75" customHeight="1">
      <c r="E898" s="43" t="n"/>
    </row>
    <row r="899" ht="15.75" customHeight="1">
      <c r="E899" s="43" t="n"/>
    </row>
    <row r="900" ht="15.75" customHeight="1">
      <c r="E900" s="43" t="n"/>
    </row>
    <row r="901" ht="15.75" customHeight="1">
      <c r="E901" s="43" t="n"/>
    </row>
    <row r="902" ht="15.75" customHeight="1">
      <c r="E902" s="43" t="n"/>
    </row>
    <row r="903" ht="15.75" customHeight="1">
      <c r="E903" s="43" t="n"/>
    </row>
    <row r="904" ht="15.75" customHeight="1">
      <c r="E904" s="43" t="n"/>
    </row>
    <row r="905" ht="15.75" customHeight="1">
      <c r="E905" s="43" t="n"/>
    </row>
    <row r="906" ht="15.75" customHeight="1">
      <c r="E906" s="43" t="n"/>
    </row>
    <row r="907" ht="15.75" customHeight="1">
      <c r="E907" s="43" t="n"/>
    </row>
    <row r="908" ht="15.75" customHeight="1">
      <c r="E908" s="43" t="n"/>
    </row>
    <row r="909" ht="15.75" customHeight="1">
      <c r="E909" s="43" t="n"/>
    </row>
    <row r="910" ht="15.75" customHeight="1">
      <c r="E910" s="43" t="n"/>
    </row>
    <row r="911" ht="15.75" customHeight="1">
      <c r="E911" s="43" t="n"/>
    </row>
    <row r="912" ht="15.75" customHeight="1">
      <c r="E912" s="43" t="n"/>
    </row>
    <row r="913" ht="15.75" customHeight="1">
      <c r="E913" s="43" t="n"/>
    </row>
    <row r="914" ht="15.75" customHeight="1">
      <c r="E914" s="43" t="n"/>
    </row>
    <row r="915" ht="15.75" customHeight="1">
      <c r="E915" s="43" t="n"/>
    </row>
    <row r="916" ht="15.75" customHeight="1">
      <c r="E916" s="43" t="n"/>
    </row>
    <row r="917" ht="15.75" customHeight="1">
      <c r="E917" s="43" t="n"/>
    </row>
    <row r="918" ht="15.75" customHeight="1">
      <c r="E918" s="43" t="n"/>
    </row>
    <row r="919" ht="15.75" customHeight="1">
      <c r="E919" s="43" t="n"/>
    </row>
    <row r="920" ht="15.75" customHeight="1">
      <c r="E920" s="43" t="n"/>
    </row>
    <row r="921" ht="15.75" customHeight="1">
      <c r="E921" s="43" t="n"/>
    </row>
    <row r="922" ht="15.75" customHeight="1">
      <c r="E922" s="43" t="n"/>
    </row>
    <row r="923" ht="15.75" customHeight="1">
      <c r="E923" s="43" t="n"/>
    </row>
    <row r="924" ht="15.75" customHeight="1">
      <c r="E924" s="43" t="n"/>
    </row>
    <row r="925" ht="15.75" customHeight="1">
      <c r="E925" s="43" t="n"/>
    </row>
    <row r="926" ht="15.75" customHeight="1">
      <c r="E926" s="43" t="n"/>
    </row>
    <row r="927" ht="15.75" customHeight="1">
      <c r="E927" s="43" t="n"/>
    </row>
    <row r="928" ht="15.75" customHeight="1">
      <c r="E928" s="43" t="n"/>
    </row>
    <row r="929" ht="15.75" customHeight="1">
      <c r="E929" s="43" t="n"/>
    </row>
    <row r="930" ht="15.75" customHeight="1">
      <c r="E930" s="43" t="n"/>
    </row>
    <row r="931" ht="15.75" customHeight="1">
      <c r="E931" s="43" t="n"/>
    </row>
    <row r="932" ht="15.75" customHeight="1">
      <c r="E932" s="43" t="n"/>
    </row>
    <row r="933" ht="15.75" customHeight="1">
      <c r="E933" s="43" t="n"/>
    </row>
    <row r="934" ht="15.75" customHeight="1">
      <c r="E934" s="43" t="n"/>
    </row>
    <row r="935" ht="15.75" customHeight="1">
      <c r="E935" s="43" t="n"/>
    </row>
    <row r="936" ht="15.75" customHeight="1">
      <c r="E936" s="43" t="n"/>
    </row>
    <row r="937" ht="15.75" customHeight="1">
      <c r="E937" s="43" t="n"/>
    </row>
    <row r="938" ht="15.75" customHeight="1">
      <c r="E938" s="43" t="n"/>
    </row>
    <row r="939" ht="15.75" customHeight="1">
      <c r="E939" s="43" t="n"/>
    </row>
    <row r="940" ht="15.75" customHeight="1">
      <c r="E940" s="43" t="n"/>
    </row>
    <row r="941" ht="15.75" customHeight="1">
      <c r="E941" s="43" t="n"/>
    </row>
    <row r="942" ht="15.75" customHeight="1">
      <c r="E942" s="43" t="n"/>
    </row>
    <row r="943" ht="15.75" customHeight="1">
      <c r="E943" s="43" t="n"/>
    </row>
    <row r="944" ht="15.75" customHeight="1">
      <c r="E944" s="43" t="n"/>
    </row>
    <row r="945" ht="15.75" customHeight="1">
      <c r="E945" s="43" t="n"/>
    </row>
    <row r="946" ht="15.75" customHeight="1">
      <c r="E946" s="43" t="n"/>
    </row>
    <row r="947" ht="15.75" customHeight="1">
      <c r="E947" s="43" t="n"/>
    </row>
    <row r="948" ht="15.75" customHeight="1">
      <c r="E948" s="43" t="n"/>
    </row>
    <row r="949" ht="15.75" customHeight="1">
      <c r="E949" s="43" t="n"/>
    </row>
    <row r="950" ht="15.75" customHeight="1">
      <c r="E950" s="43" t="n"/>
    </row>
    <row r="951" ht="15.75" customHeight="1">
      <c r="E951" s="43" t="n"/>
    </row>
    <row r="952" ht="15.75" customHeight="1">
      <c r="E952" s="43" t="n"/>
    </row>
    <row r="953" ht="15.75" customHeight="1">
      <c r="E953" s="43" t="n"/>
    </row>
    <row r="954" ht="15.75" customHeight="1">
      <c r="E954" s="43" t="n"/>
    </row>
    <row r="955" ht="15.75" customHeight="1">
      <c r="E955" s="43" t="n"/>
    </row>
    <row r="956" ht="15.75" customHeight="1">
      <c r="E956" s="43" t="n"/>
    </row>
    <row r="957" ht="15.75" customHeight="1">
      <c r="E957" s="43" t="n"/>
    </row>
    <row r="958" ht="15.75" customHeight="1">
      <c r="E958" s="43" t="n"/>
    </row>
    <row r="959" ht="15.75" customHeight="1">
      <c r="E959" s="43" t="n"/>
    </row>
    <row r="960" ht="15.75" customHeight="1">
      <c r="E960" s="43" t="n"/>
    </row>
    <row r="961" ht="15.75" customHeight="1">
      <c r="E961" s="43" t="n"/>
    </row>
    <row r="962" ht="15.75" customHeight="1">
      <c r="E962" s="43" t="n"/>
    </row>
    <row r="963" ht="15.75" customHeight="1">
      <c r="E963" s="43" t="n"/>
    </row>
    <row r="964" ht="15.75" customHeight="1">
      <c r="E964" s="43" t="n"/>
    </row>
    <row r="965" ht="15.75" customHeight="1">
      <c r="E965" s="43" t="n"/>
    </row>
    <row r="966" ht="15.75" customHeight="1">
      <c r="E966" s="43" t="n"/>
    </row>
    <row r="967" ht="15.75" customHeight="1">
      <c r="E967" s="43" t="n"/>
    </row>
    <row r="968" ht="15.75" customHeight="1">
      <c r="E968" s="43" t="n"/>
    </row>
    <row r="969" ht="15.75" customHeight="1">
      <c r="E969" s="43" t="n"/>
    </row>
    <row r="970" ht="15.75" customHeight="1">
      <c r="E970" s="43" t="n"/>
    </row>
    <row r="971" ht="15.75" customHeight="1">
      <c r="E971" s="43" t="n"/>
    </row>
    <row r="972" ht="15.75" customHeight="1">
      <c r="E972" s="43" t="n"/>
    </row>
    <row r="973" ht="15.75" customHeight="1">
      <c r="E973" s="43" t="n"/>
    </row>
    <row r="974" ht="15.75" customHeight="1">
      <c r="E974" s="43" t="n"/>
    </row>
    <row r="975" ht="15.75" customHeight="1">
      <c r="E975" s="43" t="n"/>
    </row>
    <row r="976" ht="15.75" customHeight="1">
      <c r="E976" s="43" t="n"/>
    </row>
    <row r="977" ht="15.75" customHeight="1">
      <c r="E977" s="43" t="n"/>
    </row>
    <row r="978" ht="15.75" customHeight="1">
      <c r="E978" s="43" t="n"/>
    </row>
    <row r="979" ht="15.75" customHeight="1">
      <c r="E979" s="43" t="n"/>
    </row>
    <row r="980" ht="16" customHeight="1">
      <c r="E980" s="43" t="n"/>
    </row>
    <row r="981" ht="16" customHeight="1">
      <c r="E981" s="43" t="n"/>
    </row>
    <row r="982" ht="16" customHeight="1">
      <c r="E982" s="43" t="n"/>
    </row>
    <row r="983" ht="16" customHeight="1">
      <c r="E983" s="43" t="n"/>
    </row>
  </sheetData>
  <hyperlinks>
    <hyperlink xmlns:r="http://schemas.openxmlformats.org/officeDocument/2006/relationships" ref="E8" r:id="rId1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79"/>
  <sheetViews>
    <sheetView topLeftCell="A3" workbookViewId="0">
      <pane xSplit="2" topLeftCell="C1" activePane="topRight" state="frozen"/>
      <selection pane="topRight" activeCell="H20" sqref="H20"/>
    </sheetView>
  </sheetViews>
  <sheetFormatPr baseColWidth="10" defaultColWidth="11.1640625" defaultRowHeight="15" customHeight="1"/>
  <cols>
    <col width="10.5" customWidth="1" style="85" min="1" max="1"/>
    <col width="16.83203125" customWidth="1" style="85" min="2" max="2"/>
    <col width="34.33203125" customWidth="1" style="85" min="3" max="3"/>
    <col width="17.5" customWidth="1" style="85" min="4" max="4"/>
    <col width="24.1640625" customWidth="1" style="85" min="5" max="5"/>
    <col width="17.33203125" customWidth="1" style="85" min="6" max="6"/>
    <col width="10.5" customWidth="1" style="85" min="7" max="10"/>
    <col width="41.83203125" customWidth="1" style="85" min="11" max="11"/>
    <col width="52.33203125" customWidth="1" style="85" min="12" max="12"/>
    <col width="10.5" customWidth="1" style="85" min="13" max="25"/>
    <col width="11.1640625" customWidth="1" style="85" min="26" max="16384"/>
  </cols>
  <sheetData>
    <row r="1" ht="15.75" customHeight="1">
      <c r="D1" s="86" t="n"/>
    </row>
    <row r="2" ht="15.75" customHeight="1">
      <c r="D2" s="86" t="n"/>
    </row>
    <row r="3" ht="15.75" customHeight="1">
      <c r="C3" s="103" t="inlineStr">
        <is>
          <t>Every 20th day of Month</t>
        </is>
      </c>
      <c r="D3" s="86" t="n"/>
    </row>
    <row r="4" ht="15.75" customHeight="1">
      <c r="A4" s="93" t="n"/>
      <c r="B4" s="93" t="inlineStr">
        <is>
          <t>INVOICES</t>
        </is>
      </c>
      <c r="C4" s="93" t="n"/>
      <c r="E4" s="93" t="n"/>
    </row>
    <row r="5" ht="15.75" customHeight="1">
      <c r="A5" s="90" t="n"/>
      <c r="B5" s="90" t="n"/>
      <c r="C5" s="90" t="n"/>
      <c r="D5" s="93" t="n"/>
      <c r="E5" s="90" t="n"/>
    </row>
    <row r="6" ht="15.75" customHeight="1">
      <c r="A6" s="93" t="n"/>
      <c r="B6" s="92" t="inlineStr">
        <is>
          <t>Month</t>
        </is>
      </c>
      <c r="C6" s="92" t="inlineStr">
        <is>
          <t>Description</t>
        </is>
      </c>
      <c r="D6" s="92" t="inlineStr">
        <is>
          <t>Quantity</t>
        </is>
      </c>
      <c r="E6" s="92" t="inlineStr">
        <is>
          <t xml:space="preserve">Price, USD </t>
        </is>
      </c>
      <c r="F6" s="92" t="inlineStr">
        <is>
          <t>Total</t>
        </is>
      </c>
      <c r="L6" s="91" t="n"/>
    </row>
    <row r="7" ht="15.75" customHeight="1">
      <c r="A7" s="90" t="n">
        <v>1</v>
      </c>
      <c r="B7" s="154" t="inlineStr">
        <is>
          <t>June</t>
        </is>
      </c>
      <c r="C7" s="89" t="inlineStr">
        <is>
          <t>DD/DX</t>
        </is>
      </c>
      <c r="D7" s="89" t="n">
        <v>41.4</v>
      </c>
      <c r="E7" s="95" t="n">
        <v>1488</v>
      </c>
      <c r="F7" s="95">
        <f>SUM(E7:E29)</f>
        <v/>
      </c>
      <c r="K7" s="88" t="n"/>
      <c r="L7" s="87" t="n"/>
    </row>
    <row r="8" ht="15.75" customHeight="1">
      <c r="A8" s="90" t="n">
        <v>2</v>
      </c>
      <c r="B8" s="154" t="inlineStr">
        <is>
          <t>July</t>
        </is>
      </c>
      <c r="C8" s="89" t="inlineStr">
        <is>
          <t>DD/DX</t>
        </is>
      </c>
      <c r="D8" s="89">
        <f>July!D18</f>
        <v/>
      </c>
      <c r="E8" s="95">
        <f>July!L6</f>
        <v/>
      </c>
      <c r="F8" s="96" t="n"/>
      <c r="K8" s="88" t="n"/>
      <c r="L8" s="87" t="n"/>
    </row>
    <row r="9" ht="15.75" customHeight="1">
      <c r="A9" s="90" t="n">
        <v>3</v>
      </c>
      <c r="B9" s="154" t="inlineStr">
        <is>
          <t>August</t>
        </is>
      </c>
      <c r="C9" s="89" t="inlineStr">
        <is>
          <t>DD/DX</t>
        </is>
      </c>
      <c r="D9" s="86">
        <f>August!D45</f>
        <v/>
      </c>
      <c r="E9" s="95">
        <f>August!I45</f>
        <v/>
      </c>
    </row>
    <row r="10" ht="15.75" customHeight="1">
      <c r="A10" s="85" t="n">
        <v>4</v>
      </c>
      <c r="B10" s="154" t="inlineStr">
        <is>
          <t>September</t>
        </is>
      </c>
      <c r="C10" s="89" t="inlineStr">
        <is>
          <t>DD/DX</t>
        </is>
      </c>
      <c r="D10" s="86">
        <f>September!D98</f>
        <v/>
      </c>
      <c r="E10" s="95">
        <f>September!K98</f>
        <v/>
      </c>
    </row>
    <row r="11" ht="15.75" customHeight="1">
      <c r="A11" s="85" t="n">
        <v>5</v>
      </c>
      <c r="B11" s="154" t="inlineStr">
        <is>
          <t>October</t>
        </is>
      </c>
      <c r="C11" s="89" t="inlineStr">
        <is>
          <t>DD/DX</t>
        </is>
      </c>
      <c r="D11" s="86">
        <f>October!D53</f>
        <v/>
      </c>
      <c r="E11" s="95">
        <f>October!N54</f>
        <v/>
      </c>
    </row>
    <row r="12" ht="15.75" customHeight="1">
      <c r="A12" s="85" t="n">
        <v>6</v>
      </c>
      <c r="B12" s="154" t="inlineStr">
        <is>
          <t>November</t>
        </is>
      </c>
      <c r="C12" s="89" t="inlineStr">
        <is>
          <t>DD/DX</t>
        </is>
      </c>
      <c r="D12" s="86">
        <f>November!D60</f>
        <v/>
      </c>
      <c r="E12" s="95">
        <f>November!N61</f>
        <v/>
      </c>
    </row>
    <row r="13" ht="15.75" customHeight="1">
      <c r="A13" s="85" t="n">
        <v>7</v>
      </c>
      <c r="B13" s="154" t="inlineStr">
        <is>
          <t>December</t>
        </is>
      </c>
      <c r="C13" s="89" t="inlineStr">
        <is>
          <t>DD/DX</t>
        </is>
      </c>
      <c r="D13" s="86">
        <f>December!D58</f>
        <v/>
      </c>
      <c r="E13" s="95">
        <f>December!N59</f>
        <v/>
      </c>
    </row>
    <row r="14" ht="16" customHeight="1">
      <c r="A14" s="85" t="n">
        <v>8</v>
      </c>
      <c r="B14" s="88" t="inlineStr">
        <is>
          <t>Jabuary</t>
        </is>
      </c>
      <c r="C14" s="89" t="inlineStr">
        <is>
          <t>DD/DX</t>
        </is>
      </c>
      <c r="D14" s="86">
        <f>January!D76</f>
        <v/>
      </c>
      <c r="E14" s="95">
        <f>January!N77</f>
        <v/>
      </c>
    </row>
    <row r="15" ht="15.75" customHeight="1">
      <c r="A15" s="85" t="n">
        <v>9</v>
      </c>
      <c r="B15" s="88" t="inlineStr">
        <is>
          <t>Febraury</t>
        </is>
      </c>
      <c r="C15" s="89" t="inlineStr">
        <is>
          <t>DD/DX</t>
        </is>
      </c>
      <c r="D15" s="86">
        <f>February!D44</f>
        <v/>
      </c>
      <c r="E15" s="95">
        <f>February!N45</f>
        <v/>
      </c>
    </row>
    <row r="16" ht="15.75" customHeight="1">
      <c r="B16" s="88" t="n"/>
      <c r="D16" s="86" t="n"/>
      <c r="E16" s="95" t="n"/>
    </row>
    <row r="17" ht="15.75" customHeight="1">
      <c r="B17" s="88" t="n"/>
      <c r="D17" s="86" t="n"/>
      <c r="E17" s="95" t="n"/>
    </row>
    <row r="18" ht="16" customHeight="1">
      <c r="B18" s="88" t="n"/>
      <c r="D18" s="86" t="n"/>
      <c r="E18" s="95" t="n"/>
      <c r="F18" s="142" t="n"/>
    </row>
    <row r="19" ht="15.75" customHeight="1">
      <c r="B19" s="88" t="n"/>
      <c r="D19" s="86" t="n"/>
      <c r="E19" s="95" t="n"/>
    </row>
    <row r="20" ht="15.75" customHeight="1">
      <c r="B20" s="88" t="n"/>
      <c r="D20" s="86" t="n"/>
      <c r="E20" s="95" t="n"/>
    </row>
    <row r="21" ht="15.75" customHeight="1">
      <c r="B21" s="88" t="n"/>
      <c r="D21" s="86" t="n"/>
      <c r="E21" s="95" t="n"/>
    </row>
    <row r="22" ht="15.75" customHeight="1">
      <c r="B22" s="88" t="n"/>
      <c r="D22" s="86" t="n"/>
      <c r="E22" s="95" t="n"/>
    </row>
    <row r="23" ht="15.75" customHeight="1">
      <c r="B23" s="88" t="n"/>
      <c r="D23" s="86" t="n"/>
      <c r="E23" s="95" t="n"/>
    </row>
    <row r="24" ht="15.75" customHeight="1">
      <c r="B24" s="88" t="n"/>
      <c r="D24" s="86" t="n"/>
      <c r="E24" s="95" t="n"/>
    </row>
    <row r="25" ht="15.75" customHeight="1">
      <c r="B25" s="88" t="n"/>
      <c r="D25" s="86" t="n"/>
      <c r="E25" s="95" t="n"/>
    </row>
    <row r="26" ht="15.75" customHeight="1">
      <c r="B26" s="88" t="n"/>
      <c r="D26" s="86" t="n"/>
      <c r="E26" s="95" t="n"/>
    </row>
    <row r="27" ht="15.75" customHeight="1">
      <c r="B27" s="88" t="n"/>
      <c r="D27" s="86" t="n"/>
      <c r="E27" s="95" t="n"/>
    </row>
    <row r="28" ht="15.75" customHeight="1">
      <c r="B28" s="88" t="n"/>
      <c r="D28" s="86" t="n"/>
      <c r="E28" s="95" t="n"/>
    </row>
    <row r="29" ht="15.75" customHeight="1">
      <c r="B29" s="88" t="n"/>
      <c r="D29" s="86" t="n"/>
      <c r="E29" s="95" t="n"/>
    </row>
    <row r="30" ht="15.75" customHeight="1">
      <c r="B30" s="88" t="n"/>
      <c r="D30" s="86" t="n"/>
      <c r="E30" s="95" t="n"/>
    </row>
    <row r="31" ht="15.75" customHeight="1">
      <c r="B31" s="88" t="n"/>
      <c r="D31" s="86" t="n"/>
      <c r="E31" s="95" t="n"/>
    </row>
    <row r="32" ht="15.75" customHeight="1">
      <c r="B32" s="88" t="n"/>
      <c r="D32" s="86" t="n"/>
      <c r="E32" s="95" t="n"/>
    </row>
    <row r="33" ht="15.75" customHeight="1">
      <c r="B33" s="88" t="n"/>
      <c r="D33" s="86" t="n"/>
      <c r="E33" s="95" t="n"/>
    </row>
    <row r="34" ht="15.75" customHeight="1">
      <c r="B34" s="88" t="n"/>
      <c r="D34" s="86" t="n"/>
      <c r="E34" s="95" t="n"/>
    </row>
    <row r="35" ht="15.75" customHeight="1">
      <c r="B35" s="88" t="n"/>
      <c r="D35" s="86" t="n"/>
      <c r="E35" s="95" t="n"/>
    </row>
    <row r="36" ht="15.75" customHeight="1">
      <c r="B36" s="88" t="n"/>
      <c r="D36" s="86" t="n"/>
      <c r="E36" s="95" t="n"/>
    </row>
    <row r="37" ht="15.75" customHeight="1">
      <c r="B37" s="88" t="n"/>
      <c r="D37" s="86" t="n"/>
      <c r="E37" s="95" t="n"/>
    </row>
    <row r="38" ht="15.75" customHeight="1">
      <c r="D38" s="86" t="n"/>
      <c r="E38" s="95" t="n"/>
    </row>
    <row r="39" ht="15.75" customHeight="1">
      <c r="D39" s="86" t="n"/>
      <c r="E39" s="95" t="n"/>
    </row>
    <row r="40" ht="15.75" customHeight="1">
      <c r="D40" s="86" t="n"/>
      <c r="E40" s="95" t="n"/>
    </row>
    <row r="41" ht="15.75" customHeight="1">
      <c r="D41" s="86" t="n"/>
      <c r="E41" s="95" t="n"/>
    </row>
    <row r="42" ht="15.75" customHeight="1">
      <c r="D42" s="86" t="n"/>
      <c r="E42" s="95" t="n"/>
    </row>
    <row r="43" ht="15.75" customHeight="1">
      <c r="D43" s="86" t="n"/>
      <c r="E43" s="95" t="n"/>
    </row>
    <row r="44" ht="15.75" customHeight="1">
      <c r="D44" s="86" t="n"/>
    </row>
    <row r="45" ht="15.75" customHeight="1">
      <c r="D45" s="86" t="n"/>
    </row>
    <row r="46" ht="15.75" customHeight="1">
      <c r="D46" s="86" t="n"/>
    </row>
    <row r="47" ht="15.75" customHeight="1">
      <c r="D47" s="86" t="n"/>
    </row>
    <row r="48" ht="15.75" customHeight="1">
      <c r="D48" s="86" t="n"/>
    </row>
    <row r="49" ht="15.75" customHeight="1">
      <c r="D49" s="86" t="n"/>
    </row>
    <row r="50" ht="15.75" customHeight="1">
      <c r="D50" s="86" t="n"/>
    </row>
    <row r="51" ht="15.75" customHeight="1">
      <c r="D51" s="86" t="n"/>
    </row>
    <row r="52" ht="15.75" customHeight="1">
      <c r="D52" s="86" t="n"/>
    </row>
    <row r="53" ht="15.75" customHeight="1">
      <c r="D53" s="86" t="n"/>
    </row>
    <row r="54" ht="15.75" customHeight="1">
      <c r="D54" s="86" t="n"/>
    </row>
    <row r="55" ht="15.75" customHeight="1">
      <c r="D55" s="86" t="n"/>
    </row>
    <row r="56" ht="15.75" customHeight="1">
      <c r="D56" s="86" t="n"/>
    </row>
    <row r="57" ht="15.75" customHeight="1">
      <c r="D57" s="86" t="n"/>
    </row>
    <row r="58" ht="15.75" customHeight="1">
      <c r="D58" s="86" t="n"/>
    </row>
    <row r="59" ht="15.75" customHeight="1">
      <c r="D59" s="86" t="n"/>
    </row>
    <row r="60" ht="15.75" customHeight="1">
      <c r="D60" s="86" t="n"/>
    </row>
    <row r="61" ht="15.75" customHeight="1">
      <c r="D61" s="86" t="n"/>
    </row>
    <row r="62" ht="15.75" customHeight="1">
      <c r="D62" s="86" t="n"/>
    </row>
    <row r="63" ht="15.75" customHeight="1">
      <c r="D63" s="86" t="n"/>
    </row>
    <row r="64" ht="15.75" customHeight="1">
      <c r="D64" s="86" t="n"/>
    </row>
    <row r="65" ht="15.75" customHeight="1">
      <c r="D65" s="86" t="n"/>
    </row>
    <row r="66" ht="15.75" customHeight="1">
      <c r="D66" s="86" t="n"/>
    </row>
    <row r="67" ht="15.75" customHeight="1">
      <c r="D67" s="86" t="n"/>
    </row>
    <row r="68" ht="15.75" customHeight="1">
      <c r="D68" s="86" t="n"/>
    </row>
    <row r="69" ht="15.75" customHeight="1">
      <c r="D69" s="86" t="n"/>
    </row>
    <row r="70" ht="15.75" customHeight="1">
      <c r="D70" s="86" t="n"/>
    </row>
    <row r="71" ht="15.75" customHeight="1">
      <c r="D71" s="86" t="n"/>
    </row>
    <row r="72" ht="15.75" customHeight="1">
      <c r="D72" s="86" t="n"/>
    </row>
    <row r="73" ht="15.75" customHeight="1">
      <c r="D73" s="86" t="n"/>
    </row>
    <row r="74" ht="15.75" customHeight="1">
      <c r="D74" s="86" t="n"/>
    </row>
    <row r="75" ht="15.75" customHeight="1">
      <c r="D75" s="86" t="n"/>
    </row>
    <row r="76" ht="15.75" customHeight="1">
      <c r="D76" s="86" t="n"/>
    </row>
    <row r="77" ht="15.75" customHeight="1">
      <c r="D77" s="86" t="n"/>
    </row>
    <row r="78" ht="15.75" customHeight="1">
      <c r="D78" s="86" t="n"/>
    </row>
    <row r="79" ht="15.75" customHeight="1">
      <c r="D79" s="86" t="n"/>
    </row>
    <row r="80" ht="15.75" customHeight="1">
      <c r="D80" s="86" t="n"/>
    </row>
    <row r="81" ht="15.75" customHeight="1">
      <c r="D81" s="86" t="n"/>
    </row>
    <row r="82" ht="15.75" customHeight="1">
      <c r="D82" s="86" t="n"/>
    </row>
    <row r="83" ht="15.75" customHeight="1">
      <c r="D83" s="86" t="n"/>
    </row>
    <row r="84" ht="15.75" customHeight="1">
      <c r="D84" s="86" t="n"/>
    </row>
    <row r="85" ht="15.75" customHeight="1">
      <c r="D85" s="86" t="n"/>
    </row>
    <row r="86" ht="15.75" customHeight="1">
      <c r="D86" s="86" t="n"/>
    </row>
    <row r="87" ht="15.75" customHeight="1">
      <c r="D87" s="86" t="n"/>
    </row>
    <row r="88" ht="15.75" customHeight="1">
      <c r="D88" s="86" t="n"/>
    </row>
    <row r="89" ht="15.75" customHeight="1">
      <c r="D89" s="86" t="n"/>
    </row>
    <row r="90" ht="15.75" customHeight="1">
      <c r="D90" s="86" t="n"/>
    </row>
    <row r="91" ht="15.75" customHeight="1">
      <c r="D91" s="86" t="n"/>
    </row>
    <row r="92" ht="15.75" customHeight="1">
      <c r="D92" s="86" t="n"/>
    </row>
    <row r="93" ht="15.75" customHeight="1">
      <c r="D93" s="86" t="n"/>
    </row>
    <row r="94" ht="15.75" customHeight="1">
      <c r="D94" s="86" t="n"/>
    </row>
    <row r="95" ht="15.75" customHeight="1">
      <c r="D95" s="86" t="n"/>
    </row>
    <row r="96" ht="15.75" customHeight="1">
      <c r="D96" s="86" t="n"/>
    </row>
    <row r="97" ht="15.75" customHeight="1">
      <c r="D97" s="86" t="n"/>
    </row>
    <row r="98" ht="15.75" customHeight="1">
      <c r="D98" s="86" t="n"/>
    </row>
    <row r="99" ht="15.75" customHeight="1">
      <c r="D99" s="86" t="n"/>
    </row>
    <row r="100" ht="15.75" customHeight="1">
      <c r="D100" s="86" t="n"/>
    </row>
    <row r="101" ht="15.75" customHeight="1">
      <c r="D101" s="86" t="n"/>
    </row>
    <row r="102" ht="15.75" customHeight="1">
      <c r="D102" s="86" t="n"/>
    </row>
    <row r="103" ht="15.75" customHeight="1">
      <c r="D103" s="86" t="n"/>
    </row>
    <row r="104" ht="15.75" customHeight="1">
      <c r="D104" s="86" t="n"/>
    </row>
    <row r="105" ht="15.75" customHeight="1">
      <c r="D105" s="86" t="n"/>
    </row>
    <row r="106" ht="15.75" customHeight="1">
      <c r="D106" s="86" t="n"/>
    </row>
    <row r="107" ht="15.75" customHeight="1">
      <c r="D107" s="86" t="n"/>
    </row>
    <row r="108" ht="15.75" customHeight="1">
      <c r="D108" s="86" t="n"/>
    </row>
    <row r="109" ht="15.75" customHeight="1">
      <c r="D109" s="86" t="n"/>
    </row>
    <row r="110" ht="15.75" customHeight="1">
      <c r="D110" s="86" t="n"/>
    </row>
    <row r="111" ht="15.75" customHeight="1">
      <c r="D111" s="86" t="n"/>
    </row>
    <row r="112" ht="15.75" customHeight="1">
      <c r="D112" s="86" t="n"/>
    </row>
    <row r="113" ht="15.75" customHeight="1">
      <c r="D113" s="86" t="n"/>
    </row>
    <row r="114" ht="15.75" customHeight="1">
      <c r="D114" s="86" t="n"/>
    </row>
    <row r="115" ht="15.75" customHeight="1">
      <c r="D115" s="86" t="n"/>
    </row>
    <row r="116" ht="15.75" customHeight="1">
      <c r="D116" s="86" t="n"/>
    </row>
    <row r="117" ht="15.75" customHeight="1">
      <c r="D117" s="86" t="n"/>
    </row>
    <row r="118" ht="15.75" customHeight="1">
      <c r="D118" s="86" t="n"/>
    </row>
    <row r="119" ht="15.75" customHeight="1">
      <c r="D119" s="86" t="n"/>
    </row>
    <row r="120" ht="15.75" customHeight="1">
      <c r="D120" s="86" t="n"/>
    </row>
    <row r="121" ht="15.75" customHeight="1">
      <c r="D121" s="86" t="n"/>
    </row>
    <row r="122" ht="15.75" customHeight="1">
      <c r="D122" s="86" t="n"/>
    </row>
    <row r="123" ht="15.75" customHeight="1">
      <c r="D123" s="86" t="n"/>
    </row>
    <row r="124" ht="15.75" customHeight="1">
      <c r="D124" s="86" t="n"/>
    </row>
    <row r="125" ht="15.75" customHeight="1">
      <c r="D125" s="86" t="n"/>
    </row>
    <row r="126" ht="15.75" customHeight="1">
      <c r="D126" s="86" t="n"/>
    </row>
    <row r="127" ht="15.75" customHeight="1">
      <c r="D127" s="86" t="n"/>
    </row>
    <row r="128" ht="15.75" customHeight="1">
      <c r="D128" s="86" t="n"/>
    </row>
    <row r="129" ht="15.75" customHeight="1">
      <c r="D129" s="86" t="n"/>
    </row>
    <row r="130" ht="15.75" customHeight="1">
      <c r="D130" s="86" t="n"/>
    </row>
    <row r="131" ht="15.75" customHeight="1">
      <c r="D131" s="86" t="n"/>
    </row>
    <row r="132" ht="15.75" customHeight="1">
      <c r="D132" s="86" t="n"/>
    </row>
    <row r="133" ht="15.75" customHeight="1">
      <c r="D133" s="86" t="n"/>
    </row>
    <row r="134" ht="15.75" customHeight="1">
      <c r="D134" s="86" t="n"/>
    </row>
    <row r="135" ht="15.75" customHeight="1">
      <c r="D135" s="86" t="n"/>
    </row>
    <row r="136" ht="15.75" customHeight="1">
      <c r="D136" s="86" t="n"/>
    </row>
    <row r="137" ht="15.75" customHeight="1">
      <c r="D137" s="86" t="n"/>
    </row>
    <row r="138" ht="15.75" customHeight="1">
      <c r="D138" s="86" t="n"/>
    </row>
    <row r="139" ht="15.75" customHeight="1">
      <c r="D139" s="86" t="n"/>
    </row>
    <row r="140" ht="15.75" customHeight="1">
      <c r="D140" s="86" t="n"/>
    </row>
    <row r="141" ht="15.75" customHeight="1">
      <c r="D141" s="86" t="n"/>
    </row>
    <row r="142" ht="15.75" customHeight="1">
      <c r="D142" s="86" t="n"/>
    </row>
    <row r="143" ht="15.75" customHeight="1">
      <c r="D143" s="86" t="n"/>
    </row>
    <row r="144" ht="15.75" customHeight="1">
      <c r="D144" s="86" t="n"/>
    </row>
    <row r="145" ht="15.75" customHeight="1">
      <c r="D145" s="86" t="n"/>
    </row>
    <row r="146" ht="15.75" customHeight="1">
      <c r="D146" s="86" t="n"/>
    </row>
    <row r="147" ht="15.75" customHeight="1">
      <c r="D147" s="86" t="n"/>
    </row>
    <row r="148" ht="15.75" customHeight="1">
      <c r="D148" s="86" t="n"/>
    </row>
    <row r="149" ht="15.75" customHeight="1">
      <c r="D149" s="86" t="n"/>
    </row>
    <row r="150" ht="15.75" customHeight="1">
      <c r="D150" s="86" t="n"/>
    </row>
    <row r="151" ht="15.75" customHeight="1">
      <c r="D151" s="86" t="n"/>
    </row>
    <row r="152" ht="15.75" customHeight="1">
      <c r="D152" s="86" t="n"/>
    </row>
    <row r="153" ht="15.75" customHeight="1">
      <c r="D153" s="86" t="n"/>
    </row>
    <row r="154" ht="15.75" customHeight="1">
      <c r="D154" s="86" t="n"/>
    </row>
    <row r="155" ht="15.75" customHeight="1">
      <c r="D155" s="86" t="n"/>
    </row>
    <row r="156" ht="15.75" customHeight="1">
      <c r="D156" s="86" t="n"/>
    </row>
    <row r="157" ht="15.75" customHeight="1">
      <c r="D157" s="86" t="n"/>
    </row>
    <row r="158" ht="15.75" customHeight="1">
      <c r="D158" s="86" t="n"/>
    </row>
    <row r="159" ht="15.75" customHeight="1">
      <c r="D159" s="86" t="n"/>
    </row>
    <row r="160" ht="15.75" customHeight="1">
      <c r="D160" s="86" t="n"/>
    </row>
    <row r="161" ht="15.75" customHeight="1">
      <c r="D161" s="86" t="n"/>
    </row>
    <row r="162" ht="15.75" customHeight="1">
      <c r="D162" s="86" t="n"/>
    </row>
    <row r="163" ht="15.75" customHeight="1">
      <c r="D163" s="86" t="n"/>
    </row>
    <row r="164" ht="15.75" customHeight="1">
      <c r="D164" s="86" t="n"/>
    </row>
    <row r="165" ht="15.75" customHeight="1">
      <c r="D165" s="86" t="n"/>
    </row>
    <row r="166" ht="15.75" customHeight="1">
      <c r="D166" s="86" t="n"/>
    </row>
    <row r="167" ht="15.75" customHeight="1">
      <c r="D167" s="86" t="n"/>
    </row>
    <row r="168" ht="15.75" customHeight="1">
      <c r="D168" s="86" t="n"/>
    </row>
    <row r="169" ht="15.75" customHeight="1">
      <c r="D169" s="86" t="n"/>
    </row>
    <row r="170" ht="15.75" customHeight="1">
      <c r="D170" s="86" t="n"/>
    </row>
    <row r="171" ht="15.75" customHeight="1">
      <c r="D171" s="86" t="n"/>
    </row>
    <row r="172" ht="15.75" customHeight="1">
      <c r="D172" s="86" t="n"/>
    </row>
    <row r="173" ht="15.75" customHeight="1">
      <c r="D173" s="86" t="n"/>
    </row>
    <row r="174" ht="15.75" customHeight="1">
      <c r="D174" s="86" t="n"/>
    </row>
    <row r="175" ht="15.75" customHeight="1">
      <c r="D175" s="86" t="n"/>
    </row>
    <row r="176" ht="15.75" customHeight="1">
      <c r="D176" s="86" t="n"/>
    </row>
    <row r="177" ht="15.75" customHeight="1">
      <c r="D177" s="86" t="n"/>
    </row>
    <row r="178" ht="15.75" customHeight="1">
      <c r="D178" s="86" t="n"/>
    </row>
    <row r="179" ht="15.75" customHeight="1">
      <c r="D179" s="86" t="n"/>
    </row>
    <row r="180" ht="15.75" customHeight="1">
      <c r="D180" s="86" t="n"/>
    </row>
    <row r="181" ht="15.75" customHeight="1">
      <c r="D181" s="86" t="n"/>
    </row>
    <row r="182" ht="15.75" customHeight="1">
      <c r="D182" s="86" t="n"/>
    </row>
    <row r="183" ht="15.75" customHeight="1">
      <c r="D183" s="86" t="n"/>
    </row>
    <row r="184" ht="15.75" customHeight="1">
      <c r="D184" s="86" t="n"/>
    </row>
    <row r="185" ht="15.75" customHeight="1">
      <c r="D185" s="86" t="n"/>
    </row>
    <row r="186" ht="15.75" customHeight="1">
      <c r="D186" s="86" t="n"/>
    </row>
    <row r="187" ht="15.75" customHeight="1">
      <c r="D187" s="86" t="n"/>
    </row>
    <row r="188" ht="15.75" customHeight="1">
      <c r="D188" s="86" t="n"/>
    </row>
    <row r="189" ht="15.75" customHeight="1">
      <c r="D189" s="86" t="n"/>
    </row>
    <row r="190" ht="15.75" customHeight="1">
      <c r="D190" s="86" t="n"/>
    </row>
    <row r="191" ht="15.75" customHeight="1">
      <c r="D191" s="86" t="n"/>
    </row>
    <row r="192" ht="15.75" customHeight="1">
      <c r="D192" s="86" t="n"/>
    </row>
    <row r="193" ht="15.75" customHeight="1">
      <c r="D193" s="86" t="n"/>
    </row>
    <row r="194" ht="15.75" customHeight="1">
      <c r="D194" s="86" t="n"/>
    </row>
    <row r="195" ht="15.75" customHeight="1">
      <c r="D195" s="86" t="n"/>
    </row>
    <row r="196" ht="15.75" customHeight="1">
      <c r="D196" s="86" t="n"/>
    </row>
    <row r="197" ht="15.75" customHeight="1">
      <c r="D197" s="86" t="n"/>
    </row>
    <row r="198" ht="15.75" customHeight="1">
      <c r="D198" s="86" t="n"/>
    </row>
    <row r="199" ht="15.75" customHeight="1">
      <c r="D199" s="86" t="n"/>
    </row>
    <row r="200" ht="15.75" customHeight="1">
      <c r="D200" s="86" t="n"/>
    </row>
    <row r="201" ht="15.75" customHeight="1">
      <c r="D201" s="86" t="n"/>
    </row>
    <row r="202" ht="15.75" customHeight="1">
      <c r="D202" s="86" t="n"/>
    </row>
    <row r="203" ht="15.75" customHeight="1">
      <c r="D203" s="86" t="n"/>
    </row>
    <row r="204" ht="15.75" customHeight="1">
      <c r="D204" s="86" t="n"/>
    </row>
    <row r="205" ht="15.75" customHeight="1">
      <c r="D205" s="86" t="n"/>
    </row>
    <row r="206" ht="15.75" customHeight="1">
      <c r="D206" s="86" t="n"/>
    </row>
    <row r="207" ht="15.75" customHeight="1">
      <c r="D207" s="86" t="n"/>
    </row>
    <row r="208" ht="15.75" customHeight="1">
      <c r="D208" s="86" t="n"/>
    </row>
    <row r="209" ht="15.75" customHeight="1">
      <c r="D209" s="86" t="n"/>
    </row>
    <row r="210" ht="15.75" customHeight="1">
      <c r="D210" s="86" t="n"/>
    </row>
    <row r="211" ht="15.75" customHeight="1">
      <c r="D211" s="86" t="n"/>
    </row>
    <row r="212" ht="15.75" customHeight="1">
      <c r="D212" s="86" t="n"/>
    </row>
    <row r="213" ht="15.75" customHeight="1">
      <c r="D213" s="86" t="n"/>
    </row>
    <row r="214" ht="15.75" customHeight="1">
      <c r="D214" s="86" t="n"/>
    </row>
    <row r="215" ht="15.75" customHeight="1">
      <c r="D215" s="86" t="n"/>
    </row>
    <row r="216" ht="15.75" customHeight="1">
      <c r="D216" s="86" t="n"/>
    </row>
    <row r="217" ht="15.75" customHeight="1">
      <c r="D217" s="86" t="n"/>
    </row>
    <row r="218" ht="15.75" customHeight="1">
      <c r="D218" s="86" t="n"/>
    </row>
    <row r="219" ht="15.75" customHeight="1">
      <c r="D219" s="86" t="n"/>
    </row>
    <row r="220" ht="15.75" customHeight="1">
      <c r="D220" s="86" t="n"/>
    </row>
    <row r="221" ht="15.75" customHeight="1">
      <c r="D221" s="86" t="n"/>
    </row>
    <row r="222" ht="15.75" customHeight="1">
      <c r="D222" s="86" t="n"/>
    </row>
    <row r="223" ht="15.75" customHeight="1">
      <c r="D223" s="86" t="n"/>
    </row>
    <row r="224" ht="15.75" customHeight="1">
      <c r="D224" s="86" t="n"/>
    </row>
    <row r="225" ht="15.75" customHeight="1">
      <c r="D225" s="86" t="n"/>
    </row>
    <row r="226" ht="15.75" customHeight="1">
      <c r="D226" s="86" t="n"/>
    </row>
    <row r="227" ht="15.75" customHeight="1">
      <c r="D227" s="86" t="n"/>
    </row>
    <row r="228" ht="15.75" customHeight="1">
      <c r="D228" s="86" t="n"/>
    </row>
    <row r="229" ht="15.75" customHeight="1">
      <c r="D229" s="86" t="n"/>
    </row>
    <row r="230" ht="15.75" customHeight="1">
      <c r="D230" s="86" t="n"/>
    </row>
    <row r="231" ht="15.75" customHeight="1">
      <c r="D231" s="86" t="n"/>
    </row>
    <row r="232" ht="15.75" customHeight="1">
      <c r="D232" s="86" t="n"/>
    </row>
    <row r="233" ht="15.75" customHeight="1">
      <c r="D233" s="86" t="n"/>
    </row>
    <row r="234" ht="15.75" customHeight="1">
      <c r="D234" s="86" t="n"/>
    </row>
    <row r="235" ht="15.75" customHeight="1">
      <c r="D235" s="86" t="n"/>
    </row>
    <row r="236" ht="15.75" customHeight="1">
      <c r="D236" s="86" t="n"/>
    </row>
    <row r="237" ht="15.75" customHeight="1">
      <c r="D237" s="86" t="n"/>
    </row>
    <row r="238" ht="15.75" customHeight="1">
      <c r="D238" s="86" t="n"/>
    </row>
    <row r="239" ht="15.75" customHeight="1">
      <c r="D239" s="86" t="n"/>
    </row>
    <row r="240" ht="15.75" customHeight="1">
      <c r="D240" s="86" t="n"/>
    </row>
    <row r="241" ht="15.75" customHeight="1">
      <c r="D241" s="86" t="n"/>
    </row>
    <row r="242" ht="15.75" customHeight="1">
      <c r="D242" s="86" t="n"/>
    </row>
    <row r="243" ht="15.75" customHeight="1">
      <c r="D243" s="86" t="n"/>
    </row>
    <row r="244" ht="15.75" customHeight="1">
      <c r="D244" s="86" t="n"/>
    </row>
    <row r="245" ht="15.75" customHeight="1">
      <c r="D245" s="86" t="n"/>
    </row>
    <row r="246" ht="15.75" customHeight="1">
      <c r="D246" s="86" t="n"/>
    </row>
    <row r="247" ht="15.75" customHeight="1">
      <c r="D247" s="86" t="n"/>
    </row>
    <row r="248" ht="15.75" customHeight="1">
      <c r="D248" s="86" t="n"/>
    </row>
    <row r="249" ht="15.75" customHeight="1">
      <c r="D249" s="86" t="n"/>
    </row>
    <row r="250" ht="15.75" customHeight="1">
      <c r="D250" s="86" t="n"/>
    </row>
    <row r="251" ht="15.75" customHeight="1">
      <c r="D251" s="86" t="n"/>
    </row>
    <row r="252" ht="15.75" customHeight="1">
      <c r="D252" s="86" t="n"/>
    </row>
    <row r="253" ht="15.75" customHeight="1">
      <c r="D253" s="86" t="n"/>
    </row>
    <row r="254" ht="15.75" customHeight="1">
      <c r="D254" s="86" t="n"/>
    </row>
    <row r="255" ht="15.75" customHeight="1">
      <c r="D255" s="86" t="n"/>
    </row>
    <row r="256" ht="15.75" customHeight="1">
      <c r="D256" s="86" t="n"/>
    </row>
    <row r="257" ht="15.75" customHeight="1">
      <c r="D257" s="86" t="n"/>
    </row>
    <row r="258" ht="15.75" customHeight="1">
      <c r="D258" s="86" t="n"/>
    </row>
    <row r="259" ht="15.75" customHeight="1">
      <c r="D259" s="86" t="n"/>
    </row>
    <row r="260" ht="15.75" customHeight="1">
      <c r="D260" s="86" t="n"/>
    </row>
    <row r="261" ht="15.75" customHeight="1">
      <c r="D261" s="86" t="n"/>
    </row>
    <row r="262" ht="15.75" customHeight="1">
      <c r="D262" s="86" t="n"/>
    </row>
    <row r="263" ht="15.75" customHeight="1">
      <c r="D263" s="86" t="n"/>
    </row>
    <row r="264" ht="15.75" customHeight="1">
      <c r="D264" s="86" t="n"/>
    </row>
    <row r="265" ht="15.75" customHeight="1">
      <c r="D265" s="86" t="n"/>
    </row>
    <row r="266" ht="15.75" customHeight="1">
      <c r="D266" s="86" t="n"/>
    </row>
    <row r="267" ht="15.75" customHeight="1">
      <c r="D267" s="86" t="n"/>
    </row>
    <row r="268" ht="15.75" customHeight="1">
      <c r="D268" s="86" t="n"/>
    </row>
    <row r="269" ht="15.75" customHeight="1">
      <c r="D269" s="86" t="n"/>
    </row>
    <row r="270" ht="15.75" customHeight="1">
      <c r="D270" s="86" t="n"/>
    </row>
    <row r="271" ht="15.75" customHeight="1">
      <c r="D271" s="86" t="n"/>
    </row>
    <row r="272" ht="15.75" customHeight="1">
      <c r="D272" s="86" t="n"/>
    </row>
    <row r="273" ht="15.75" customHeight="1">
      <c r="D273" s="86" t="n"/>
    </row>
    <row r="274" ht="15.75" customHeight="1">
      <c r="D274" s="86" t="n"/>
    </row>
    <row r="275" ht="15.75" customHeight="1">
      <c r="D275" s="86" t="n"/>
    </row>
    <row r="276" ht="15.75" customHeight="1">
      <c r="D276" s="86" t="n"/>
    </row>
    <row r="277" ht="15.75" customHeight="1">
      <c r="D277" s="86" t="n"/>
    </row>
    <row r="278" ht="15.75" customHeight="1">
      <c r="D278" s="86" t="n"/>
    </row>
    <row r="279" ht="15.75" customHeight="1">
      <c r="D279" s="86" t="n"/>
    </row>
    <row r="280" ht="15.75" customHeight="1">
      <c r="D280" s="86" t="n"/>
    </row>
    <row r="281" ht="15.75" customHeight="1">
      <c r="D281" s="86" t="n"/>
    </row>
    <row r="282" ht="15.75" customHeight="1">
      <c r="D282" s="86" t="n"/>
    </row>
    <row r="283" ht="15.75" customHeight="1">
      <c r="D283" s="86" t="n"/>
    </row>
    <row r="284" ht="15.75" customHeight="1">
      <c r="D284" s="86" t="n"/>
    </row>
    <row r="285" ht="15.75" customHeight="1">
      <c r="D285" s="86" t="n"/>
    </row>
    <row r="286" ht="15.75" customHeight="1">
      <c r="D286" s="86" t="n"/>
    </row>
    <row r="287" ht="15.75" customHeight="1">
      <c r="D287" s="86" t="n"/>
    </row>
    <row r="288" ht="15.75" customHeight="1">
      <c r="D288" s="86" t="n"/>
    </row>
    <row r="289" ht="15.75" customHeight="1">
      <c r="D289" s="86" t="n"/>
    </row>
    <row r="290" ht="15.75" customHeight="1">
      <c r="D290" s="86" t="n"/>
    </row>
    <row r="291" ht="15.75" customHeight="1">
      <c r="D291" s="86" t="n"/>
    </row>
    <row r="292" ht="15.75" customHeight="1">
      <c r="D292" s="86" t="n"/>
    </row>
    <row r="293" ht="15.75" customHeight="1">
      <c r="D293" s="86" t="n"/>
    </row>
    <row r="294" ht="15.75" customHeight="1">
      <c r="D294" s="86" t="n"/>
    </row>
    <row r="295" ht="15.75" customHeight="1">
      <c r="D295" s="86" t="n"/>
    </row>
    <row r="296" ht="15.75" customHeight="1">
      <c r="D296" s="86" t="n"/>
    </row>
    <row r="297" ht="15.75" customHeight="1">
      <c r="D297" s="86" t="n"/>
    </row>
    <row r="298" ht="15.75" customHeight="1">
      <c r="D298" s="86" t="n"/>
    </row>
    <row r="299" ht="15.75" customHeight="1">
      <c r="D299" s="86" t="n"/>
    </row>
    <row r="300" ht="15.75" customHeight="1">
      <c r="D300" s="86" t="n"/>
    </row>
    <row r="301" ht="15.75" customHeight="1">
      <c r="D301" s="86" t="n"/>
    </row>
    <row r="302" ht="15.75" customHeight="1">
      <c r="D302" s="86" t="n"/>
    </row>
    <row r="303" ht="15.75" customHeight="1">
      <c r="D303" s="86" t="n"/>
    </row>
    <row r="304" ht="15.75" customHeight="1">
      <c r="D304" s="86" t="n"/>
    </row>
    <row r="305" ht="15.75" customHeight="1">
      <c r="D305" s="86" t="n"/>
    </row>
    <row r="306" ht="15.75" customHeight="1">
      <c r="D306" s="86" t="n"/>
    </row>
    <row r="307" ht="15.75" customHeight="1">
      <c r="D307" s="86" t="n"/>
    </row>
    <row r="308" ht="15.75" customHeight="1">
      <c r="D308" s="86" t="n"/>
    </row>
    <row r="309" ht="15.75" customHeight="1">
      <c r="D309" s="86" t="n"/>
    </row>
    <row r="310" ht="15.75" customHeight="1">
      <c r="D310" s="86" t="n"/>
    </row>
    <row r="311" ht="15.75" customHeight="1">
      <c r="D311" s="86" t="n"/>
    </row>
    <row r="312" ht="15.75" customHeight="1">
      <c r="D312" s="86" t="n"/>
    </row>
    <row r="313" ht="15.75" customHeight="1">
      <c r="D313" s="86" t="n"/>
    </row>
    <row r="314" ht="15.75" customHeight="1">
      <c r="D314" s="86" t="n"/>
    </row>
    <row r="315" ht="15.75" customHeight="1">
      <c r="D315" s="86" t="n"/>
    </row>
    <row r="316" ht="15.75" customHeight="1">
      <c r="D316" s="86" t="n"/>
    </row>
    <row r="317" ht="15.75" customHeight="1">
      <c r="D317" s="86" t="n"/>
    </row>
    <row r="318" ht="15.75" customHeight="1">
      <c r="D318" s="86" t="n"/>
    </row>
    <row r="319" ht="15.75" customHeight="1">
      <c r="D319" s="86" t="n"/>
    </row>
    <row r="320" ht="15.75" customHeight="1">
      <c r="D320" s="86" t="n"/>
    </row>
    <row r="321" ht="15.75" customHeight="1">
      <c r="D321" s="86" t="n"/>
    </row>
    <row r="322" ht="15.75" customHeight="1">
      <c r="D322" s="86" t="n"/>
    </row>
    <row r="323" ht="15.75" customHeight="1">
      <c r="D323" s="86" t="n"/>
    </row>
    <row r="324" ht="15.75" customHeight="1">
      <c r="D324" s="86" t="n"/>
    </row>
    <row r="325" ht="15.75" customHeight="1">
      <c r="D325" s="86" t="n"/>
    </row>
    <row r="326" ht="15.75" customHeight="1">
      <c r="D326" s="86" t="n"/>
    </row>
    <row r="327" ht="15.75" customHeight="1">
      <c r="D327" s="86" t="n"/>
    </row>
    <row r="328" ht="15.75" customHeight="1">
      <c r="D328" s="86" t="n"/>
    </row>
    <row r="329" ht="15.75" customHeight="1">
      <c r="D329" s="86" t="n"/>
    </row>
    <row r="330" ht="15.75" customHeight="1">
      <c r="D330" s="86" t="n"/>
    </row>
    <row r="331" ht="15.75" customHeight="1">
      <c r="D331" s="86" t="n"/>
    </row>
    <row r="332" ht="15.75" customHeight="1">
      <c r="D332" s="86" t="n"/>
    </row>
    <row r="333" ht="15.75" customHeight="1">
      <c r="D333" s="86" t="n"/>
    </row>
    <row r="334" ht="15.75" customHeight="1">
      <c r="D334" s="86" t="n"/>
    </row>
    <row r="335" ht="15.75" customHeight="1">
      <c r="D335" s="86" t="n"/>
    </row>
    <row r="336" ht="15.75" customHeight="1">
      <c r="D336" s="86" t="n"/>
    </row>
    <row r="337" ht="15.75" customHeight="1">
      <c r="D337" s="86" t="n"/>
    </row>
    <row r="338" ht="15.75" customHeight="1">
      <c r="D338" s="86" t="n"/>
    </row>
    <row r="339" ht="15.75" customHeight="1">
      <c r="D339" s="86" t="n"/>
    </row>
    <row r="340" ht="15.75" customHeight="1">
      <c r="D340" s="86" t="n"/>
    </row>
    <row r="341" ht="15.75" customHeight="1">
      <c r="D341" s="86" t="n"/>
    </row>
    <row r="342" ht="15.75" customHeight="1">
      <c r="D342" s="86" t="n"/>
    </row>
    <row r="343" ht="15.75" customHeight="1">
      <c r="D343" s="86" t="n"/>
    </row>
    <row r="344" ht="15.75" customHeight="1">
      <c r="D344" s="86" t="n"/>
    </row>
    <row r="345" ht="15.75" customHeight="1">
      <c r="D345" s="86" t="n"/>
    </row>
    <row r="346" ht="15.75" customHeight="1">
      <c r="D346" s="86" t="n"/>
    </row>
    <row r="347" ht="15.75" customHeight="1">
      <c r="D347" s="86" t="n"/>
    </row>
    <row r="348" ht="15.75" customHeight="1">
      <c r="D348" s="86" t="n"/>
    </row>
    <row r="349" ht="15.75" customHeight="1">
      <c r="D349" s="86" t="n"/>
    </row>
    <row r="350" ht="15.75" customHeight="1">
      <c r="D350" s="86" t="n"/>
    </row>
    <row r="351" ht="15.75" customHeight="1">
      <c r="D351" s="86" t="n"/>
    </row>
    <row r="352" ht="15.75" customHeight="1">
      <c r="D352" s="86" t="n"/>
    </row>
    <row r="353" ht="15.75" customHeight="1">
      <c r="D353" s="86" t="n"/>
    </row>
    <row r="354" ht="15.75" customHeight="1">
      <c r="D354" s="86" t="n"/>
    </row>
    <row r="355" ht="15.75" customHeight="1">
      <c r="D355" s="86" t="n"/>
    </row>
    <row r="356" ht="15.75" customHeight="1">
      <c r="D356" s="86" t="n"/>
    </row>
    <row r="357" ht="15.75" customHeight="1">
      <c r="D357" s="86" t="n"/>
    </row>
    <row r="358" ht="15.75" customHeight="1">
      <c r="D358" s="86" t="n"/>
    </row>
    <row r="359" ht="15.75" customHeight="1">
      <c r="D359" s="86" t="n"/>
    </row>
    <row r="360" ht="15.75" customHeight="1">
      <c r="D360" s="86" t="n"/>
    </row>
    <row r="361" ht="15.75" customHeight="1">
      <c r="D361" s="86" t="n"/>
    </row>
    <row r="362" ht="15.75" customHeight="1">
      <c r="D362" s="86" t="n"/>
    </row>
    <row r="363" ht="15.75" customHeight="1">
      <c r="D363" s="86" t="n"/>
    </row>
    <row r="364" ht="15.75" customHeight="1">
      <c r="D364" s="86" t="n"/>
    </row>
    <row r="365" ht="15.75" customHeight="1">
      <c r="D365" s="86" t="n"/>
    </row>
    <row r="366" ht="15.75" customHeight="1">
      <c r="D366" s="86" t="n"/>
    </row>
    <row r="367" ht="15.75" customHeight="1">
      <c r="D367" s="86" t="n"/>
    </row>
    <row r="368" ht="15.75" customHeight="1">
      <c r="D368" s="86" t="n"/>
    </row>
    <row r="369" ht="15.75" customHeight="1">
      <c r="D369" s="86" t="n"/>
    </row>
    <row r="370" ht="15.75" customHeight="1">
      <c r="D370" s="86" t="n"/>
    </row>
    <row r="371" ht="15.75" customHeight="1">
      <c r="D371" s="86" t="n"/>
    </row>
    <row r="372" ht="15.75" customHeight="1">
      <c r="D372" s="86" t="n"/>
    </row>
    <row r="373" ht="15.75" customHeight="1">
      <c r="D373" s="86" t="n"/>
    </row>
    <row r="374" ht="15.75" customHeight="1">
      <c r="D374" s="86" t="n"/>
    </row>
    <row r="375" ht="15.75" customHeight="1">
      <c r="D375" s="86" t="n"/>
    </row>
    <row r="376" ht="15.75" customHeight="1">
      <c r="D376" s="86" t="n"/>
    </row>
    <row r="377" ht="15.75" customHeight="1">
      <c r="D377" s="86" t="n"/>
    </row>
    <row r="378" ht="15.75" customHeight="1">
      <c r="D378" s="86" t="n"/>
    </row>
    <row r="379" ht="15.75" customHeight="1">
      <c r="D379" s="86" t="n"/>
    </row>
    <row r="380" ht="15.75" customHeight="1">
      <c r="D380" s="86" t="n"/>
    </row>
    <row r="381" ht="15.75" customHeight="1">
      <c r="D381" s="86" t="n"/>
    </row>
    <row r="382" ht="15.75" customHeight="1">
      <c r="D382" s="86" t="n"/>
    </row>
    <row r="383" ht="15.75" customHeight="1">
      <c r="D383" s="86" t="n"/>
    </row>
    <row r="384" ht="15.75" customHeight="1">
      <c r="D384" s="86" t="n"/>
    </row>
    <row r="385" ht="15.75" customHeight="1">
      <c r="D385" s="86" t="n"/>
    </row>
    <row r="386" ht="15.75" customHeight="1">
      <c r="D386" s="86" t="n"/>
    </row>
    <row r="387" ht="15.75" customHeight="1">
      <c r="D387" s="86" t="n"/>
    </row>
    <row r="388" ht="15.75" customHeight="1">
      <c r="D388" s="86" t="n"/>
    </row>
    <row r="389" ht="15.75" customHeight="1">
      <c r="D389" s="86" t="n"/>
    </row>
    <row r="390" ht="15.75" customHeight="1">
      <c r="D390" s="86" t="n"/>
    </row>
    <row r="391" ht="15.75" customHeight="1">
      <c r="D391" s="86" t="n"/>
    </row>
    <row r="392" ht="15.75" customHeight="1">
      <c r="D392" s="86" t="n"/>
    </row>
    <row r="393" ht="15.75" customHeight="1">
      <c r="D393" s="86" t="n"/>
    </row>
    <row r="394" ht="15.75" customHeight="1">
      <c r="D394" s="86" t="n"/>
    </row>
    <row r="395" ht="15.75" customHeight="1">
      <c r="D395" s="86" t="n"/>
    </row>
    <row r="396" ht="15.75" customHeight="1">
      <c r="D396" s="86" t="n"/>
    </row>
    <row r="397" ht="15.75" customHeight="1">
      <c r="D397" s="86" t="n"/>
    </row>
    <row r="398" ht="15.75" customHeight="1">
      <c r="D398" s="86" t="n"/>
    </row>
    <row r="399" ht="15.75" customHeight="1">
      <c r="D399" s="86" t="n"/>
    </row>
    <row r="400" ht="15.75" customHeight="1">
      <c r="D400" s="86" t="n"/>
    </row>
    <row r="401" ht="15.75" customHeight="1">
      <c r="D401" s="86" t="n"/>
    </row>
    <row r="402" ht="15.75" customHeight="1">
      <c r="D402" s="86" t="n"/>
    </row>
    <row r="403" ht="15.75" customHeight="1">
      <c r="D403" s="86" t="n"/>
    </row>
    <row r="404" ht="15.75" customHeight="1">
      <c r="D404" s="86" t="n"/>
    </row>
    <row r="405" ht="15.75" customHeight="1">
      <c r="D405" s="86" t="n"/>
    </row>
    <row r="406" ht="15.75" customHeight="1">
      <c r="D406" s="86" t="n"/>
    </row>
    <row r="407" ht="15.75" customHeight="1">
      <c r="D407" s="86" t="n"/>
    </row>
    <row r="408" ht="15.75" customHeight="1">
      <c r="D408" s="86" t="n"/>
    </row>
    <row r="409" ht="15.75" customHeight="1">
      <c r="D409" s="86" t="n"/>
    </row>
    <row r="410" ht="15.75" customHeight="1">
      <c r="D410" s="86" t="n"/>
    </row>
    <row r="411" ht="15.75" customHeight="1">
      <c r="D411" s="86" t="n"/>
    </row>
    <row r="412" ht="15.75" customHeight="1">
      <c r="D412" s="86" t="n"/>
    </row>
    <row r="413" ht="15.75" customHeight="1">
      <c r="D413" s="86" t="n"/>
    </row>
    <row r="414" ht="15.75" customHeight="1">
      <c r="D414" s="86" t="n"/>
    </row>
    <row r="415" ht="15.75" customHeight="1">
      <c r="D415" s="86" t="n"/>
    </row>
    <row r="416" ht="15.75" customHeight="1">
      <c r="D416" s="86" t="n"/>
    </row>
    <row r="417" ht="15.75" customHeight="1">
      <c r="D417" s="86" t="n"/>
    </row>
    <row r="418" ht="15.75" customHeight="1">
      <c r="D418" s="86" t="n"/>
    </row>
    <row r="419" ht="15.75" customHeight="1">
      <c r="D419" s="86" t="n"/>
    </row>
    <row r="420" ht="15.75" customHeight="1">
      <c r="D420" s="86" t="n"/>
    </row>
    <row r="421" ht="15.75" customHeight="1">
      <c r="D421" s="86" t="n"/>
    </row>
    <row r="422" ht="15.75" customHeight="1">
      <c r="D422" s="86" t="n"/>
    </row>
    <row r="423" ht="15.75" customHeight="1">
      <c r="D423" s="86" t="n"/>
    </row>
    <row r="424" ht="15.75" customHeight="1">
      <c r="D424" s="86" t="n"/>
    </row>
    <row r="425" ht="15.75" customHeight="1">
      <c r="D425" s="86" t="n"/>
    </row>
    <row r="426" ht="15.75" customHeight="1">
      <c r="D426" s="86" t="n"/>
    </row>
    <row r="427" ht="15.75" customHeight="1">
      <c r="D427" s="86" t="n"/>
    </row>
    <row r="428" ht="15.75" customHeight="1">
      <c r="D428" s="86" t="n"/>
    </row>
    <row r="429" ht="15.75" customHeight="1">
      <c r="D429" s="86" t="n"/>
    </row>
    <row r="430" ht="15.75" customHeight="1">
      <c r="D430" s="86" t="n"/>
    </row>
    <row r="431" ht="15.75" customHeight="1">
      <c r="D431" s="86" t="n"/>
    </row>
    <row r="432" ht="15.75" customHeight="1">
      <c r="D432" s="86" t="n"/>
    </row>
    <row r="433" ht="15.75" customHeight="1">
      <c r="D433" s="86" t="n"/>
    </row>
    <row r="434" ht="15.75" customHeight="1">
      <c r="D434" s="86" t="n"/>
    </row>
    <row r="435" ht="15.75" customHeight="1">
      <c r="D435" s="86" t="n"/>
    </row>
    <row r="436" ht="15.75" customHeight="1">
      <c r="D436" s="86" t="n"/>
    </row>
    <row r="437" ht="15.75" customHeight="1">
      <c r="D437" s="86" t="n"/>
    </row>
    <row r="438" ht="15.75" customHeight="1">
      <c r="D438" s="86" t="n"/>
    </row>
    <row r="439" ht="15.75" customHeight="1">
      <c r="D439" s="86" t="n"/>
    </row>
    <row r="440" ht="15.75" customHeight="1">
      <c r="D440" s="86" t="n"/>
    </row>
    <row r="441" ht="15.75" customHeight="1">
      <c r="D441" s="86" t="n"/>
    </row>
    <row r="442" ht="15.75" customHeight="1">
      <c r="D442" s="86" t="n"/>
    </row>
    <row r="443" ht="15.75" customHeight="1">
      <c r="D443" s="86" t="n"/>
    </row>
    <row r="444" ht="15.75" customHeight="1">
      <c r="D444" s="86" t="n"/>
    </row>
    <row r="445" ht="15.75" customHeight="1">
      <c r="D445" s="86" t="n"/>
    </row>
    <row r="446" ht="15.75" customHeight="1">
      <c r="D446" s="86" t="n"/>
    </row>
    <row r="447" ht="15.75" customHeight="1">
      <c r="D447" s="86" t="n"/>
    </row>
    <row r="448" ht="15.75" customHeight="1">
      <c r="D448" s="86" t="n"/>
    </row>
    <row r="449" ht="15.75" customHeight="1">
      <c r="D449" s="86" t="n"/>
    </row>
    <row r="450" ht="15.75" customHeight="1">
      <c r="D450" s="86" t="n"/>
    </row>
    <row r="451" ht="15.75" customHeight="1">
      <c r="D451" s="86" t="n"/>
    </row>
    <row r="452" ht="15.75" customHeight="1">
      <c r="D452" s="86" t="n"/>
    </row>
    <row r="453" ht="15.75" customHeight="1">
      <c r="D453" s="86" t="n"/>
    </row>
    <row r="454" ht="15.75" customHeight="1">
      <c r="D454" s="86" t="n"/>
    </row>
    <row r="455" ht="15.75" customHeight="1">
      <c r="D455" s="86" t="n"/>
    </row>
    <row r="456" ht="15.75" customHeight="1">
      <c r="D456" s="86" t="n"/>
    </row>
    <row r="457" ht="15.75" customHeight="1">
      <c r="D457" s="86" t="n"/>
    </row>
    <row r="458" ht="15.75" customHeight="1">
      <c r="D458" s="86" t="n"/>
    </row>
    <row r="459" ht="15.75" customHeight="1">
      <c r="D459" s="86" t="n"/>
    </row>
    <row r="460" ht="15.75" customHeight="1">
      <c r="D460" s="86" t="n"/>
    </row>
    <row r="461" ht="15.75" customHeight="1">
      <c r="D461" s="86" t="n"/>
    </row>
    <row r="462" ht="15.75" customHeight="1">
      <c r="D462" s="86" t="n"/>
    </row>
    <row r="463" ht="15.75" customHeight="1">
      <c r="D463" s="86" t="n"/>
    </row>
    <row r="464" ht="15.75" customHeight="1">
      <c r="D464" s="86" t="n"/>
    </row>
    <row r="465" ht="15.75" customHeight="1">
      <c r="D465" s="86" t="n"/>
    </row>
    <row r="466" ht="15.75" customHeight="1">
      <c r="D466" s="86" t="n"/>
    </row>
    <row r="467" ht="15.75" customHeight="1">
      <c r="D467" s="86" t="n"/>
    </row>
    <row r="468" ht="15.75" customHeight="1">
      <c r="D468" s="86" t="n"/>
    </row>
    <row r="469" ht="15.75" customHeight="1">
      <c r="D469" s="86" t="n"/>
    </row>
    <row r="470" ht="15.75" customHeight="1">
      <c r="D470" s="86" t="n"/>
    </row>
    <row r="471" ht="15.75" customHeight="1">
      <c r="D471" s="86" t="n"/>
    </row>
    <row r="472" ht="15.75" customHeight="1">
      <c r="D472" s="86" t="n"/>
    </row>
    <row r="473" ht="15.75" customHeight="1">
      <c r="D473" s="86" t="n"/>
    </row>
    <row r="474" ht="15.75" customHeight="1">
      <c r="D474" s="86" t="n"/>
    </row>
    <row r="475" ht="15.75" customHeight="1">
      <c r="D475" s="86" t="n"/>
    </row>
    <row r="476" ht="15.75" customHeight="1">
      <c r="D476" s="86" t="n"/>
    </row>
    <row r="477" ht="15.75" customHeight="1">
      <c r="D477" s="86" t="n"/>
    </row>
    <row r="478" ht="15.75" customHeight="1">
      <c r="D478" s="86" t="n"/>
    </row>
    <row r="479" ht="15.75" customHeight="1">
      <c r="D479" s="86" t="n"/>
    </row>
    <row r="480" ht="15.75" customHeight="1">
      <c r="D480" s="86" t="n"/>
    </row>
    <row r="481" ht="15.75" customHeight="1">
      <c r="D481" s="86" t="n"/>
    </row>
    <row r="482" ht="15.75" customHeight="1">
      <c r="D482" s="86" t="n"/>
    </row>
    <row r="483" ht="15.75" customHeight="1">
      <c r="D483" s="86" t="n"/>
    </row>
    <row r="484" ht="15.75" customHeight="1">
      <c r="D484" s="86" t="n"/>
    </row>
    <row r="485" ht="15.75" customHeight="1">
      <c r="D485" s="86" t="n"/>
    </row>
    <row r="486" ht="15.75" customHeight="1">
      <c r="D486" s="86" t="n"/>
    </row>
    <row r="487" ht="15.75" customHeight="1">
      <c r="D487" s="86" t="n"/>
    </row>
    <row r="488" ht="15.75" customHeight="1">
      <c r="D488" s="86" t="n"/>
    </row>
    <row r="489" ht="15.75" customHeight="1">
      <c r="D489" s="86" t="n"/>
    </row>
    <row r="490" ht="15.75" customHeight="1">
      <c r="D490" s="86" t="n"/>
    </row>
    <row r="491" ht="15.75" customHeight="1">
      <c r="D491" s="86" t="n"/>
    </row>
    <row r="492" ht="15.75" customHeight="1">
      <c r="D492" s="86" t="n"/>
    </row>
    <row r="493" ht="15.75" customHeight="1">
      <c r="D493" s="86" t="n"/>
    </row>
    <row r="494" ht="15.75" customHeight="1">
      <c r="D494" s="86" t="n"/>
    </row>
    <row r="495" ht="15.75" customHeight="1">
      <c r="D495" s="86" t="n"/>
    </row>
    <row r="496" ht="15.75" customHeight="1">
      <c r="D496" s="86" t="n"/>
    </row>
    <row r="497" ht="15.75" customHeight="1">
      <c r="D497" s="86" t="n"/>
    </row>
    <row r="498" ht="15.75" customHeight="1">
      <c r="D498" s="86" t="n"/>
    </row>
    <row r="499" ht="15.75" customHeight="1">
      <c r="D499" s="86" t="n"/>
    </row>
    <row r="500" ht="15.75" customHeight="1">
      <c r="D500" s="86" t="n"/>
    </row>
    <row r="501" ht="15.75" customHeight="1">
      <c r="D501" s="86" t="n"/>
    </row>
    <row r="502" ht="15.75" customHeight="1">
      <c r="D502" s="86" t="n"/>
    </row>
    <row r="503" ht="15.75" customHeight="1">
      <c r="D503" s="86" t="n"/>
    </row>
    <row r="504" ht="15.75" customHeight="1">
      <c r="D504" s="86" t="n"/>
    </row>
    <row r="505" ht="15.75" customHeight="1">
      <c r="D505" s="86" t="n"/>
    </row>
    <row r="506" ht="15.75" customHeight="1">
      <c r="D506" s="86" t="n"/>
    </row>
    <row r="507" ht="15.75" customHeight="1">
      <c r="D507" s="86" t="n"/>
    </row>
    <row r="508" ht="15.75" customHeight="1">
      <c r="D508" s="86" t="n"/>
    </row>
    <row r="509" ht="15.75" customHeight="1">
      <c r="D509" s="86" t="n"/>
    </row>
    <row r="510" ht="15.75" customHeight="1">
      <c r="D510" s="86" t="n"/>
    </row>
    <row r="511" ht="15.75" customHeight="1">
      <c r="D511" s="86" t="n"/>
    </row>
    <row r="512" ht="15.75" customHeight="1">
      <c r="D512" s="86" t="n"/>
    </row>
    <row r="513" ht="15.75" customHeight="1">
      <c r="D513" s="86" t="n"/>
    </row>
    <row r="514" ht="15.75" customHeight="1">
      <c r="D514" s="86" t="n"/>
    </row>
    <row r="515" ht="15.75" customHeight="1">
      <c r="D515" s="86" t="n"/>
    </row>
    <row r="516" ht="15.75" customHeight="1">
      <c r="D516" s="86" t="n"/>
    </row>
    <row r="517" ht="15.75" customHeight="1">
      <c r="D517" s="86" t="n"/>
    </row>
    <row r="518" ht="15.75" customHeight="1">
      <c r="D518" s="86" t="n"/>
    </row>
    <row r="519" ht="15.75" customHeight="1">
      <c r="D519" s="86" t="n"/>
    </row>
    <row r="520" ht="15.75" customHeight="1">
      <c r="D520" s="86" t="n"/>
    </row>
    <row r="521" ht="15.75" customHeight="1">
      <c r="D521" s="86" t="n"/>
    </row>
    <row r="522" ht="15.75" customHeight="1">
      <c r="D522" s="86" t="n"/>
    </row>
    <row r="523" ht="15.75" customHeight="1">
      <c r="D523" s="86" t="n"/>
    </row>
    <row r="524" ht="15.75" customHeight="1">
      <c r="D524" s="86" t="n"/>
    </row>
    <row r="525" ht="15.75" customHeight="1">
      <c r="D525" s="86" t="n"/>
    </row>
    <row r="526" ht="15.75" customHeight="1">
      <c r="D526" s="86" t="n"/>
    </row>
    <row r="527" ht="15.75" customHeight="1">
      <c r="D527" s="86" t="n"/>
    </row>
    <row r="528" ht="15.75" customHeight="1">
      <c r="D528" s="86" t="n"/>
    </row>
    <row r="529" ht="15.75" customHeight="1">
      <c r="D529" s="86" t="n"/>
    </row>
    <row r="530" ht="15.75" customHeight="1">
      <c r="D530" s="86" t="n"/>
    </row>
    <row r="531" ht="15.75" customHeight="1">
      <c r="D531" s="86" t="n"/>
    </row>
    <row r="532" ht="15.75" customHeight="1">
      <c r="D532" s="86" t="n"/>
    </row>
    <row r="533" ht="15.75" customHeight="1">
      <c r="D533" s="86" t="n"/>
    </row>
    <row r="534" ht="15.75" customHeight="1">
      <c r="D534" s="86" t="n"/>
    </row>
    <row r="535" ht="15.75" customHeight="1">
      <c r="D535" s="86" t="n"/>
    </row>
    <row r="536" ht="15.75" customHeight="1">
      <c r="D536" s="86" t="n"/>
    </row>
    <row r="537" ht="15.75" customHeight="1">
      <c r="D537" s="86" t="n"/>
    </row>
    <row r="538" ht="15.75" customHeight="1">
      <c r="D538" s="86" t="n"/>
    </row>
    <row r="539" ht="15.75" customHeight="1">
      <c r="D539" s="86" t="n"/>
    </row>
    <row r="540" ht="15.75" customHeight="1">
      <c r="D540" s="86" t="n"/>
    </row>
    <row r="541" ht="15.75" customHeight="1">
      <c r="D541" s="86" t="n"/>
    </row>
    <row r="542" ht="15.75" customHeight="1">
      <c r="D542" s="86" t="n"/>
    </row>
    <row r="543" ht="15.75" customHeight="1">
      <c r="D543" s="86" t="n"/>
    </row>
    <row r="544" ht="15.75" customHeight="1">
      <c r="D544" s="86" t="n"/>
    </row>
    <row r="545" ht="15.75" customHeight="1">
      <c r="D545" s="86" t="n"/>
    </row>
    <row r="546" ht="15.75" customHeight="1">
      <c r="D546" s="86" t="n"/>
    </row>
    <row r="547" ht="15.75" customHeight="1">
      <c r="D547" s="86" t="n"/>
    </row>
    <row r="548" ht="15.75" customHeight="1">
      <c r="D548" s="86" t="n"/>
    </row>
    <row r="549" ht="15.75" customHeight="1">
      <c r="D549" s="86" t="n"/>
    </row>
    <row r="550" ht="15.75" customHeight="1">
      <c r="D550" s="86" t="n"/>
    </row>
    <row r="551" ht="15.75" customHeight="1">
      <c r="D551" s="86" t="n"/>
    </row>
    <row r="552" ht="15.75" customHeight="1">
      <c r="D552" s="86" t="n"/>
    </row>
    <row r="553" ht="15.75" customHeight="1">
      <c r="D553" s="86" t="n"/>
    </row>
    <row r="554" ht="15.75" customHeight="1">
      <c r="D554" s="86" t="n"/>
    </row>
    <row r="555" ht="15.75" customHeight="1">
      <c r="D555" s="86" t="n"/>
    </row>
    <row r="556" ht="15.75" customHeight="1">
      <c r="D556" s="86" t="n"/>
    </row>
    <row r="557" ht="15.75" customHeight="1">
      <c r="D557" s="86" t="n"/>
    </row>
    <row r="558" ht="15.75" customHeight="1">
      <c r="D558" s="86" t="n"/>
    </row>
    <row r="559" ht="15.75" customHeight="1">
      <c r="D559" s="86" t="n"/>
    </row>
    <row r="560" ht="15.75" customHeight="1">
      <c r="D560" s="86" t="n"/>
    </row>
    <row r="561" ht="15.75" customHeight="1">
      <c r="D561" s="86" t="n"/>
    </row>
    <row r="562" ht="15.75" customHeight="1">
      <c r="D562" s="86" t="n"/>
    </row>
    <row r="563" ht="15.75" customHeight="1">
      <c r="D563" s="86" t="n"/>
    </row>
    <row r="564" ht="15.75" customHeight="1">
      <c r="D564" s="86" t="n"/>
    </row>
    <row r="565" ht="15.75" customHeight="1">
      <c r="D565" s="86" t="n"/>
    </row>
    <row r="566" ht="15.75" customHeight="1">
      <c r="D566" s="86" t="n"/>
    </row>
    <row r="567" ht="15.75" customHeight="1">
      <c r="D567" s="86" t="n"/>
    </row>
    <row r="568" ht="15.75" customHeight="1">
      <c r="D568" s="86" t="n"/>
    </row>
    <row r="569" ht="15.75" customHeight="1">
      <c r="D569" s="86" t="n"/>
    </row>
    <row r="570" ht="15.75" customHeight="1">
      <c r="D570" s="86" t="n"/>
    </row>
    <row r="571" ht="15.75" customHeight="1">
      <c r="D571" s="86" t="n"/>
    </row>
    <row r="572" ht="15.75" customHeight="1">
      <c r="D572" s="86" t="n"/>
    </row>
    <row r="573" ht="15.75" customHeight="1">
      <c r="D573" s="86" t="n"/>
    </row>
    <row r="574" ht="15.75" customHeight="1">
      <c r="D574" s="86" t="n"/>
    </row>
    <row r="575" ht="15.75" customHeight="1">
      <c r="D575" s="86" t="n"/>
    </row>
    <row r="576" ht="15.75" customHeight="1">
      <c r="D576" s="86" t="n"/>
    </row>
    <row r="577" ht="15.75" customHeight="1">
      <c r="D577" s="86" t="n"/>
    </row>
    <row r="578" ht="15.75" customHeight="1">
      <c r="D578" s="86" t="n"/>
    </row>
    <row r="579" ht="15.75" customHeight="1">
      <c r="D579" s="86" t="n"/>
    </row>
    <row r="580" ht="15.75" customHeight="1">
      <c r="D580" s="86" t="n"/>
    </row>
    <row r="581" ht="15.75" customHeight="1">
      <c r="D581" s="86" t="n"/>
    </row>
    <row r="582" ht="15.75" customHeight="1">
      <c r="D582" s="86" t="n"/>
    </row>
    <row r="583" ht="15.75" customHeight="1">
      <c r="D583" s="86" t="n"/>
    </row>
    <row r="584" ht="15.75" customHeight="1">
      <c r="D584" s="86" t="n"/>
    </row>
    <row r="585" ht="15.75" customHeight="1">
      <c r="D585" s="86" t="n"/>
    </row>
    <row r="586" ht="15.75" customHeight="1">
      <c r="D586" s="86" t="n"/>
    </row>
    <row r="587" ht="15.75" customHeight="1">
      <c r="D587" s="86" t="n"/>
    </row>
    <row r="588" ht="15.75" customHeight="1">
      <c r="D588" s="86" t="n"/>
    </row>
    <row r="589" ht="15.75" customHeight="1">
      <c r="D589" s="86" t="n"/>
    </row>
    <row r="590" ht="15.75" customHeight="1">
      <c r="D590" s="86" t="n"/>
    </row>
    <row r="591" ht="15.75" customHeight="1">
      <c r="D591" s="86" t="n"/>
    </row>
    <row r="592" ht="15.75" customHeight="1">
      <c r="D592" s="86" t="n"/>
    </row>
    <row r="593" ht="15.75" customHeight="1">
      <c r="D593" s="86" t="n"/>
    </row>
    <row r="594" ht="15.75" customHeight="1">
      <c r="D594" s="86" t="n"/>
    </row>
    <row r="595" ht="15.75" customHeight="1">
      <c r="D595" s="86" t="n"/>
    </row>
    <row r="596" ht="15.75" customHeight="1">
      <c r="D596" s="86" t="n"/>
    </row>
    <row r="597" ht="15.75" customHeight="1">
      <c r="D597" s="86" t="n"/>
    </row>
    <row r="598" ht="15.75" customHeight="1">
      <c r="D598" s="86" t="n"/>
    </row>
    <row r="599" ht="15.75" customHeight="1">
      <c r="D599" s="86" t="n"/>
    </row>
    <row r="600" ht="15.75" customHeight="1">
      <c r="D600" s="86" t="n"/>
    </row>
    <row r="601" ht="15.75" customHeight="1">
      <c r="D601" s="86" t="n"/>
    </row>
    <row r="602" ht="15.75" customHeight="1">
      <c r="D602" s="86" t="n"/>
    </row>
    <row r="603" ht="15.75" customHeight="1">
      <c r="D603" s="86" t="n"/>
    </row>
    <row r="604" ht="15.75" customHeight="1">
      <c r="D604" s="86" t="n"/>
    </row>
    <row r="605" ht="15.75" customHeight="1">
      <c r="D605" s="86" t="n"/>
    </row>
    <row r="606" ht="15.75" customHeight="1">
      <c r="D606" s="86" t="n"/>
    </row>
    <row r="607" ht="15.75" customHeight="1">
      <c r="D607" s="86" t="n"/>
    </row>
    <row r="608" ht="15.75" customHeight="1">
      <c r="D608" s="86" t="n"/>
    </row>
    <row r="609" ht="15.75" customHeight="1">
      <c r="D609" s="86" t="n"/>
    </row>
    <row r="610" ht="15.75" customHeight="1">
      <c r="D610" s="86" t="n"/>
    </row>
    <row r="611" ht="15.75" customHeight="1">
      <c r="D611" s="86" t="n"/>
    </row>
    <row r="612" ht="15.75" customHeight="1">
      <c r="D612" s="86" t="n"/>
    </row>
    <row r="613" ht="15.75" customHeight="1">
      <c r="D613" s="86" t="n"/>
    </row>
    <row r="614" ht="15.75" customHeight="1">
      <c r="D614" s="86" t="n"/>
    </row>
    <row r="615" ht="15.75" customHeight="1">
      <c r="D615" s="86" t="n"/>
    </row>
    <row r="616" ht="15.75" customHeight="1">
      <c r="D616" s="86" t="n"/>
    </row>
    <row r="617" ht="15.75" customHeight="1">
      <c r="D617" s="86" t="n"/>
    </row>
    <row r="618" ht="15.75" customHeight="1">
      <c r="D618" s="86" t="n"/>
    </row>
    <row r="619" ht="15.75" customHeight="1">
      <c r="D619" s="86" t="n"/>
    </row>
    <row r="620" ht="15.75" customHeight="1">
      <c r="D620" s="86" t="n"/>
    </row>
    <row r="621" ht="15.75" customHeight="1">
      <c r="D621" s="86" t="n"/>
    </row>
    <row r="622" ht="15.75" customHeight="1">
      <c r="D622" s="86" t="n"/>
    </row>
    <row r="623" ht="15.75" customHeight="1">
      <c r="D623" s="86" t="n"/>
    </row>
    <row r="624" ht="15.75" customHeight="1">
      <c r="D624" s="86" t="n"/>
    </row>
    <row r="625" ht="15.75" customHeight="1">
      <c r="D625" s="86" t="n"/>
    </row>
    <row r="626" ht="15.75" customHeight="1">
      <c r="D626" s="86" t="n"/>
    </row>
    <row r="627" ht="15.75" customHeight="1">
      <c r="D627" s="86" t="n"/>
    </row>
    <row r="628" ht="15.75" customHeight="1">
      <c r="D628" s="86" t="n"/>
    </row>
    <row r="629" ht="15.75" customHeight="1">
      <c r="D629" s="86" t="n"/>
    </row>
    <row r="630" ht="15.75" customHeight="1">
      <c r="D630" s="86" t="n"/>
    </row>
    <row r="631" ht="15.75" customHeight="1">
      <c r="D631" s="86" t="n"/>
    </row>
    <row r="632" ht="15.75" customHeight="1">
      <c r="D632" s="86" t="n"/>
    </row>
    <row r="633" ht="15.75" customHeight="1">
      <c r="D633" s="86" t="n"/>
    </row>
    <row r="634" ht="15.75" customHeight="1">
      <c r="D634" s="86" t="n"/>
    </row>
    <row r="635" ht="15.75" customHeight="1">
      <c r="D635" s="86" t="n"/>
    </row>
    <row r="636" ht="15.75" customHeight="1">
      <c r="D636" s="86" t="n"/>
    </row>
    <row r="637" ht="15.75" customHeight="1">
      <c r="D637" s="86" t="n"/>
    </row>
    <row r="638" ht="15.75" customHeight="1">
      <c r="D638" s="86" t="n"/>
    </row>
    <row r="639" ht="15.75" customHeight="1">
      <c r="D639" s="86" t="n"/>
    </row>
    <row r="640" ht="15.75" customHeight="1">
      <c r="D640" s="86" t="n"/>
    </row>
    <row r="641" ht="15.75" customHeight="1">
      <c r="D641" s="86" t="n"/>
    </row>
    <row r="642" ht="15.75" customHeight="1">
      <c r="D642" s="86" t="n"/>
    </row>
    <row r="643" ht="15.75" customHeight="1">
      <c r="D643" s="86" t="n"/>
    </row>
    <row r="644" ht="15.75" customHeight="1">
      <c r="D644" s="86" t="n"/>
    </row>
    <row r="645" ht="15.75" customHeight="1">
      <c r="D645" s="86" t="n"/>
    </row>
    <row r="646" ht="15.75" customHeight="1">
      <c r="D646" s="86" t="n"/>
    </row>
    <row r="647" ht="15.75" customHeight="1">
      <c r="D647" s="86" t="n"/>
    </row>
    <row r="648" ht="15.75" customHeight="1">
      <c r="D648" s="86" t="n"/>
    </row>
    <row r="649" ht="15.75" customHeight="1">
      <c r="D649" s="86" t="n"/>
    </row>
    <row r="650" ht="15.75" customHeight="1">
      <c r="D650" s="86" t="n"/>
    </row>
    <row r="651" ht="15.75" customHeight="1">
      <c r="D651" s="86" t="n"/>
    </row>
    <row r="652" ht="15.75" customHeight="1">
      <c r="D652" s="86" t="n"/>
    </row>
    <row r="653" ht="15.75" customHeight="1">
      <c r="D653" s="86" t="n"/>
    </row>
    <row r="654" ht="15.75" customHeight="1">
      <c r="D654" s="86" t="n"/>
    </row>
    <row r="655" ht="15.75" customHeight="1">
      <c r="D655" s="86" t="n"/>
    </row>
    <row r="656" ht="15.75" customHeight="1">
      <c r="D656" s="86" t="n"/>
    </row>
    <row r="657" ht="15.75" customHeight="1">
      <c r="D657" s="86" t="n"/>
    </row>
    <row r="658" ht="15.75" customHeight="1">
      <c r="D658" s="86" t="n"/>
    </row>
    <row r="659" ht="15.75" customHeight="1">
      <c r="D659" s="86" t="n"/>
    </row>
    <row r="660" ht="15.75" customHeight="1">
      <c r="D660" s="86" t="n"/>
    </row>
    <row r="661" ht="15.75" customHeight="1">
      <c r="D661" s="86" t="n"/>
    </row>
    <row r="662" ht="15.75" customHeight="1">
      <c r="D662" s="86" t="n"/>
    </row>
    <row r="663" ht="15.75" customHeight="1">
      <c r="D663" s="86" t="n"/>
    </row>
    <row r="664" ht="15.75" customHeight="1">
      <c r="D664" s="86" t="n"/>
    </row>
    <row r="665" ht="15.75" customHeight="1">
      <c r="D665" s="86" t="n"/>
    </row>
    <row r="666" ht="15.75" customHeight="1">
      <c r="D666" s="86" t="n"/>
    </row>
    <row r="667" ht="15.75" customHeight="1">
      <c r="D667" s="86" t="n"/>
    </row>
    <row r="668" ht="15.75" customHeight="1">
      <c r="D668" s="86" t="n"/>
    </row>
    <row r="669" ht="15.75" customHeight="1">
      <c r="D669" s="86" t="n"/>
    </row>
    <row r="670" ht="15.75" customHeight="1">
      <c r="D670" s="86" t="n"/>
    </row>
    <row r="671" ht="15.75" customHeight="1">
      <c r="D671" s="86" t="n"/>
    </row>
    <row r="672" ht="15.75" customHeight="1">
      <c r="D672" s="86" t="n"/>
    </row>
    <row r="673" ht="15.75" customHeight="1">
      <c r="D673" s="86" t="n"/>
    </row>
    <row r="674" ht="15.75" customHeight="1">
      <c r="D674" s="86" t="n"/>
    </row>
    <row r="675" ht="15.75" customHeight="1">
      <c r="D675" s="86" t="n"/>
    </row>
    <row r="676" ht="15.75" customHeight="1">
      <c r="D676" s="86" t="n"/>
    </row>
    <row r="677" ht="15.75" customHeight="1">
      <c r="D677" s="86" t="n"/>
    </row>
    <row r="678" ht="15.75" customHeight="1">
      <c r="D678" s="86" t="n"/>
    </row>
    <row r="679" ht="15.75" customHeight="1">
      <c r="D679" s="86" t="n"/>
    </row>
    <row r="680" ht="15.75" customHeight="1">
      <c r="D680" s="86" t="n"/>
    </row>
    <row r="681" ht="15.75" customHeight="1">
      <c r="D681" s="86" t="n"/>
    </row>
    <row r="682" ht="15.75" customHeight="1">
      <c r="D682" s="86" t="n"/>
    </row>
    <row r="683" ht="15.75" customHeight="1">
      <c r="D683" s="86" t="n"/>
    </row>
    <row r="684" ht="15.75" customHeight="1">
      <c r="D684" s="86" t="n"/>
    </row>
    <row r="685" ht="15.75" customHeight="1">
      <c r="D685" s="86" t="n"/>
    </row>
    <row r="686" ht="15.75" customHeight="1">
      <c r="D686" s="86" t="n"/>
    </row>
    <row r="687" ht="15.75" customHeight="1">
      <c r="D687" s="86" t="n"/>
    </row>
    <row r="688" ht="15.75" customHeight="1">
      <c r="D688" s="86" t="n"/>
    </row>
    <row r="689" ht="15.75" customHeight="1">
      <c r="D689" s="86" t="n"/>
    </row>
    <row r="690" ht="15.75" customHeight="1">
      <c r="D690" s="86" t="n"/>
    </row>
    <row r="691" ht="15.75" customHeight="1">
      <c r="D691" s="86" t="n"/>
    </row>
    <row r="692" ht="15.75" customHeight="1">
      <c r="D692" s="86" t="n"/>
    </row>
    <row r="693" ht="15.75" customHeight="1">
      <c r="D693" s="86" t="n"/>
    </row>
    <row r="694" ht="15.75" customHeight="1">
      <c r="D694" s="86" t="n"/>
    </row>
    <row r="695" ht="15.75" customHeight="1">
      <c r="D695" s="86" t="n"/>
    </row>
    <row r="696" ht="15.75" customHeight="1">
      <c r="D696" s="86" t="n"/>
    </row>
    <row r="697" ht="15.75" customHeight="1">
      <c r="D697" s="86" t="n"/>
    </row>
    <row r="698" ht="15.75" customHeight="1">
      <c r="D698" s="86" t="n"/>
    </row>
    <row r="699" ht="15.75" customHeight="1">
      <c r="D699" s="86" t="n"/>
    </row>
    <row r="700" ht="15.75" customHeight="1">
      <c r="D700" s="86" t="n"/>
    </row>
    <row r="701" ht="15.75" customHeight="1">
      <c r="D701" s="86" t="n"/>
    </row>
    <row r="702" ht="15.75" customHeight="1">
      <c r="D702" s="86" t="n"/>
    </row>
    <row r="703" ht="15.75" customHeight="1">
      <c r="D703" s="86" t="n"/>
    </row>
    <row r="704" ht="15.75" customHeight="1">
      <c r="D704" s="86" t="n"/>
    </row>
    <row r="705" ht="15.75" customHeight="1">
      <c r="D705" s="86" t="n"/>
    </row>
    <row r="706" ht="15.75" customHeight="1">
      <c r="D706" s="86" t="n"/>
    </row>
    <row r="707" ht="15.75" customHeight="1">
      <c r="D707" s="86" t="n"/>
    </row>
    <row r="708" ht="15.75" customHeight="1">
      <c r="D708" s="86" t="n"/>
    </row>
    <row r="709" ht="15.75" customHeight="1">
      <c r="D709" s="86" t="n"/>
    </row>
    <row r="710" ht="15.75" customHeight="1">
      <c r="D710" s="86" t="n"/>
    </row>
    <row r="711" ht="15.75" customHeight="1">
      <c r="D711" s="86" t="n"/>
    </row>
    <row r="712" ht="15.75" customHeight="1">
      <c r="D712" s="86" t="n"/>
    </row>
    <row r="713" ht="15.75" customHeight="1">
      <c r="D713" s="86" t="n"/>
    </row>
    <row r="714" ht="15.75" customHeight="1">
      <c r="D714" s="86" t="n"/>
    </row>
    <row r="715" ht="15.75" customHeight="1">
      <c r="D715" s="86" t="n"/>
    </row>
    <row r="716" ht="15.75" customHeight="1">
      <c r="D716" s="86" t="n"/>
    </row>
    <row r="717" ht="15.75" customHeight="1">
      <c r="D717" s="86" t="n"/>
    </row>
    <row r="718" ht="15.75" customHeight="1">
      <c r="D718" s="86" t="n"/>
    </row>
    <row r="719" ht="15.75" customHeight="1">
      <c r="D719" s="86" t="n"/>
    </row>
    <row r="720" ht="15.75" customHeight="1">
      <c r="D720" s="86" t="n"/>
    </row>
    <row r="721" ht="15.75" customHeight="1">
      <c r="D721" s="86" t="n"/>
    </row>
    <row r="722" ht="15.75" customHeight="1">
      <c r="D722" s="86" t="n"/>
    </row>
    <row r="723" ht="15.75" customHeight="1">
      <c r="D723" s="86" t="n"/>
    </row>
    <row r="724" ht="15.75" customHeight="1">
      <c r="D724" s="86" t="n"/>
    </row>
    <row r="725" ht="15.75" customHeight="1">
      <c r="D725" s="86" t="n"/>
    </row>
    <row r="726" ht="15.75" customHeight="1">
      <c r="D726" s="86" t="n"/>
    </row>
    <row r="727" ht="15.75" customHeight="1">
      <c r="D727" s="86" t="n"/>
    </row>
    <row r="728" ht="15.75" customHeight="1">
      <c r="D728" s="86" t="n"/>
    </row>
    <row r="729" ht="15.75" customHeight="1">
      <c r="D729" s="86" t="n"/>
    </row>
    <row r="730" ht="15.75" customHeight="1">
      <c r="D730" s="86" t="n"/>
    </row>
    <row r="731" ht="15.75" customHeight="1">
      <c r="D731" s="86" t="n"/>
    </row>
    <row r="732" ht="15.75" customHeight="1">
      <c r="D732" s="86" t="n"/>
    </row>
    <row r="733" ht="15.75" customHeight="1">
      <c r="D733" s="86" t="n"/>
    </row>
    <row r="734" ht="15.75" customHeight="1">
      <c r="D734" s="86" t="n"/>
    </row>
    <row r="735" ht="15.75" customHeight="1">
      <c r="D735" s="86" t="n"/>
    </row>
    <row r="736" ht="15.75" customHeight="1">
      <c r="D736" s="86" t="n"/>
    </row>
    <row r="737" ht="15.75" customHeight="1">
      <c r="D737" s="86" t="n"/>
    </row>
    <row r="738" ht="15.75" customHeight="1">
      <c r="D738" s="86" t="n"/>
    </row>
    <row r="739" ht="15.75" customHeight="1">
      <c r="D739" s="86" t="n"/>
    </row>
    <row r="740" ht="15.75" customHeight="1">
      <c r="D740" s="86" t="n"/>
    </row>
    <row r="741" ht="15.75" customHeight="1">
      <c r="D741" s="86" t="n"/>
    </row>
    <row r="742" ht="15.75" customHeight="1">
      <c r="D742" s="86" t="n"/>
    </row>
    <row r="743" ht="15.75" customHeight="1">
      <c r="D743" s="86" t="n"/>
    </row>
    <row r="744" ht="15.75" customHeight="1">
      <c r="D744" s="86" t="n"/>
    </row>
    <row r="745" ht="15.75" customHeight="1">
      <c r="D745" s="86" t="n"/>
    </row>
    <row r="746" ht="15.75" customHeight="1">
      <c r="D746" s="86" t="n"/>
    </row>
    <row r="747" ht="15.75" customHeight="1">
      <c r="D747" s="86" t="n"/>
    </row>
    <row r="748" ht="15.75" customHeight="1">
      <c r="D748" s="86" t="n"/>
    </row>
    <row r="749" ht="15.75" customHeight="1">
      <c r="D749" s="86" t="n"/>
    </row>
    <row r="750" ht="15.75" customHeight="1">
      <c r="D750" s="86" t="n"/>
    </row>
    <row r="751" ht="15.75" customHeight="1">
      <c r="D751" s="86" t="n"/>
    </row>
    <row r="752" ht="15.75" customHeight="1">
      <c r="D752" s="86" t="n"/>
    </row>
    <row r="753" ht="15.75" customHeight="1">
      <c r="D753" s="86" t="n"/>
    </row>
    <row r="754" ht="15.75" customHeight="1">
      <c r="D754" s="86" t="n"/>
    </row>
    <row r="755" ht="15.75" customHeight="1">
      <c r="D755" s="86" t="n"/>
    </row>
    <row r="756" ht="15.75" customHeight="1">
      <c r="D756" s="86" t="n"/>
    </row>
    <row r="757" ht="15.75" customHeight="1">
      <c r="D757" s="86" t="n"/>
    </row>
    <row r="758" ht="15.75" customHeight="1">
      <c r="D758" s="86" t="n"/>
    </row>
    <row r="759" ht="15.75" customHeight="1">
      <c r="D759" s="86" t="n"/>
    </row>
    <row r="760" ht="15.75" customHeight="1">
      <c r="D760" s="86" t="n"/>
    </row>
    <row r="761" ht="15.75" customHeight="1">
      <c r="D761" s="86" t="n"/>
    </row>
    <row r="762" ht="15.75" customHeight="1">
      <c r="D762" s="86" t="n"/>
    </row>
    <row r="763" ht="15.75" customHeight="1">
      <c r="D763" s="86" t="n"/>
    </row>
    <row r="764" ht="15.75" customHeight="1">
      <c r="D764" s="86" t="n"/>
    </row>
    <row r="765" ht="15.75" customHeight="1">
      <c r="D765" s="86" t="n"/>
    </row>
    <row r="766" ht="15.75" customHeight="1">
      <c r="D766" s="86" t="n"/>
    </row>
    <row r="767" ht="15.75" customHeight="1">
      <c r="D767" s="86" t="n"/>
    </row>
    <row r="768" ht="15.75" customHeight="1">
      <c r="D768" s="86" t="n"/>
    </row>
    <row r="769" ht="15.75" customHeight="1">
      <c r="D769" s="86" t="n"/>
    </row>
    <row r="770" ht="15.75" customHeight="1">
      <c r="D770" s="86" t="n"/>
    </row>
    <row r="771" ht="15.75" customHeight="1">
      <c r="D771" s="86" t="n"/>
    </row>
    <row r="772" ht="15.75" customHeight="1">
      <c r="D772" s="86" t="n"/>
    </row>
    <row r="773" ht="15.75" customHeight="1">
      <c r="D773" s="86" t="n"/>
    </row>
    <row r="774" ht="15.75" customHeight="1">
      <c r="D774" s="86" t="n"/>
    </row>
    <row r="775" ht="15.75" customHeight="1">
      <c r="D775" s="86" t="n"/>
    </row>
    <row r="776" ht="15.75" customHeight="1">
      <c r="D776" s="86" t="n"/>
    </row>
    <row r="777" ht="15.75" customHeight="1">
      <c r="D777" s="86" t="n"/>
    </row>
    <row r="778" ht="15.75" customHeight="1">
      <c r="D778" s="86" t="n"/>
    </row>
    <row r="779" ht="15.75" customHeight="1">
      <c r="D779" s="86" t="n"/>
    </row>
    <row r="780" ht="15.75" customHeight="1">
      <c r="D780" s="86" t="n"/>
    </row>
    <row r="781" ht="15.75" customHeight="1">
      <c r="D781" s="86" t="n"/>
    </row>
    <row r="782" ht="15.75" customHeight="1">
      <c r="D782" s="86" t="n"/>
    </row>
    <row r="783" ht="15.75" customHeight="1">
      <c r="D783" s="86" t="n"/>
    </row>
    <row r="784" ht="15.75" customHeight="1">
      <c r="D784" s="86" t="n"/>
    </row>
    <row r="785" ht="15.75" customHeight="1">
      <c r="D785" s="86" t="n"/>
    </row>
    <row r="786" ht="15.75" customHeight="1">
      <c r="D786" s="86" t="n"/>
    </row>
    <row r="787" ht="15.75" customHeight="1">
      <c r="D787" s="86" t="n"/>
    </row>
    <row r="788" ht="15.75" customHeight="1">
      <c r="D788" s="86" t="n"/>
    </row>
    <row r="789" ht="15.75" customHeight="1">
      <c r="D789" s="86" t="n"/>
    </row>
    <row r="790" ht="15.75" customHeight="1">
      <c r="D790" s="86" t="n"/>
    </row>
    <row r="791" ht="15.75" customHeight="1">
      <c r="D791" s="86" t="n"/>
    </row>
    <row r="792" ht="15.75" customHeight="1">
      <c r="D792" s="86" t="n"/>
    </row>
    <row r="793" ht="15.75" customHeight="1">
      <c r="D793" s="86" t="n"/>
    </row>
    <row r="794" ht="15.75" customHeight="1">
      <c r="D794" s="86" t="n"/>
    </row>
    <row r="795" ht="15.75" customHeight="1">
      <c r="D795" s="86" t="n"/>
    </row>
    <row r="796" ht="15.75" customHeight="1">
      <c r="D796" s="86" t="n"/>
    </row>
    <row r="797" ht="15.75" customHeight="1">
      <c r="D797" s="86" t="n"/>
    </row>
    <row r="798" ht="15.75" customHeight="1">
      <c r="D798" s="86" t="n"/>
    </row>
    <row r="799" ht="15.75" customHeight="1">
      <c r="D799" s="86" t="n"/>
    </row>
    <row r="800" ht="15.75" customHeight="1">
      <c r="D800" s="86" t="n"/>
    </row>
    <row r="801" ht="15.75" customHeight="1">
      <c r="D801" s="86" t="n"/>
    </row>
    <row r="802" ht="15.75" customHeight="1">
      <c r="D802" s="86" t="n"/>
    </row>
    <row r="803" ht="15.75" customHeight="1">
      <c r="D803" s="86" t="n"/>
    </row>
    <row r="804" ht="15.75" customHeight="1">
      <c r="D804" s="86" t="n"/>
    </row>
    <row r="805" ht="15.75" customHeight="1">
      <c r="D805" s="86" t="n"/>
    </row>
    <row r="806" ht="15.75" customHeight="1">
      <c r="D806" s="86" t="n"/>
    </row>
    <row r="807" ht="15.75" customHeight="1">
      <c r="D807" s="86" t="n"/>
    </row>
    <row r="808" ht="15.75" customHeight="1">
      <c r="D808" s="86" t="n"/>
    </row>
    <row r="809" ht="15.75" customHeight="1">
      <c r="D809" s="86" t="n"/>
    </row>
    <row r="810" ht="15.75" customHeight="1">
      <c r="D810" s="86" t="n"/>
    </row>
    <row r="811" ht="15.75" customHeight="1">
      <c r="D811" s="86" t="n"/>
    </row>
    <row r="812" ht="15.75" customHeight="1">
      <c r="D812" s="86" t="n"/>
    </row>
    <row r="813" ht="15.75" customHeight="1">
      <c r="D813" s="86" t="n"/>
    </row>
    <row r="814" ht="15.75" customHeight="1">
      <c r="D814" s="86" t="n"/>
    </row>
    <row r="815" ht="15.75" customHeight="1">
      <c r="D815" s="86" t="n"/>
    </row>
    <row r="816" ht="15.75" customHeight="1">
      <c r="D816" s="86" t="n"/>
    </row>
    <row r="817" ht="15.75" customHeight="1">
      <c r="D817" s="86" t="n"/>
    </row>
    <row r="818" ht="15.75" customHeight="1">
      <c r="D818" s="86" t="n"/>
    </row>
    <row r="819" ht="15.75" customHeight="1">
      <c r="D819" s="86" t="n"/>
    </row>
    <row r="820" ht="15.75" customHeight="1">
      <c r="D820" s="86" t="n"/>
    </row>
    <row r="821" ht="15.75" customHeight="1">
      <c r="D821" s="86" t="n"/>
    </row>
    <row r="822" ht="15.75" customHeight="1">
      <c r="D822" s="86" t="n"/>
    </row>
    <row r="823" ht="15.75" customHeight="1">
      <c r="D823" s="86" t="n"/>
    </row>
    <row r="824" ht="15.75" customHeight="1">
      <c r="D824" s="86" t="n"/>
    </row>
    <row r="825" ht="15.75" customHeight="1">
      <c r="D825" s="86" t="n"/>
    </row>
    <row r="826" ht="15.75" customHeight="1">
      <c r="D826" s="86" t="n"/>
    </row>
    <row r="827" ht="15.75" customHeight="1">
      <c r="D827" s="86" t="n"/>
    </row>
    <row r="828" ht="15.75" customHeight="1">
      <c r="D828" s="86" t="n"/>
    </row>
    <row r="829" ht="15.75" customHeight="1">
      <c r="D829" s="86" t="n"/>
    </row>
    <row r="830" ht="15.75" customHeight="1">
      <c r="D830" s="86" t="n"/>
    </row>
    <row r="831" ht="15.75" customHeight="1">
      <c r="D831" s="86" t="n"/>
    </row>
    <row r="832" ht="15.75" customHeight="1">
      <c r="D832" s="86" t="n"/>
    </row>
    <row r="833" ht="15.75" customHeight="1">
      <c r="D833" s="86" t="n"/>
    </row>
    <row r="834" ht="15.75" customHeight="1">
      <c r="D834" s="86" t="n"/>
    </row>
    <row r="835" ht="15.75" customHeight="1">
      <c r="D835" s="86" t="n"/>
    </row>
    <row r="836" ht="15.75" customHeight="1">
      <c r="D836" s="86" t="n"/>
    </row>
    <row r="837" ht="15.75" customHeight="1">
      <c r="D837" s="86" t="n"/>
    </row>
    <row r="838" ht="15.75" customHeight="1">
      <c r="D838" s="86" t="n"/>
    </row>
    <row r="839" ht="15.75" customHeight="1">
      <c r="D839" s="86" t="n"/>
    </row>
    <row r="840" ht="15.75" customHeight="1">
      <c r="D840" s="86" t="n"/>
    </row>
    <row r="841" ht="15.75" customHeight="1">
      <c r="D841" s="86" t="n"/>
    </row>
    <row r="842" ht="15.75" customHeight="1">
      <c r="D842" s="86" t="n"/>
    </row>
    <row r="843" ht="15.75" customHeight="1">
      <c r="D843" s="86" t="n"/>
    </row>
    <row r="844" ht="15.75" customHeight="1">
      <c r="D844" s="86" t="n"/>
    </row>
    <row r="845" ht="15.75" customHeight="1">
      <c r="D845" s="86" t="n"/>
    </row>
    <row r="846" ht="15.75" customHeight="1">
      <c r="D846" s="86" t="n"/>
    </row>
    <row r="847" ht="15.75" customHeight="1">
      <c r="D847" s="86" t="n"/>
    </row>
    <row r="848" ht="15.75" customHeight="1">
      <c r="D848" s="86" t="n"/>
    </row>
    <row r="849" ht="15.75" customHeight="1">
      <c r="D849" s="86" t="n"/>
    </row>
    <row r="850" ht="15.75" customHeight="1">
      <c r="D850" s="86" t="n"/>
    </row>
    <row r="851" ht="15.75" customHeight="1">
      <c r="D851" s="86" t="n"/>
    </row>
    <row r="852" ht="15.75" customHeight="1">
      <c r="D852" s="86" t="n"/>
    </row>
    <row r="853" ht="15.75" customHeight="1">
      <c r="D853" s="86" t="n"/>
    </row>
    <row r="854" ht="15.75" customHeight="1">
      <c r="D854" s="86" t="n"/>
    </row>
    <row r="855" ht="15.75" customHeight="1">
      <c r="D855" s="86" t="n"/>
    </row>
    <row r="856" ht="15.75" customHeight="1">
      <c r="D856" s="86" t="n"/>
    </row>
    <row r="857" ht="15.75" customHeight="1">
      <c r="D857" s="86" t="n"/>
    </row>
    <row r="858" ht="15.75" customHeight="1">
      <c r="D858" s="86" t="n"/>
    </row>
    <row r="859" ht="15.75" customHeight="1">
      <c r="D859" s="86" t="n"/>
    </row>
    <row r="860" ht="15.75" customHeight="1">
      <c r="D860" s="86" t="n"/>
    </row>
    <row r="861" ht="15.75" customHeight="1">
      <c r="D861" s="86" t="n"/>
    </row>
    <row r="862" ht="15.75" customHeight="1">
      <c r="D862" s="86" t="n"/>
    </row>
    <row r="863" ht="15.75" customHeight="1">
      <c r="D863" s="86" t="n"/>
    </row>
    <row r="864" ht="15.75" customHeight="1">
      <c r="D864" s="86" t="n"/>
    </row>
    <row r="865" ht="15.75" customHeight="1">
      <c r="D865" s="86" t="n"/>
    </row>
    <row r="866" ht="15.75" customHeight="1">
      <c r="D866" s="86" t="n"/>
    </row>
    <row r="867" ht="15.75" customHeight="1">
      <c r="D867" s="86" t="n"/>
    </row>
    <row r="868" ht="15.75" customHeight="1">
      <c r="D868" s="86" t="n"/>
    </row>
    <row r="869" ht="15.75" customHeight="1">
      <c r="D869" s="86" t="n"/>
    </row>
    <row r="870" ht="15.75" customHeight="1">
      <c r="D870" s="86" t="n"/>
    </row>
    <row r="871" ht="15.75" customHeight="1">
      <c r="D871" s="86" t="n"/>
    </row>
    <row r="872" ht="15.75" customHeight="1">
      <c r="D872" s="86" t="n"/>
    </row>
    <row r="873" ht="15.75" customHeight="1">
      <c r="D873" s="86" t="n"/>
    </row>
    <row r="874" ht="15.75" customHeight="1">
      <c r="D874" s="86" t="n"/>
    </row>
    <row r="875" ht="15.75" customHeight="1">
      <c r="D875" s="86" t="n"/>
    </row>
    <row r="876" ht="15.75" customHeight="1">
      <c r="D876" s="86" t="n"/>
    </row>
    <row r="877" ht="15.75" customHeight="1">
      <c r="D877" s="86" t="n"/>
    </row>
    <row r="878" ht="15.75" customHeight="1">
      <c r="D878" s="86" t="n"/>
    </row>
    <row r="879" ht="15.75" customHeight="1">
      <c r="D879" s="86" t="n"/>
    </row>
    <row r="880" ht="15.75" customHeight="1">
      <c r="D880" s="86" t="n"/>
    </row>
    <row r="881" ht="15.75" customHeight="1">
      <c r="D881" s="86" t="n"/>
    </row>
    <row r="882" ht="15.75" customHeight="1">
      <c r="D882" s="86" t="n"/>
    </row>
    <row r="883" ht="15.75" customHeight="1">
      <c r="D883" s="86" t="n"/>
    </row>
    <row r="884" ht="15.75" customHeight="1">
      <c r="D884" s="86" t="n"/>
    </row>
    <row r="885" ht="15.75" customHeight="1">
      <c r="D885" s="86" t="n"/>
    </row>
    <row r="886" ht="15.75" customHeight="1">
      <c r="D886" s="86" t="n"/>
    </row>
    <row r="887" ht="15.75" customHeight="1">
      <c r="D887" s="86" t="n"/>
    </row>
    <row r="888" ht="15.75" customHeight="1">
      <c r="D888" s="86" t="n"/>
    </row>
    <row r="889" ht="15.75" customHeight="1">
      <c r="D889" s="86" t="n"/>
    </row>
    <row r="890" ht="15.75" customHeight="1">
      <c r="D890" s="86" t="n"/>
    </row>
    <row r="891" ht="15.75" customHeight="1">
      <c r="D891" s="86" t="n"/>
    </row>
    <row r="892" ht="15.75" customHeight="1">
      <c r="D892" s="86" t="n"/>
    </row>
    <row r="893" ht="15.75" customHeight="1">
      <c r="D893" s="86" t="n"/>
    </row>
    <row r="894" ht="15.75" customHeight="1">
      <c r="D894" s="86" t="n"/>
    </row>
    <row r="895" ht="15.75" customHeight="1">
      <c r="D895" s="86" t="n"/>
    </row>
    <row r="896" ht="15.75" customHeight="1">
      <c r="D896" s="86" t="n"/>
    </row>
    <row r="897" ht="15.75" customHeight="1">
      <c r="D897" s="86" t="n"/>
    </row>
    <row r="898" ht="15.75" customHeight="1">
      <c r="D898" s="86" t="n"/>
    </row>
    <row r="899" ht="15.75" customHeight="1">
      <c r="D899" s="86" t="n"/>
    </row>
    <row r="900" ht="15.75" customHeight="1">
      <c r="D900" s="86" t="n"/>
    </row>
    <row r="901" ht="15.75" customHeight="1">
      <c r="D901" s="86" t="n"/>
    </row>
    <row r="902" ht="15.75" customHeight="1">
      <c r="D902" s="86" t="n"/>
    </row>
    <row r="903" ht="15.75" customHeight="1">
      <c r="D903" s="86" t="n"/>
    </row>
    <row r="904" ht="15.75" customHeight="1">
      <c r="D904" s="86" t="n"/>
    </row>
    <row r="905" ht="15.75" customHeight="1">
      <c r="D905" s="86" t="n"/>
    </row>
    <row r="906" ht="15.75" customHeight="1">
      <c r="D906" s="86" t="n"/>
    </row>
    <row r="907" ht="15.75" customHeight="1">
      <c r="D907" s="86" t="n"/>
    </row>
    <row r="908" ht="15.75" customHeight="1">
      <c r="D908" s="86" t="n"/>
    </row>
    <row r="909" ht="15.75" customHeight="1">
      <c r="D909" s="86" t="n"/>
    </row>
    <row r="910" ht="15.75" customHeight="1">
      <c r="D910" s="86" t="n"/>
    </row>
    <row r="911" ht="15.75" customHeight="1">
      <c r="D911" s="86" t="n"/>
    </row>
    <row r="912" ht="15.75" customHeight="1">
      <c r="D912" s="86" t="n"/>
    </row>
    <row r="913" ht="15.75" customHeight="1">
      <c r="D913" s="86" t="n"/>
    </row>
    <row r="914" ht="15.75" customHeight="1">
      <c r="D914" s="86" t="n"/>
    </row>
    <row r="915" ht="15.75" customHeight="1">
      <c r="D915" s="86" t="n"/>
    </row>
    <row r="916" ht="15.75" customHeight="1">
      <c r="D916" s="86" t="n"/>
    </row>
    <row r="917" ht="15.75" customHeight="1">
      <c r="D917" s="86" t="n"/>
    </row>
    <row r="918" ht="15.75" customHeight="1">
      <c r="D918" s="86" t="n"/>
    </row>
    <row r="919" ht="15.75" customHeight="1">
      <c r="D919" s="86" t="n"/>
    </row>
    <row r="920" ht="15.75" customHeight="1">
      <c r="D920" s="86" t="n"/>
    </row>
    <row r="921" ht="15.75" customHeight="1">
      <c r="D921" s="86" t="n"/>
    </row>
    <row r="922" ht="15.75" customHeight="1">
      <c r="D922" s="86" t="n"/>
    </row>
    <row r="923" ht="15.75" customHeight="1">
      <c r="D923" s="86" t="n"/>
    </row>
    <row r="924" ht="15.75" customHeight="1">
      <c r="D924" s="86" t="n"/>
    </row>
    <row r="925" ht="15.75" customHeight="1">
      <c r="D925" s="86" t="n"/>
    </row>
    <row r="926" ht="15.75" customHeight="1">
      <c r="D926" s="86" t="n"/>
    </row>
    <row r="927" ht="15.75" customHeight="1">
      <c r="D927" s="86" t="n"/>
    </row>
    <row r="928" ht="15.75" customHeight="1">
      <c r="D928" s="86" t="n"/>
    </row>
    <row r="929" ht="15.75" customHeight="1">
      <c r="D929" s="86" t="n"/>
    </row>
    <row r="930" ht="15.75" customHeight="1">
      <c r="D930" s="86" t="n"/>
    </row>
    <row r="931" ht="15.75" customHeight="1">
      <c r="D931" s="86" t="n"/>
    </row>
    <row r="932" ht="15.75" customHeight="1">
      <c r="D932" s="86" t="n"/>
    </row>
    <row r="933" ht="15.75" customHeight="1">
      <c r="D933" s="86" t="n"/>
    </row>
    <row r="934" ht="15.75" customHeight="1">
      <c r="D934" s="86" t="n"/>
    </row>
    <row r="935" ht="15.75" customHeight="1">
      <c r="D935" s="86" t="n"/>
    </row>
    <row r="936" ht="15.75" customHeight="1">
      <c r="D936" s="86" t="n"/>
    </row>
    <row r="937" ht="15.75" customHeight="1">
      <c r="D937" s="86" t="n"/>
    </row>
    <row r="938" ht="15.75" customHeight="1">
      <c r="D938" s="86" t="n"/>
    </row>
    <row r="939" ht="15.75" customHeight="1">
      <c r="D939" s="86" t="n"/>
    </row>
    <row r="940" ht="15.75" customHeight="1">
      <c r="D940" s="86" t="n"/>
    </row>
    <row r="941" ht="15.75" customHeight="1">
      <c r="D941" s="86" t="n"/>
    </row>
    <row r="942" ht="15.75" customHeight="1">
      <c r="D942" s="86" t="n"/>
    </row>
    <row r="943" ht="15.75" customHeight="1">
      <c r="D943" s="86" t="n"/>
    </row>
    <row r="944" ht="15.75" customHeight="1">
      <c r="D944" s="86" t="n"/>
    </row>
    <row r="945" ht="15.75" customHeight="1">
      <c r="D945" s="86" t="n"/>
    </row>
    <row r="946" ht="15.75" customHeight="1">
      <c r="D946" s="86" t="n"/>
    </row>
    <row r="947" ht="15.75" customHeight="1">
      <c r="D947" s="86" t="n"/>
    </row>
    <row r="948" ht="15.75" customHeight="1">
      <c r="D948" s="86" t="n"/>
    </row>
    <row r="949" ht="15.75" customHeight="1">
      <c r="D949" s="86" t="n"/>
    </row>
    <row r="950" ht="15.75" customHeight="1">
      <c r="D950" s="86" t="n"/>
    </row>
    <row r="951" ht="15.75" customHeight="1">
      <c r="D951" s="86" t="n"/>
    </row>
    <row r="952" ht="15.75" customHeight="1">
      <c r="D952" s="86" t="n"/>
    </row>
    <row r="953" ht="15.75" customHeight="1">
      <c r="D953" s="86" t="n"/>
    </row>
    <row r="954" ht="15.75" customHeight="1">
      <c r="D954" s="86" t="n"/>
    </row>
    <row r="955" ht="15.75" customHeight="1">
      <c r="D955" s="86" t="n"/>
    </row>
    <row r="956" ht="15.75" customHeight="1">
      <c r="D956" s="86" t="n"/>
    </row>
    <row r="957" ht="15.75" customHeight="1">
      <c r="D957" s="86" t="n"/>
    </row>
    <row r="958" ht="15.75" customHeight="1">
      <c r="D958" s="86" t="n"/>
    </row>
    <row r="959" ht="15.75" customHeight="1">
      <c r="D959" s="86" t="n"/>
    </row>
    <row r="960" ht="15.75" customHeight="1">
      <c r="D960" s="86" t="n"/>
    </row>
    <row r="961" ht="15.75" customHeight="1">
      <c r="D961" s="86" t="n"/>
    </row>
    <row r="962" ht="15.75" customHeight="1">
      <c r="D962" s="86" t="n"/>
    </row>
    <row r="963" ht="15.75" customHeight="1">
      <c r="D963" s="86" t="n"/>
    </row>
    <row r="964" ht="15.75" customHeight="1">
      <c r="D964" s="86" t="n"/>
    </row>
    <row r="965" ht="15.75" customHeight="1">
      <c r="D965" s="86" t="n"/>
    </row>
    <row r="966" ht="15.75" customHeight="1">
      <c r="D966" s="86" t="n"/>
    </row>
    <row r="967" ht="15.75" customHeight="1">
      <c r="D967" s="86" t="n"/>
    </row>
    <row r="968" ht="15.75" customHeight="1">
      <c r="D968" s="86" t="n"/>
    </row>
    <row r="969" ht="15.75" customHeight="1">
      <c r="D969" s="86" t="n"/>
    </row>
    <row r="970" ht="15.75" customHeight="1">
      <c r="D970" s="86" t="n"/>
    </row>
    <row r="971" ht="15.75" customHeight="1">
      <c r="D971" s="86" t="n"/>
    </row>
    <row r="972" ht="15.75" customHeight="1">
      <c r="D972" s="86" t="n"/>
    </row>
    <row r="973" ht="15.75" customHeight="1">
      <c r="D973" s="86" t="n"/>
    </row>
    <row r="974" ht="15.75" customHeight="1">
      <c r="D974" s="86" t="n"/>
    </row>
    <row r="975" ht="15.75" customHeight="1">
      <c r="D975" s="86" t="n"/>
    </row>
    <row r="976" ht="16" customHeight="1">
      <c r="D976" s="86" t="n"/>
    </row>
    <row r="977" ht="16" customHeight="1">
      <c r="D977" s="86" t="n"/>
    </row>
    <row r="978" ht="16" customHeight="1">
      <c r="D978" s="86" t="n"/>
    </row>
    <row r="979" ht="16" customHeight="1">
      <c r="D979" s="86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Dmytro Lisenbart</dc:creator>
  <dcterms:created xmlns:dcterms="http://purl.org/dc/terms/" xmlns:xsi="http://www.w3.org/2001/XMLSchema-instance" xsi:type="dcterms:W3CDTF">2021-11-04T15:53:12Z</dcterms:created>
  <dcterms:modified xmlns:dcterms="http://purl.org/dc/terms/" xmlns:xsi="http://www.w3.org/2001/XMLSchema-instance" xsi:type="dcterms:W3CDTF">2026-10-07T20:17:05Z</dcterms:modified>
  <cp:lastModifiedBy>Dmytro Lisenbart</cp:lastModifiedBy>
</cp:coreProperties>
</file>