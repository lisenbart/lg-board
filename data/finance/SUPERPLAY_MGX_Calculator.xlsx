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51200" windowHeight="28300" tabRatio="600" firstSheet="0" activeTab="0" autoFilterDateGrouping="1"/>
  </bookViews>
  <sheets>
    <sheet xmlns:r="http://schemas.openxmlformats.org/officeDocument/2006/relationships" name="October 26" sheetId="1" state="visible" r:id="rId1"/>
    <sheet xmlns:r="http://schemas.openxmlformats.org/officeDocument/2006/relationships" name="Employeers" sheetId="2" state="visible" r:id="rId2"/>
    <sheet xmlns:r="http://schemas.openxmlformats.org/officeDocument/2006/relationships" name="July 2026" sheetId="3" state="visible" r:id="rId3"/>
    <sheet xmlns:r="http://schemas.openxmlformats.org/officeDocument/2006/relationships" name="June 2026" sheetId="4" state="visible" r:id="rId4"/>
    <sheet xmlns:r="http://schemas.openxmlformats.org/officeDocument/2006/relationships" name="May 2026" sheetId="5" state="visible" r:id="rId5"/>
    <sheet xmlns:r="http://schemas.openxmlformats.org/officeDocument/2006/relationships" name="April 2026" sheetId="6" state="visible" r:id="rId6"/>
    <sheet xmlns:r="http://schemas.openxmlformats.org/officeDocument/2006/relationships" name="March 2026" sheetId="7" state="visible" r:id="rId7"/>
    <sheet xmlns:r="http://schemas.openxmlformats.org/officeDocument/2006/relationships" name="February 2026" sheetId="8" state="visible" r:id="rId8"/>
    <sheet xmlns:r="http://schemas.openxmlformats.org/officeDocument/2006/relationships" name="January 2026" sheetId="9" state="visible" r:id="rId9"/>
    <sheet xmlns:r="http://schemas.openxmlformats.org/officeDocument/2006/relationships" name="December 25" sheetId="10" state="visible" r:id="rId10"/>
    <sheet xmlns:r="http://schemas.openxmlformats.org/officeDocument/2006/relationships" name="November 25" sheetId="11" state="visible" r:id="rId11"/>
    <sheet xmlns:r="http://schemas.openxmlformats.org/officeDocument/2006/relationships" name="October 25" sheetId="12" state="visible" r:id="rId12"/>
    <sheet xmlns:r="http://schemas.openxmlformats.org/officeDocument/2006/relationships" name="September 25" sheetId="13" state="visible" r:id="rId13"/>
    <sheet xmlns:r="http://schemas.openxmlformats.org/officeDocument/2006/relationships" name="August 25" sheetId="14" state="visible" r:id="rId14"/>
    <sheet xmlns:r="http://schemas.openxmlformats.org/officeDocument/2006/relationships" name="July 25" sheetId="15" state="visible" r:id="rId15"/>
    <sheet xmlns:r="http://schemas.openxmlformats.org/officeDocument/2006/relationships" name="June 25" sheetId="16" state="visible" r:id="rId16"/>
    <sheet xmlns:r="http://schemas.openxmlformats.org/officeDocument/2006/relationships" name="May 25" sheetId="17" state="visible" r:id="rId17"/>
    <sheet xmlns:r="http://schemas.openxmlformats.org/officeDocument/2006/relationships" name="April 25" sheetId="18" state="visible" r:id="rId18"/>
    <sheet xmlns:r="http://schemas.openxmlformats.org/officeDocument/2006/relationships" name="March 25" sheetId="19" state="visible" r:id="rId19"/>
    <sheet xmlns:r="http://schemas.openxmlformats.org/officeDocument/2006/relationships" name="February 25" sheetId="20" state="visible" r:id="rId20"/>
    <sheet xmlns:r="http://schemas.openxmlformats.org/officeDocument/2006/relationships" name="January 25" sheetId="21" state="visible" r:id="rId21"/>
    <sheet xmlns:r="http://schemas.openxmlformats.org/officeDocument/2006/relationships" name="December 24" sheetId="22" state="visible" r:id="rId22"/>
    <sheet xmlns:r="http://schemas.openxmlformats.org/officeDocument/2006/relationships" name="November 24" sheetId="23" state="visible" r:id="rId23"/>
    <sheet xmlns:r="http://schemas.openxmlformats.org/officeDocument/2006/relationships" name="October 24" sheetId="24" state="visible" r:id="rId24"/>
    <sheet xmlns:r="http://schemas.openxmlformats.org/officeDocument/2006/relationships" name="September 24" sheetId="25" state="visible" r:id="rId25"/>
    <sheet xmlns:r="http://schemas.openxmlformats.org/officeDocument/2006/relationships" name="August 24" sheetId="26" state="visible" r:id="rId26"/>
    <sheet xmlns:r="http://schemas.openxmlformats.org/officeDocument/2006/relationships" name="July 24" sheetId="27" state="visible" r:id="rId27"/>
    <sheet xmlns:r="http://schemas.openxmlformats.org/officeDocument/2006/relationships" name="June 24" sheetId="28" state="visible" r:id="rId28"/>
    <sheet xmlns:r="http://schemas.openxmlformats.org/officeDocument/2006/relationships" name="Invoices" sheetId="29" state="visible" r:id="rId2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\ [$₴-422]"/>
    <numFmt numFmtId="165" formatCode="[$$-409]#,##0"/>
    <numFmt numFmtId="166" formatCode="#,##0.00\ [$USD]"/>
  </numFmts>
  <fonts count="86">
    <font>
      <name val="Calibri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Calibri"/>
      <family val="2"/>
      <color rgb="FF000000"/>
      <sz val="12"/>
    </font>
    <font>
      <name val="Calibri"/>
      <family val="2"/>
      <color rgb="FFF2F2F2"/>
      <sz val="12"/>
    </font>
    <font>
      <name val="Calibri"/>
      <family val="2"/>
      <color rgb="FFBFBFBF"/>
      <sz val="12"/>
    </font>
    <font>
      <name val="Helvetica"/>
      <family val="2"/>
      <color rgb="FF000000"/>
      <sz val="12"/>
    </font>
    <font>
      <name val="Arial"/>
      <family val="2"/>
      <color theme="1"/>
      <sz val="10"/>
    </font>
    <font>
      <name val="Helvetica"/>
      <family val="2"/>
      <b val="1"/>
      <color rgb="FF000000"/>
      <sz val="12"/>
    </font>
    <font>
      <name val="Helvetica"/>
      <family val="2"/>
      <color theme="1"/>
      <sz val="12"/>
    </font>
    <font>
      <name val="Helvetica"/>
      <family val="2"/>
      <b val="1"/>
      <color rgb="FF000000"/>
      <sz val="16"/>
    </font>
    <font>
      <name val="Helvetica Neue"/>
      <family val="2"/>
      <color rgb="FF000000"/>
      <sz val="12"/>
    </font>
    <font>
      <name val="Calibri"/>
      <family val="2"/>
      <b val="1"/>
      <color theme="1"/>
      <sz val="18"/>
      <scheme val="minor"/>
    </font>
    <font>
      <name val="Calibri"/>
      <family val="2"/>
      <color rgb="FF000000"/>
      <sz val="12"/>
      <scheme val="minor"/>
    </font>
    <font>
      <name val="Calibri"/>
      <family val="2"/>
      <sz val="12"/>
    </font>
    <font>
      <name val="Arial"/>
      <family val="1"/>
      <sz val="11"/>
    </font>
    <font>
      <name val="Arial"/>
      <family val="2"/>
      <color rgb="FF000000"/>
      <sz val="12"/>
    </font>
    <font>
      <name val="Roboto"/>
      <color rgb="FF323338"/>
      <sz val="12"/>
    </font>
    <font>
      <name val="Helvetica Neue"/>
      <family val="2"/>
      <color theme="1"/>
      <sz val="12"/>
    </font>
    <font>
      <name val="Helvetica"/>
      <family val="2"/>
      <color rgb="FF323338"/>
      <sz val="12"/>
    </font>
    <font>
      <name val="Helvetica Neue"/>
      <family val="2"/>
      <color rgb="FF323338"/>
      <sz val="12"/>
    </font>
    <font>
      <name val="Arial"/>
      <family val="2"/>
      <color rgb="FF222222"/>
      <sz val="12"/>
    </font>
    <font>
      <name val="Helvetica Neue"/>
      <family val="2"/>
      <color rgb="FF222222"/>
      <sz val="12"/>
    </font>
    <font>
      <name val="Calibri"/>
      <family val="2"/>
      <color rgb="FF222222"/>
      <sz val="12"/>
    </font>
    <font>
      <name val="Calibri"/>
      <family val="2"/>
      <color rgb="FF323338"/>
      <sz val="12"/>
    </font>
    <font>
      <name val="Calibri"/>
      <b val="1"/>
      <sz val="11"/>
    </font>
    <font>
      <name val="Calibri"/>
      <sz val="11"/>
    </font>
  </fonts>
  <fills count="40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A8D08D"/>
        <bgColor rgb="FFA8D08D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7F7F7F"/>
        <bgColor rgb="FF7F7F7F"/>
      </patternFill>
    </fill>
    <fill>
      <patternFill patternType="solid">
        <fgColor rgb="FF595959"/>
        <bgColor rgb="FF595959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B0F0"/>
      </patternFill>
    </fill>
    <fill>
      <patternFill patternType="solid">
        <fgColor rgb="FFC7AFEF"/>
        <bgColor rgb="FFC7AFEF"/>
      </patternFill>
    </fill>
    <fill>
      <patternFill patternType="solid">
        <fgColor theme="5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5"/>
        <bgColor theme="5"/>
      </patternFill>
    </fill>
    <fill>
      <patternFill patternType="solid">
        <fgColor rgb="FFEFEFEF"/>
        <bgColor rgb="FFEFEFEF"/>
      </patternFill>
    </fill>
    <fill>
      <patternFill patternType="solid">
        <fgColor rgb="FF59BBFF"/>
        <bgColor rgb="FF59BBFF"/>
      </patternFill>
    </fill>
    <fill>
      <patternFill patternType="solid">
        <fgColor rgb="00D8D8D8"/>
      </patternFill>
    </fill>
    <fill>
      <patternFill patternType="solid">
        <fgColor rgb="009DC3E6"/>
      </patternFill>
    </fill>
    <fill>
      <patternFill patternType="solid">
        <fgColor rgb="009d50dd"/>
      </patternFill>
    </fill>
    <fill>
      <patternFill patternType="solid">
        <fgColor rgb="0092D050"/>
      </patternFill>
    </fill>
    <fill>
      <patternFill patternType="solid">
        <fgColor rgb="00FFC15A"/>
      </patternFill>
    </fill>
    <fill>
      <patternFill patternType="solid">
        <fgColor rgb="00FF9EC8"/>
      </patternFill>
    </fill>
    <fill>
      <patternFill patternType="solid">
        <fgColor rgb="00BFBFBF"/>
      </patternFill>
    </fill>
    <fill>
      <patternFill patternType="solid">
        <fgColor rgb="00FFB38A"/>
      </patternFill>
    </fill>
    <fill>
      <patternFill patternType="solid">
        <fgColor rgb="00D9EAD3"/>
      </patternFill>
    </fill>
    <fill>
      <patternFill patternType="solid">
        <fgColor rgb="00FCE4D6"/>
      </patternFill>
    </fill>
    <fill>
      <patternFill patternType="solid">
        <fgColor rgb="00C9DAF8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hair">
        <color rgb="00B4B4B4"/>
      </left>
      <right style="hair">
        <color rgb="00B4B4B4"/>
      </right>
      <top style="hair">
        <color rgb="00B4B4B4"/>
      </top>
      <bottom style="hair">
        <color rgb="00B4B4B4"/>
      </bottom>
    </border>
  </borders>
  <cellStyleXfs count="3">
    <xf numFmtId="0" fontId="0" fillId="0" borderId="0"/>
    <xf numFmtId="0" fontId="58" fillId="0" borderId="0"/>
    <xf numFmtId="0" fontId="58" fillId="0" borderId="0"/>
  </cellStyleXfs>
  <cellXfs count="22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 vertical="center"/>
    </xf>
    <xf numFmtId="1" fontId="58" fillId="0" borderId="0" applyAlignment="1" pivotButton="0" quotePrefix="0" xfId="0">
      <alignment horizontal="right" vertical="center"/>
    </xf>
    <xf numFmtId="1" fontId="58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" fontId="56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1" fontId="55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" fontId="0" fillId="3" borderId="0" applyAlignment="1" pivotButton="0" quotePrefix="0" xfId="0">
      <alignment horizontal="center" vertical="center"/>
    </xf>
    <xf numFmtId="1" fontId="54" fillId="0" borderId="0" applyAlignment="1" pivotButton="0" quotePrefix="0" xfId="0">
      <alignment horizontal="center"/>
    </xf>
    <xf numFmtId="0" fontId="57" fillId="4" borderId="0" applyAlignment="1" pivotButton="0" quotePrefix="0" xfId="0">
      <alignment horizontal="center" vertical="center"/>
    </xf>
    <xf numFmtId="0" fontId="57" fillId="5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left"/>
    </xf>
    <xf numFmtId="0" fontId="52" fillId="0" borderId="0" applyAlignment="1" pivotButton="0" quotePrefix="0" xfId="0">
      <alignment horizontal="left"/>
    </xf>
    <xf numFmtId="14" fontId="5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51" fillId="0" borderId="0" applyAlignment="1" pivotButton="0" quotePrefix="0" xfId="0">
      <alignment horizontal="center" vertical="center"/>
    </xf>
    <xf numFmtId="1" fontId="60" fillId="3" borderId="0" applyAlignment="1" pivotButton="0" quotePrefix="0" xfId="0">
      <alignment horizontal="center"/>
    </xf>
    <xf numFmtId="1" fontId="51" fillId="3" borderId="0" applyAlignment="1" pivotButton="0" quotePrefix="0" xfId="0">
      <alignment horizontal="center"/>
    </xf>
    <xf numFmtId="1" fontId="51" fillId="3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left"/>
    </xf>
    <xf numFmtId="1" fontId="50" fillId="3" borderId="0" applyAlignment="1" pivotButton="0" quotePrefix="0" xfId="0">
      <alignment horizontal="center" vertical="center"/>
    </xf>
    <xf numFmtId="165" fontId="51" fillId="0" borderId="0" applyAlignment="1" pivotButton="0" quotePrefix="0" xfId="0">
      <alignment horizontal="right" vertical="center"/>
    </xf>
    <xf numFmtId="1" fontId="58" fillId="7" borderId="0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/>
    </xf>
    <xf numFmtId="0" fontId="48" fillId="3" borderId="0" applyAlignment="1" pivotButton="0" quotePrefix="0" xfId="0">
      <alignment horizontal="center" vertical="center"/>
    </xf>
    <xf numFmtId="165" fontId="48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center" vertical="center"/>
    </xf>
    <xf numFmtId="0" fontId="48" fillId="6" borderId="0" applyAlignment="1" pivotButton="0" quotePrefix="0" xfId="0">
      <alignment horizontal="center" vertical="center"/>
    </xf>
    <xf numFmtId="1" fontId="48" fillId="4" borderId="0" applyAlignment="1" pivotButton="0" quotePrefix="0" xfId="0">
      <alignment horizontal="center" vertical="center"/>
    </xf>
    <xf numFmtId="165" fontId="60" fillId="0" borderId="0" applyAlignment="1" pivotButton="0" quotePrefix="0" xfId="0">
      <alignment horizontal="right" vertical="center"/>
    </xf>
    <xf numFmtId="1" fontId="48" fillId="0" borderId="0" applyAlignment="1" pivotButton="0" quotePrefix="0" xfId="0">
      <alignment horizontal="right" vertical="center"/>
    </xf>
    <xf numFmtId="0" fontId="47" fillId="0" borderId="0" applyAlignment="1" pivotButton="0" quotePrefix="0" xfId="0">
      <alignment horizontal="center" vertical="center"/>
    </xf>
    <xf numFmtId="1" fontId="47" fillId="3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/>
    </xf>
    <xf numFmtId="0" fontId="45" fillId="0" borderId="0" applyAlignment="1" pivotButton="0" quotePrefix="0" xfId="0">
      <alignment horizontal="center" vertical="center"/>
    </xf>
    <xf numFmtId="0" fontId="44" fillId="0" borderId="0" pivotButton="0" quotePrefix="0" xfId="1"/>
    <xf numFmtId="0" fontId="59" fillId="0" borderId="0" applyAlignment="1" pivotButton="0" quotePrefix="0" xfId="1">
      <alignment horizontal="center" vertical="center"/>
    </xf>
    <xf numFmtId="0" fontId="62" fillId="0" borderId="0" applyAlignment="1" pivotButton="0" quotePrefix="0" xfId="1">
      <alignment horizontal="center" vertical="center"/>
    </xf>
    <xf numFmtId="49" fontId="62" fillId="0" borderId="0" applyAlignment="1" pivotButton="0" quotePrefix="0" xfId="1">
      <alignment horizontal="center" vertical="center"/>
    </xf>
    <xf numFmtId="0" fontId="62" fillId="0" borderId="0" pivotButton="0" quotePrefix="0" xfId="1"/>
    <xf numFmtId="49" fontId="62" fillId="0" borderId="0" pivotButton="0" quotePrefix="0" xfId="1"/>
    <xf numFmtId="0" fontId="62" fillId="8" borderId="0" applyAlignment="1" pivotButton="0" quotePrefix="0" xfId="1">
      <alignment horizontal="center" vertical="center"/>
    </xf>
    <xf numFmtId="0" fontId="62" fillId="9" borderId="0" applyAlignment="1" pivotButton="0" quotePrefix="0" xfId="1">
      <alignment horizontal="center" vertical="center"/>
    </xf>
    <xf numFmtId="0" fontId="62" fillId="10" borderId="0" applyAlignment="1" pivotButton="0" quotePrefix="0" xfId="1">
      <alignment horizontal="center" vertical="center"/>
    </xf>
    <xf numFmtId="0" fontId="63" fillId="11" borderId="0" applyAlignment="1" pivotButton="0" quotePrefix="0" xfId="1">
      <alignment horizontal="center" vertical="center"/>
    </xf>
    <xf numFmtId="49" fontId="64" fillId="12" borderId="0" applyAlignment="1" pivotButton="0" quotePrefix="0" xfId="1">
      <alignment horizontal="center" vertical="center"/>
    </xf>
    <xf numFmtId="0" fontId="62" fillId="0" borderId="0" applyAlignment="1" pivotButton="0" quotePrefix="0" xfId="1">
      <alignment horizontal="right"/>
    </xf>
    <xf numFmtId="49" fontId="62" fillId="0" borderId="0" applyAlignment="1" pivotButton="0" quotePrefix="0" xfId="1">
      <alignment horizontal="right"/>
    </xf>
    <xf numFmtId="1" fontId="43" fillId="0" borderId="0" applyAlignment="1" pivotButton="0" quotePrefix="0" xfId="0">
      <alignment horizontal="left" vertical="center"/>
    </xf>
    <xf numFmtId="1" fontId="42" fillId="3" borderId="0" applyAlignment="1" pivotButton="0" quotePrefix="0" xfId="0">
      <alignment horizontal="center"/>
    </xf>
    <xf numFmtId="0" fontId="49" fillId="3" borderId="0" applyAlignment="1" pivotButton="0" quotePrefix="0" xfId="0">
      <alignment horizontal="left"/>
    </xf>
    <xf numFmtId="14" fontId="55" fillId="3" borderId="0" applyAlignment="1" pivotButton="0" quotePrefix="0" xfId="0">
      <alignment horizontal="center" vertical="center"/>
    </xf>
    <xf numFmtId="165" fontId="0" fillId="3" borderId="0" applyAlignment="1" pivotButton="0" quotePrefix="0" xfId="0">
      <alignment horizontal="center" vertical="center"/>
    </xf>
    <xf numFmtId="165" fontId="60" fillId="3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left"/>
    </xf>
    <xf numFmtId="1" fontId="40" fillId="0" borderId="0" applyAlignment="1" pivotButton="0" quotePrefix="0" xfId="0">
      <alignment horizontal="left" vertical="center"/>
    </xf>
    <xf numFmtId="1" fontId="39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/>
    </xf>
    <xf numFmtId="165" fontId="0" fillId="2" borderId="0" applyAlignment="1" pivotButton="0" quotePrefix="0" xfId="0">
      <alignment horizontal="center" vertical="center"/>
    </xf>
    <xf numFmtId="1" fontId="60" fillId="2" borderId="0" applyAlignment="1" pivotButton="0" quotePrefix="0" xfId="0">
      <alignment horizontal="center"/>
    </xf>
    <xf numFmtId="1" fontId="50" fillId="2" borderId="0" applyAlignment="1" pivotButton="0" quotePrefix="0" xfId="0">
      <alignment horizontal="center" vertical="center"/>
    </xf>
    <xf numFmtId="1" fontId="42" fillId="2" borderId="0" applyAlignment="1" pivotButton="0" quotePrefix="0" xfId="0">
      <alignment horizontal="center"/>
    </xf>
    <xf numFmtId="1" fontId="51" fillId="2" borderId="0" applyAlignment="1" pivotButton="0" quotePrefix="0" xfId="0">
      <alignment horizontal="center"/>
    </xf>
    <xf numFmtId="1" fontId="51" fillId="2" borderId="0" applyAlignment="1" pivotButton="0" quotePrefix="0" xfId="0">
      <alignment horizontal="center" vertical="center"/>
    </xf>
    <xf numFmtId="1" fontId="48" fillId="2" borderId="0" applyAlignment="1" pivotButton="0" quotePrefix="0" xfId="0">
      <alignment horizontal="center" vertical="center"/>
    </xf>
    <xf numFmtId="0" fontId="48" fillId="2" borderId="0" applyAlignment="1" pivotButton="0" quotePrefix="0" xfId="0">
      <alignment horizontal="center" vertical="center"/>
    </xf>
    <xf numFmtId="0" fontId="48" fillId="2" borderId="0" applyAlignment="1" pivotButton="0" quotePrefix="0" xfId="0">
      <alignment horizontal="center"/>
    </xf>
    <xf numFmtId="1" fontId="47" fillId="2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/>
    </xf>
    <xf numFmtId="0" fontId="33" fillId="0" borderId="0" applyAlignment="1" pivotButton="0" quotePrefix="0" xfId="0">
      <alignment horizontal="left"/>
    </xf>
    <xf numFmtId="0" fontId="34" fillId="0" borderId="0" applyAlignment="1" pivotButton="0" quotePrefix="0" xfId="0">
      <alignment horizontal="left" vertical="center"/>
    </xf>
    <xf numFmtId="165" fontId="32" fillId="0" borderId="0" applyAlignment="1" pivotButton="0" quotePrefix="0" xfId="0">
      <alignment horizontal="right" vertical="center"/>
    </xf>
    <xf numFmtId="0" fontId="32" fillId="0" borderId="0" pivotButton="0" quotePrefix="0" xfId="2"/>
    <xf numFmtId="0" fontId="59" fillId="0" borderId="0" applyAlignment="1" pivotButton="0" quotePrefix="0" xfId="2">
      <alignment horizontal="center" vertical="center"/>
    </xf>
    <xf numFmtId="49" fontId="62" fillId="0" borderId="0" applyAlignment="1" pivotButton="0" quotePrefix="0" xfId="2">
      <alignment horizontal="right"/>
    </xf>
    <xf numFmtId="0" fontId="62" fillId="0" borderId="0" applyAlignment="1" pivotButton="0" quotePrefix="0" xfId="2">
      <alignment horizontal="right"/>
    </xf>
    <xf numFmtId="0" fontId="62" fillId="0" borderId="0" applyAlignment="1" pivotButton="0" quotePrefix="0" xfId="2">
      <alignment horizontal="center"/>
    </xf>
    <xf numFmtId="0" fontId="62" fillId="0" borderId="0" pivotButton="0" quotePrefix="0" xfId="2"/>
    <xf numFmtId="49" fontId="62" fillId="0" borderId="0" pivotButton="0" quotePrefix="0" xfId="2"/>
    <xf numFmtId="0" fontId="62" fillId="8" borderId="0" applyAlignment="1" pivotButton="0" quotePrefix="0" xfId="2">
      <alignment horizontal="center" vertical="center"/>
    </xf>
    <xf numFmtId="0" fontId="62" fillId="0" borderId="0" applyAlignment="1" pivotButton="0" quotePrefix="0" xfId="2">
      <alignment horizontal="center" vertical="center"/>
    </xf>
    <xf numFmtId="0" fontId="0" fillId="13" borderId="0" applyAlignment="1" pivotButton="0" quotePrefix="0" xfId="0">
      <alignment horizontal="center" vertical="center"/>
    </xf>
    <xf numFmtId="166" fontId="62" fillId="0" borderId="0" applyAlignment="1" pivotButton="0" quotePrefix="0" xfId="2">
      <alignment horizontal="right"/>
    </xf>
    <xf numFmtId="166" fontId="32" fillId="0" borderId="0" pivotButton="0" quotePrefix="0" xfId="2"/>
    <xf numFmtId="0" fontId="31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/>
    </xf>
    <xf numFmtId="0" fontId="0" fillId="1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/>
    </xf>
    <xf numFmtId="0" fontId="29" fillId="3" borderId="0" applyAlignment="1" pivotButton="0" quotePrefix="0" xfId="0">
      <alignment horizontal="center" vertical="center"/>
    </xf>
    <xf numFmtId="0" fontId="28" fillId="0" borderId="0" applyAlignment="1" pivotButton="0" quotePrefix="0" xfId="2">
      <alignment horizontal="center"/>
    </xf>
    <xf numFmtId="0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/>
    </xf>
    <xf numFmtId="0" fontId="65" fillId="0" borderId="0" pivotButton="0" quotePrefix="0" xfId="0"/>
    <xf numFmtId="0" fontId="26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1" fontId="60" fillId="3" borderId="0" applyAlignment="1" pivotButton="0" quotePrefix="0" xfId="0">
      <alignment horizontal="center" vertical="center"/>
    </xf>
    <xf numFmtId="165" fontId="0" fillId="13" borderId="0" applyAlignment="1" pivotButton="0" quotePrefix="0" xfId="0">
      <alignment horizontal="center" vertical="center"/>
    </xf>
    <xf numFmtId="0" fontId="68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0" fontId="69" fillId="0" borderId="0" applyAlignment="1" pivotButton="0" quotePrefix="0" xfId="0">
      <alignment horizontal="center"/>
    </xf>
    <xf numFmtId="1" fontId="60" fillId="3" borderId="0" applyAlignment="1" pivotButton="0" quotePrefix="0" xfId="0">
      <alignment horizontal="right" vertical="center"/>
    </xf>
    <xf numFmtId="0" fontId="60" fillId="3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65" fillId="13" borderId="0" pivotButton="0" quotePrefix="0" xfId="0"/>
    <xf numFmtId="0" fontId="70" fillId="17" borderId="0" pivotButton="0" quotePrefix="0" xfId="0"/>
    <xf numFmtId="0" fontId="59" fillId="1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" fontId="71" fillId="3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/>
    </xf>
    <xf numFmtId="1" fontId="42" fillId="3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60" fillId="0" borderId="0" applyAlignment="1" pivotButton="0" quotePrefix="0" xfId="0">
      <alignment horizontal="center"/>
    </xf>
    <xf numFmtId="0" fontId="65" fillId="14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center"/>
    </xf>
    <xf numFmtId="0" fontId="72" fillId="18" borderId="0" applyAlignment="1" pivotButton="0" quotePrefix="0" xfId="0">
      <alignment horizontal="center" vertical="center"/>
    </xf>
    <xf numFmtId="0" fontId="17" fillId="0" borderId="0" pivotButton="0" quotePrefix="1" xfId="1"/>
    <xf numFmtId="0" fontId="59" fillId="0" borderId="0" applyAlignment="1" pivotButton="0" quotePrefix="0" xfId="0">
      <alignment horizontal="center" vertical="center"/>
    </xf>
    <xf numFmtId="165" fontId="72" fillId="0" borderId="0" applyAlignment="1" pivotButton="0" quotePrefix="0" xfId="0">
      <alignment horizontal="center" vertical="center"/>
    </xf>
    <xf numFmtId="0" fontId="73" fillId="0" borderId="0" applyAlignment="1" pivotButton="0" quotePrefix="0" xfId="1">
      <alignment horizontal="right"/>
    </xf>
    <xf numFmtId="0" fontId="16" fillId="0" borderId="0" pivotButton="0" quotePrefix="0" xfId="2"/>
    <xf numFmtId="0" fontId="74" fillId="0" borderId="0" applyAlignment="1" pivotButton="0" quotePrefix="0" xfId="0">
      <alignment horizontal="left" vertical="center"/>
    </xf>
    <xf numFmtId="0" fontId="72" fillId="17" borderId="0" applyAlignment="1" pivotButton="0" quotePrefix="0" xfId="0">
      <alignment horizontal="center" vertical="center"/>
    </xf>
    <xf numFmtId="0" fontId="59" fillId="19" borderId="0" pivotButton="0" quotePrefix="0" xfId="0"/>
    <xf numFmtId="0" fontId="59" fillId="17" borderId="0" pivotButton="0" quotePrefix="0" xfId="0"/>
    <xf numFmtId="164" fontId="0" fillId="13" borderId="0" applyAlignment="1" pivotButton="0" quotePrefix="0" xfId="0">
      <alignment horizontal="right" vertical="center"/>
    </xf>
    <xf numFmtId="0" fontId="62" fillId="13" borderId="0" applyAlignment="1" pivotButton="0" quotePrefix="0" xfId="2">
      <alignment horizontal="right"/>
    </xf>
    <xf numFmtId="0" fontId="70" fillId="0" borderId="0" pivotButton="0" quotePrefix="0" xfId="0"/>
    <xf numFmtId="0" fontId="75" fillId="0" borderId="0" pivotButton="0" quotePrefix="0" xfId="0"/>
    <xf numFmtId="0" fontId="59" fillId="19" borderId="0" applyAlignment="1" pivotButton="0" quotePrefix="0" xfId="0">
      <alignment horizontal="center" vertical="center"/>
    </xf>
    <xf numFmtId="0" fontId="59" fillId="2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center" vertical="center"/>
    </xf>
    <xf numFmtId="0" fontId="59" fillId="20" borderId="0" pivotButton="0" quotePrefix="0" xfId="0"/>
    <xf numFmtId="0" fontId="14" fillId="0" borderId="0" applyAlignment="1" pivotButton="0" quotePrefix="0" xfId="0">
      <alignment horizontal="center" vertical="center"/>
    </xf>
    <xf numFmtId="0" fontId="72" fillId="17" borderId="0" pivotButton="0" quotePrefix="0" xfId="0"/>
    <xf numFmtId="0" fontId="59" fillId="21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6" fillId="0" borderId="0" pivotButton="0" quotePrefix="0" xfId="0"/>
    <xf numFmtId="0" fontId="0" fillId="13" borderId="0" pivotButton="0" quotePrefix="0" xfId="0"/>
    <xf numFmtId="0" fontId="77" fillId="0" borderId="0" pivotButton="0" quotePrefix="0" xfId="0"/>
    <xf numFmtId="0" fontId="12" fillId="17" borderId="0" pivotButton="0" quotePrefix="0" xfId="0"/>
    <xf numFmtId="0" fontId="78" fillId="0" borderId="0" pivotButton="0" quotePrefix="0" xfId="0"/>
    <xf numFmtId="0" fontId="12" fillId="19" borderId="0" pivotButton="0" quotePrefix="0" xfId="0"/>
    <xf numFmtId="0" fontId="1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pivotButton="0" quotePrefix="0" xfId="0"/>
    <xf numFmtId="164" fontId="0" fillId="2" borderId="0" applyAlignment="1" pivotButton="0" quotePrefix="0" xfId="0">
      <alignment horizontal="right" vertical="center"/>
    </xf>
    <xf numFmtId="1" fontId="8" fillId="3" borderId="0" applyAlignment="1" pivotButton="0" quotePrefix="0" xfId="0">
      <alignment horizontal="center" vertical="center"/>
    </xf>
    <xf numFmtId="0" fontId="70" fillId="0" borderId="0" applyAlignment="1" pivotButton="0" quotePrefix="0" xfId="0">
      <alignment horizontal="center"/>
    </xf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81" fillId="0" borderId="0" applyAlignment="1" pivotButton="0" quotePrefix="0" xfId="0">
      <alignment horizontal="center"/>
    </xf>
    <xf numFmtId="0" fontId="77" fillId="0" borderId="0" applyAlignment="1" pivotButton="0" quotePrefix="0" xfId="0">
      <alignment horizontal="center" vertical="center"/>
    </xf>
    <xf numFmtId="0" fontId="59" fillId="0" borderId="0" pivotButton="0" quotePrefix="0" xfId="0"/>
    <xf numFmtId="0" fontId="72" fillId="0" borderId="0" pivotButton="0" quotePrefix="0" xfId="0"/>
    <xf numFmtId="0" fontId="6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59" fillId="17" borderId="0" applyAlignment="1" pivotButton="0" quotePrefix="0" xfId="0">
      <alignment horizontal="center"/>
    </xf>
    <xf numFmtId="0" fontId="70" fillId="22" borderId="0" pivotButton="0" quotePrefix="0" xfId="0"/>
    <xf numFmtId="0" fontId="5" fillId="22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pivotButton="0" quotePrefix="0" xfId="0"/>
    <xf numFmtId="0" fontId="59" fillId="23" borderId="0" applyAlignment="1" pivotButton="0" quotePrefix="0" xfId="0">
      <alignment horizontal="center" vertical="center"/>
    </xf>
    <xf numFmtId="0" fontId="62" fillId="0" borderId="0" pivotButton="0" quotePrefix="0" xfId="0"/>
    <xf numFmtId="0" fontId="3" fillId="0" borderId="0" pivotButton="0" quotePrefix="0" xfId="0"/>
    <xf numFmtId="0" fontId="59" fillId="24" borderId="0" pivotButton="0" quotePrefix="0" xfId="0"/>
    <xf numFmtId="0" fontId="82" fillId="0" borderId="0" pivotButton="0" quotePrefix="0" xfId="0"/>
    <xf numFmtId="0" fontId="83" fillId="0" borderId="0" pivotButton="0" quotePrefix="0" xfId="0"/>
    <xf numFmtId="164" fontId="0" fillId="13" borderId="0" applyAlignment="1" pivotButton="0" quotePrefix="0" xfId="0">
      <alignment horizontal="center" vertical="center"/>
    </xf>
    <xf numFmtId="164" fontId="7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9" fillId="25" borderId="0" pivotButton="0" quotePrefix="0" xfId="0"/>
    <xf numFmtId="0" fontId="83" fillId="26" borderId="0" pivotButton="0" quotePrefix="0" xfId="0"/>
    <xf numFmtId="0" fontId="59" fillId="27" borderId="0" pivotButton="0" quotePrefix="0" xfId="0"/>
    <xf numFmtId="0" fontId="62" fillId="26" borderId="0" pivotButton="0" quotePrefix="0" xfId="0"/>
    <xf numFmtId="3" fontId="0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0" fontId="62" fillId="0" borderId="0" applyAlignment="1" pivotButton="0" quotePrefix="0" xfId="1">
      <alignment horizontal="left"/>
    </xf>
    <xf numFmtId="0" fontId="84" fillId="0" borderId="0" pivotButton="0" quotePrefix="0" xfId="0"/>
    <xf numFmtId="0" fontId="84" fillId="0" borderId="0" applyAlignment="1" pivotButton="0" quotePrefix="0" xfId="0">
      <alignment horizontal="center" vertical="center"/>
    </xf>
    <xf numFmtId="0" fontId="84" fillId="29" borderId="1" applyAlignment="1" pivotButton="0" quotePrefix="0" xfId="0">
      <alignment horizontal="center" vertical="center"/>
    </xf>
    <xf numFmtId="0" fontId="84" fillId="28" borderId="1" applyAlignment="1" pivotButton="0" quotePrefix="0" xfId="0">
      <alignment horizontal="center" vertical="center"/>
    </xf>
    <xf numFmtId="0" fontId="85" fillId="0" borderId="1" applyAlignment="1" pivotButton="0" quotePrefix="0" xfId="0">
      <alignment horizontal="center" vertical="center"/>
    </xf>
    <xf numFmtId="0" fontId="85" fillId="0" borderId="1" applyAlignment="1" pivotButton="0" quotePrefix="0" xfId="0">
      <alignment vertical="center"/>
    </xf>
    <xf numFmtId="0" fontId="85" fillId="30" borderId="1" applyAlignment="1" pivotButton="0" quotePrefix="0" xfId="0">
      <alignment horizontal="center" vertical="center"/>
    </xf>
    <xf numFmtId="0" fontId="85" fillId="31" borderId="1" applyAlignment="1" pivotButton="0" quotePrefix="0" xfId="0">
      <alignment horizontal="center" vertical="center"/>
    </xf>
    <xf numFmtId="0" fontId="85" fillId="32" borderId="1" applyAlignment="1" pivotButton="0" quotePrefix="0" xfId="0">
      <alignment horizontal="center" vertical="center"/>
    </xf>
    <xf numFmtId="0" fontId="85" fillId="33" borderId="1" applyAlignment="1" pivotButton="0" quotePrefix="0" xfId="0">
      <alignment horizontal="center" vertical="center"/>
    </xf>
    <xf numFmtId="0" fontId="84" fillId="34" borderId="1" applyAlignment="1" pivotButton="0" quotePrefix="0" xfId="0">
      <alignment horizontal="center" vertical="center"/>
    </xf>
    <xf numFmtId="0" fontId="85" fillId="35" borderId="1" applyAlignment="1" pivotButton="0" quotePrefix="0" xfId="0">
      <alignment horizontal="center" vertical="center"/>
    </xf>
    <xf numFmtId="0" fontId="84" fillId="28" borderId="1" applyAlignment="1" pivotButton="0" quotePrefix="0" xfId="0">
      <alignment vertical="center"/>
    </xf>
    <xf numFmtId="10" fontId="84" fillId="0" borderId="0" applyAlignment="1" pivotButton="0" quotePrefix="0" xfId="0">
      <alignment horizontal="center" vertical="center"/>
    </xf>
    <xf numFmtId="0" fontId="84" fillId="36" borderId="0" applyAlignment="1" pivotButton="0" quotePrefix="0" xfId="1">
      <alignment horizontal="center" vertical="center"/>
    </xf>
    <xf numFmtId="0" fontId="84" fillId="37" borderId="0" applyAlignment="1" pivotButton="0" quotePrefix="0" xfId="1">
      <alignment horizontal="center" vertical="center"/>
    </xf>
    <xf numFmtId="0" fontId="84" fillId="38" borderId="0" applyAlignment="1" pivotButton="0" quotePrefix="0" xfId="1">
      <alignment horizontal="center" vertical="center"/>
    </xf>
    <xf numFmtId="0" fontId="84" fillId="39" borderId="0" applyAlignment="1" pivotButton="0" quotePrefix="0" xfId="1">
      <alignment horizontal="center" vertical="center"/>
    </xf>
    <xf numFmtId="49" fontId="84" fillId="39" borderId="0" applyAlignment="1" pivotButton="0" quotePrefix="0" xfId="1">
      <alignment horizontal="center" vertical="center"/>
    </xf>
    <xf numFmtId="49" fontId="66" fillId="0" borderId="0" applyAlignment="1" pivotButton="0" quotePrefix="0" xfId="0">
      <alignment horizontal="center" vertical="center"/>
    </xf>
    <xf numFmtId="49" fontId="17" fillId="0" borderId="0" pivotButton="0" quotePrefix="1" xfId="1"/>
    <xf numFmtId="49" fontId="0" fillId="0" borderId="0" pivotButton="0" quotePrefix="0" xfId="0"/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cat44cat22@gmail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Q39"/>
  <sheetViews>
    <sheetView workbookViewId="0">
      <selection activeCell="A1" sqref="A1"/>
    </sheetView>
  </sheetViews>
  <sheetFormatPr baseColWidth="8" defaultRowHeight="15"/>
  <cols>
    <col width="11" customWidth="1" min="1" max="1"/>
    <col width="7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2">
      <c r="B2" s="201" t="inlineStr">
        <is>
          <t>2026 OCTOBER</t>
        </is>
      </c>
      <c r="F2" s="202" t="inlineStr">
        <is>
          <t>Анастасія</t>
        </is>
      </c>
      <c r="G2" s="202" t="inlineStr">
        <is>
          <t>Настя</t>
        </is>
      </c>
      <c r="H2" s="202" t="inlineStr">
        <is>
          <t>Сергій</t>
        </is>
      </c>
      <c r="I2" s="202" t="inlineStr">
        <is>
          <t>Марія</t>
        </is>
      </c>
      <c r="J2" s="202" t="inlineStr">
        <is>
          <t>Аліна</t>
        </is>
      </c>
      <c r="K2" s="202" t="inlineStr">
        <is>
          <t>Олекса</t>
        </is>
      </c>
    </row>
    <row r="5">
      <c r="A5" s="203" t="inlineStr">
        <is>
          <t>DX</t>
        </is>
      </c>
      <c r="B5" s="204" t="inlineStr">
        <is>
          <t>MGX</t>
        </is>
      </c>
      <c r="C5" s="204" t="inlineStr">
        <is>
          <t>SHIFTS</t>
        </is>
      </c>
      <c r="D5" s="204" t="inlineStr">
        <is>
          <t>HOURS</t>
        </is>
      </c>
      <c r="E5" s="204" t="inlineStr">
        <is>
          <t>D.LINE</t>
        </is>
      </c>
      <c r="F5" s="204" t="inlineStr">
        <is>
          <t>EMPL 1</t>
        </is>
      </c>
      <c r="G5" s="204" t="inlineStr">
        <is>
          <t>EMPL 2</t>
        </is>
      </c>
      <c r="H5" s="204" t="inlineStr">
        <is>
          <t>EMPL 3</t>
        </is>
      </c>
      <c r="I5" s="204" t="inlineStr">
        <is>
          <t>EMPL 4</t>
        </is>
      </c>
      <c r="J5" s="204" t="inlineStr">
        <is>
          <t>EMPL 5</t>
        </is>
      </c>
      <c r="K5" s="204" t="inlineStr">
        <is>
          <t>EMPL 6</t>
        </is>
      </c>
      <c r="L5" s="204" t="inlineStr">
        <is>
          <t>Total EMPL</t>
        </is>
      </c>
      <c r="M5" s="204" t="inlineStr">
        <is>
          <t>CLIENT IN</t>
        </is>
      </c>
    </row>
    <row r="6">
      <c r="A6" s="205" t="n"/>
      <c r="B6" s="206" t="inlineStr">
        <is>
          <t>DX-AIV-0197-005_SettAI_Halloween_Match2_DX-VEO-003-001_EN_60s</t>
        </is>
      </c>
      <c r="C6" s="205" t="n">
        <v>0.3</v>
      </c>
      <c r="D6" s="205">
        <f>C6*9</f>
        <v/>
      </c>
      <c r="E6" s="205" t="n"/>
      <c r="F6" s="207">
        <f>D6*5</f>
        <v/>
      </c>
      <c r="G6" s="205" t="n"/>
      <c r="H6" s="205" t="n"/>
      <c r="I6" s="208">
        <f>D6*15</f>
        <v/>
      </c>
      <c r="J6" s="205" t="n"/>
      <c r="K6" s="205" t="n"/>
      <c r="L6" s="205">
        <f>SUM(F6:K6)</f>
        <v/>
      </c>
      <c r="M6" s="205">
        <f>D6*35</f>
        <v/>
      </c>
    </row>
    <row r="7">
      <c r="A7" s="205" t="n"/>
      <c r="B7" s="206" t="inlineStr">
        <is>
          <t>DX-AIV-0213-002_SettAI_SavePeonHalloween_DX-VEO-055-001_EN_30s</t>
        </is>
      </c>
      <c r="C7" s="205" t="n">
        <v>0.3</v>
      </c>
      <c r="D7" s="205">
        <f>C7*9</f>
        <v/>
      </c>
      <c r="E7" s="205" t="n"/>
      <c r="F7" s="207">
        <f>D7*5</f>
        <v/>
      </c>
      <c r="G7" s="209">
        <f>D7*15</f>
        <v/>
      </c>
      <c r="H7" s="205" t="n"/>
      <c r="I7" s="205" t="n"/>
      <c r="J7" s="205" t="n"/>
      <c r="K7" s="205" t="n"/>
      <c r="L7" s="205">
        <f>SUM(F7:K7)</f>
        <v/>
      </c>
      <c r="M7" s="205">
        <f>D7*35</f>
        <v/>
      </c>
    </row>
    <row r="8">
      <c r="A8" s="205" t="n"/>
      <c r="B8" s="206" t="inlineStr">
        <is>
          <t>DX-AIV-0215-002_SettAI_HallweenSkull_DX-VEO-055-001_EN_30s</t>
        </is>
      </c>
      <c r="C8" s="205" t="n">
        <v>0.3</v>
      </c>
      <c r="D8" s="205">
        <f>C8*9</f>
        <v/>
      </c>
      <c r="E8" s="205" t="n"/>
      <c r="F8" s="207">
        <f>D8*5</f>
        <v/>
      </c>
      <c r="G8" s="209">
        <f>D8*15</f>
        <v/>
      </c>
      <c r="H8" s="205" t="n"/>
      <c r="I8" s="205" t="n"/>
      <c r="J8" s="205" t="n"/>
      <c r="K8" s="205" t="n"/>
      <c r="L8" s="205">
        <f>SUM(F8:K8)</f>
        <v/>
      </c>
      <c r="M8" s="205">
        <f>D8*35</f>
        <v/>
      </c>
    </row>
    <row r="9">
      <c r="A9" s="205" t="n"/>
      <c r="B9" s="206" t="inlineStr">
        <is>
          <t>DX-AIV-0218-002_SettAI_PuzzleHalloween_DX-VEO-055-001_EN_30s</t>
        </is>
      </c>
      <c r="C9" s="205" t="n">
        <v>0.3</v>
      </c>
      <c r="D9" s="205">
        <f>C9*9</f>
        <v/>
      </c>
      <c r="E9" s="205" t="n"/>
      <c r="F9" s="207">
        <f>D9*5</f>
        <v/>
      </c>
      <c r="G9" s="209">
        <f>D9*15</f>
        <v/>
      </c>
      <c r="H9" s="205" t="n"/>
      <c r="I9" s="205" t="n"/>
      <c r="J9" s="205" t="n"/>
      <c r="K9" s="205" t="n"/>
      <c r="L9" s="205">
        <f>SUM(F9:K9)</f>
        <v/>
      </c>
      <c r="M9" s="205">
        <f>D9*35</f>
        <v/>
      </c>
    </row>
    <row r="10">
      <c r="A10" s="205" t="n"/>
      <c r="B10" s="206" t="inlineStr">
        <is>
          <t>DX-AIV-0222-003_SettAI_HalloweenRelax_DX-VEO-055-001_EN_30s</t>
        </is>
      </c>
      <c r="C10" s="205" t="n">
        <v>0.3</v>
      </c>
      <c r="D10" s="205">
        <f>C10*9</f>
        <v/>
      </c>
      <c r="E10" s="205" t="n"/>
      <c r="F10" s="207">
        <f>D10*5</f>
        <v/>
      </c>
      <c r="G10" s="209">
        <f>D10*15</f>
        <v/>
      </c>
      <c r="H10" s="205" t="n"/>
      <c r="I10" s="205" t="n"/>
      <c r="J10" s="205" t="n"/>
      <c r="K10" s="205" t="n"/>
      <c r="L10" s="205">
        <f>SUM(F10:K10)</f>
        <v/>
      </c>
      <c r="M10" s="205">
        <f>D10*35</f>
        <v/>
      </c>
    </row>
    <row r="11">
      <c r="A11" s="205" t="n"/>
      <c r="B11" s="206" t="inlineStr">
        <is>
          <t>DX-AIV-0225-002_SettAI_HalloweenSave_DX-VEO-055-001_EN_60</t>
        </is>
      </c>
      <c r="C11" s="205" t="n">
        <v>0.3</v>
      </c>
      <c r="D11" s="205">
        <f>C11*9</f>
        <v/>
      </c>
      <c r="E11" s="205" t="n"/>
      <c r="F11" s="207">
        <f>D11*5</f>
        <v/>
      </c>
      <c r="G11" s="205" t="n"/>
      <c r="H11" s="205" t="n"/>
      <c r="I11" s="208">
        <f>D11*15</f>
        <v/>
      </c>
      <c r="J11" s="205" t="n"/>
      <c r="K11" s="205" t="n"/>
      <c r="L11" s="205">
        <f>SUM(F11:K11)</f>
        <v/>
      </c>
      <c r="M11" s="205">
        <f>D11*35</f>
        <v/>
      </c>
    </row>
    <row r="12">
      <c r="A12" s="205" t="n"/>
      <c r="B12" s="206" t="inlineStr">
        <is>
          <t>DX-AIV-0230-002_SettAI_HalloweenTower_ DX-VEO-055-001 _EN_60s</t>
        </is>
      </c>
      <c r="C12" s="205" t="n">
        <v>0.3</v>
      </c>
      <c r="D12" s="205">
        <f>C12*9</f>
        <v/>
      </c>
      <c r="E12" s="205" t="n"/>
      <c r="F12" s="207">
        <f>D12*5</f>
        <v/>
      </c>
      <c r="G12" s="205" t="n"/>
      <c r="H12" s="205" t="n"/>
      <c r="I12" s="208">
        <f>1.7*15</f>
        <v/>
      </c>
      <c r="J12" s="210">
        <f>1*15</f>
        <v/>
      </c>
      <c r="K12" s="205" t="n"/>
      <c r="L12" s="205">
        <f>SUM(F12:K12)</f>
        <v/>
      </c>
      <c r="M12" s="205">
        <f>D12*35</f>
        <v/>
      </c>
    </row>
    <row r="13">
      <c r="A13" s="205" t="n"/>
      <c r="B13" s="206" t="inlineStr">
        <is>
          <t>DX-AIV-0406-002_SettAI_InteractiveHalloween_DX-VEO-055-001_EN_60s</t>
        </is>
      </c>
      <c r="C13" s="205" t="n">
        <v>0.3</v>
      </c>
      <c r="D13" s="205">
        <f>C13*9</f>
        <v/>
      </c>
      <c r="E13" s="205" t="n"/>
      <c r="F13" s="207">
        <f>D13*5</f>
        <v/>
      </c>
      <c r="G13" s="205" t="n"/>
      <c r="H13" s="205" t="n"/>
      <c r="I13" s="208">
        <f>D13*15</f>
        <v/>
      </c>
      <c r="J13" s="205" t="n"/>
      <c r="K13" s="205" t="n"/>
      <c r="L13" s="205">
        <f>SUM(F13:K13)</f>
        <v/>
      </c>
      <c r="M13" s="205">
        <f>D13*35</f>
        <v/>
      </c>
    </row>
    <row r="14">
      <c r="A14" s="205" t="n"/>
      <c r="B14" s="206" t="inlineStr">
        <is>
          <t>DX-AIV-0407-002_SettAI_GraveEscape_DX-VEO-055-001_EN_60s</t>
        </is>
      </c>
      <c r="C14" s="205" t="n">
        <v>0.3</v>
      </c>
      <c r="D14" s="205">
        <f>C14*9</f>
        <v/>
      </c>
      <c r="E14" s="205" t="n"/>
      <c r="F14" s="207">
        <f>D14*5</f>
        <v/>
      </c>
      <c r="G14" s="205" t="n"/>
      <c r="H14" s="205" t="n"/>
      <c r="I14" s="208">
        <f>D14*15</f>
        <v/>
      </c>
      <c r="J14" s="205" t="n"/>
      <c r="K14" s="205" t="n"/>
      <c r="L14" s="205">
        <f>SUM(F14:K14)</f>
        <v/>
      </c>
      <c r="M14" s="205">
        <f>D14*35</f>
        <v/>
      </c>
    </row>
    <row r="15">
      <c r="A15" s="205" t="n"/>
      <c r="B15" s="206" t="inlineStr">
        <is>
          <t>DX-AIV-216-002_SettAI_HalloweenCircle_DX-VEO-055-001_EN_60s</t>
        </is>
      </c>
      <c r="C15" s="205" t="n">
        <v>0.3</v>
      </c>
      <c r="D15" s="205">
        <f>C15*9</f>
        <v/>
      </c>
      <c r="E15" s="205" t="n"/>
      <c r="F15" s="207">
        <f>D15*5</f>
        <v/>
      </c>
      <c r="G15" s="209">
        <f>D15*15</f>
        <v/>
      </c>
      <c r="H15" s="205" t="n"/>
      <c r="I15" s="205" t="n"/>
      <c r="J15" s="205" t="n"/>
      <c r="K15" s="205" t="n"/>
      <c r="L15" s="205">
        <f>SUM(F15:K15)</f>
        <v/>
      </c>
      <c r="M15" s="205">
        <f>D15*35</f>
        <v/>
      </c>
    </row>
    <row r="16">
      <c r="A16" s="205" t="n"/>
      <c r="B16" s="206" t="inlineStr">
        <is>
          <t>DX-AIV-231-002_SettAI_Halloween_Spirals_DX-VEO-055-001_EN_60s</t>
        </is>
      </c>
      <c r="C16" s="205" t="n">
        <v>0.3</v>
      </c>
      <c r="D16" s="205">
        <f>C16*9</f>
        <v/>
      </c>
      <c r="E16" s="205" t="n"/>
      <c r="F16" s="207">
        <f>D16*5</f>
        <v/>
      </c>
      <c r="G16" s="205" t="n"/>
      <c r="H16" s="205" t="n"/>
      <c r="I16" s="208">
        <f>D16*15</f>
        <v/>
      </c>
      <c r="J16" s="205" t="n"/>
      <c r="K16" s="205" t="n"/>
      <c r="L16" s="205">
        <f>SUM(F16:K16)</f>
        <v/>
      </c>
      <c r="M16" s="205">
        <f>D16*35</f>
        <v/>
      </c>
    </row>
    <row r="18">
      <c r="A18" s="211" t="inlineStr">
        <is>
          <t>DD</t>
        </is>
      </c>
      <c r="B18" s="204" t="inlineStr">
        <is>
          <t>MGX</t>
        </is>
      </c>
      <c r="C18" s="204" t="inlineStr">
        <is>
          <t>SHIFTS</t>
        </is>
      </c>
      <c r="D18" s="204" t="inlineStr">
        <is>
          <t>HOURS</t>
        </is>
      </c>
      <c r="E18" s="204" t="inlineStr">
        <is>
          <t>D.LINE</t>
        </is>
      </c>
      <c r="F18" s="204" t="inlineStr">
        <is>
          <t>EMPL 1</t>
        </is>
      </c>
      <c r="G18" s="204" t="inlineStr">
        <is>
          <t>EMPL 2</t>
        </is>
      </c>
      <c r="H18" s="204" t="inlineStr">
        <is>
          <t>EMPL 3</t>
        </is>
      </c>
      <c r="I18" s="204" t="inlineStr">
        <is>
          <t>EMPL 4</t>
        </is>
      </c>
      <c r="J18" s="204" t="inlineStr">
        <is>
          <t>EMPL 5</t>
        </is>
      </c>
      <c r="K18" s="204" t="inlineStr">
        <is>
          <t>EMPL 6</t>
        </is>
      </c>
      <c r="L18" s="204" t="inlineStr">
        <is>
          <t>Total EMPL</t>
        </is>
      </c>
      <c r="M18" s="204" t="inlineStr">
        <is>
          <t>CLIENT IN</t>
        </is>
      </c>
    </row>
    <row r="19">
      <c r="A19" s="205" t="n"/>
      <c r="B19" s="206" t="inlineStr">
        <is>
          <t>DD-AIV-202-004_SettAI_HalloweenFireTrial_DD-VEO-059-001_EN_30s</t>
        </is>
      </c>
      <c r="C19" s="205" t="n">
        <v>0.3</v>
      </c>
      <c r="D19" s="205">
        <f>C19*9</f>
        <v/>
      </c>
      <c r="E19" s="205" t="n"/>
      <c r="F19" s="207">
        <f>D19*5</f>
        <v/>
      </c>
      <c r="G19" s="205" t="n"/>
      <c r="H19" s="205" t="n"/>
      <c r="I19" s="208">
        <f>D19*15</f>
        <v/>
      </c>
      <c r="J19" s="205" t="n"/>
      <c r="K19" s="205" t="n"/>
      <c r="L19" s="205">
        <f>SUM(F19:K19)</f>
        <v/>
      </c>
      <c r="M19" s="205">
        <f>D19*35</f>
        <v/>
      </c>
    </row>
    <row r="20">
      <c r="A20" s="205" t="n"/>
      <c r="B20" s="206" t="inlineStr">
        <is>
          <t>DD-AIV-224-002_SettAI_HalloweenMario_DD-VEO-059-001_EN_30s</t>
        </is>
      </c>
      <c r="C20" s="205" t="n">
        <v>0.3</v>
      </c>
      <c r="D20" s="205">
        <f>C20*9</f>
        <v/>
      </c>
      <c r="E20" s="205" t="n"/>
      <c r="F20" s="207">
        <f>D20*5</f>
        <v/>
      </c>
      <c r="G20" s="205" t="n"/>
      <c r="H20" s="205" t="n"/>
      <c r="I20" s="205" t="n"/>
      <c r="J20" s="210">
        <f>D20*15</f>
        <v/>
      </c>
      <c r="K20" s="205" t="n"/>
      <c r="L20" s="205">
        <f>SUM(F20:K20)</f>
        <v/>
      </c>
      <c r="M20" s="205">
        <f>D20*35</f>
        <v/>
      </c>
    </row>
    <row r="21">
      <c r="A21" s="205" t="n"/>
      <c r="B21" s="206" t="inlineStr">
        <is>
          <t>DD-AIV-225-002_SettAI_HalloweenTrap_DD-VEO-059-001_EN_30s</t>
        </is>
      </c>
      <c r="C21" s="205" t="n">
        <v>0.3</v>
      </c>
      <c r="D21" s="205">
        <f>C21*9</f>
        <v/>
      </c>
      <c r="E21" s="205" t="n"/>
      <c r="F21" s="207">
        <f>D21*5</f>
        <v/>
      </c>
      <c r="G21" s="205" t="n"/>
      <c r="H21" s="205" t="n"/>
      <c r="I21" s="205" t="n"/>
      <c r="J21" s="210">
        <f>D21*15</f>
        <v/>
      </c>
      <c r="K21" s="205" t="n"/>
      <c r="L21" s="205">
        <f>SUM(F21:K21)</f>
        <v/>
      </c>
      <c r="M21" s="205">
        <f>D21*35</f>
        <v/>
      </c>
    </row>
    <row r="22">
      <c r="A22" s="205" t="n"/>
      <c r="B22" s="206" t="inlineStr">
        <is>
          <t>DD-AIV-227-002_SettAI_HalloweenBlastTreasure_DD-VEO-059-001_EN_24s</t>
        </is>
      </c>
      <c r="C22" s="205" t="n">
        <v>0.3</v>
      </c>
      <c r="D22" s="205">
        <f>C22*9</f>
        <v/>
      </c>
      <c r="E22" s="205" t="n"/>
      <c r="F22" s="207">
        <f>D22*5</f>
        <v/>
      </c>
      <c r="G22" s="205" t="n"/>
      <c r="H22" s="205" t="n"/>
      <c r="I22" s="208">
        <f>D22*15</f>
        <v/>
      </c>
      <c r="J22" s="205" t="n"/>
      <c r="K22" s="205" t="n"/>
      <c r="L22" s="205">
        <f>SUM(F22:K22)</f>
        <v/>
      </c>
      <c r="M22" s="205">
        <f>D22*35</f>
        <v/>
      </c>
    </row>
    <row r="23">
      <c r="A23" s="205" t="n"/>
      <c r="B23" s="206" t="inlineStr">
        <is>
          <t>DD-AIV-228-002_SettAI_HalloweenBlastTreasure_DD-VEO-059-001_EN_30s</t>
        </is>
      </c>
      <c r="C23" s="205" t="n">
        <v>0.3</v>
      </c>
      <c r="D23" s="205">
        <f>C23*9</f>
        <v/>
      </c>
      <c r="E23" s="205" t="n"/>
      <c r="F23" s="207">
        <f>D23*5</f>
        <v/>
      </c>
      <c r="G23" s="205" t="n"/>
      <c r="H23" s="205" t="n"/>
      <c r="I23" s="205" t="n"/>
      <c r="J23" s="205" t="n"/>
      <c r="K23" s="212">
        <f>D23*15</f>
        <v/>
      </c>
      <c r="L23" s="205">
        <f>SUM(F23:K23)</f>
        <v/>
      </c>
      <c r="M23" s="205">
        <f>D23*35</f>
        <v/>
      </c>
    </row>
    <row r="24">
      <c r="A24" s="205" t="n"/>
      <c r="B24" s="206" t="inlineStr">
        <is>
          <t>DD-AIV-229-002_SettAI_HalloweenMonopoly_DD-VEO-059-001_EN_30s</t>
        </is>
      </c>
      <c r="C24" s="205" t="n">
        <v>0.3</v>
      </c>
      <c r="D24" s="205">
        <f>C24*9</f>
        <v/>
      </c>
      <c r="E24" s="205" t="n"/>
      <c r="F24" s="207">
        <f>D24*5</f>
        <v/>
      </c>
      <c r="G24" s="205" t="n"/>
      <c r="H24" s="205" t="n"/>
      <c r="I24" s="205" t="n"/>
      <c r="J24" s="205" t="n"/>
      <c r="K24" s="212">
        <f>D24*15</f>
        <v/>
      </c>
      <c r="L24" s="205">
        <f>SUM(F24:K24)</f>
        <v/>
      </c>
      <c r="M24" s="205">
        <f>D24*35</f>
        <v/>
      </c>
    </row>
    <row r="25">
      <c r="A25" s="205" t="n"/>
      <c r="B25" s="206" t="inlineStr">
        <is>
          <t>DD-AIV-231-002_SettAI_SpookyJackpot_DD-VEO-059-001_EN_30s</t>
        </is>
      </c>
      <c r="C25" s="205" t="n">
        <v>0.3</v>
      </c>
      <c r="D25" s="205">
        <f>C25*9</f>
        <v/>
      </c>
      <c r="E25" s="205" t="n"/>
      <c r="F25" s="207">
        <f>D25*5</f>
        <v/>
      </c>
      <c r="G25" s="209">
        <f>D25*15</f>
        <v/>
      </c>
      <c r="H25" s="205" t="n"/>
      <c r="I25" s="205" t="n"/>
      <c r="J25" s="205" t="n"/>
      <c r="K25" s="205" t="n"/>
      <c r="L25" s="205">
        <f>SUM(F25:K25)</f>
        <v/>
      </c>
      <c r="M25" s="205">
        <f>D25*35</f>
        <v/>
      </c>
    </row>
    <row r="26">
      <c r="A26" s="205" t="n"/>
      <c r="B26" s="206" t="inlineStr">
        <is>
          <t>DD-AIV-233-002_SettAI_HalloweenKindomBuild_DD-VEO-059-001_EN_60s</t>
        </is>
      </c>
      <c r="C26" s="205" t="n">
        <v>0.3</v>
      </c>
      <c r="D26" s="205">
        <f>C26*9</f>
        <v/>
      </c>
      <c r="E26" s="205" t="n"/>
      <c r="F26" s="207">
        <f>D26*5</f>
        <v/>
      </c>
      <c r="G26" s="205" t="n"/>
      <c r="H26" s="205" t="n"/>
      <c r="I26" s="208">
        <f>D26*15</f>
        <v/>
      </c>
      <c r="J26" s="205" t="n"/>
      <c r="K26" s="205" t="n"/>
      <c r="L26" s="205">
        <f>SUM(F26:K26)</f>
        <v/>
      </c>
      <c r="M26" s="205">
        <f>D26*35</f>
        <v/>
      </c>
    </row>
    <row r="27">
      <c r="A27" s="205" t="n"/>
      <c r="B27" s="206" t="inlineStr">
        <is>
          <t>DD-AIV-235-002_SettAI_WitchsPotion_DD-VEO-059-001_EN_30s</t>
        </is>
      </c>
      <c r="C27" s="205" t="n">
        <v>0.3</v>
      </c>
      <c r="D27" s="205">
        <f>C27*9</f>
        <v/>
      </c>
      <c r="E27" s="205" t="n"/>
      <c r="F27" s="207">
        <f>D27*5</f>
        <v/>
      </c>
      <c r="G27" s="205" t="n"/>
      <c r="H27" s="205" t="n"/>
      <c r="I27" s="208">
        <f>D27*15</f>
        <v/>
      </c>
      <c r="J27" s="205" t="n"/>
      <c r="K27" s="205" t="n"/>
      <c r="L27" s="205">
        <f>SUM(F27:K27)</f>
        <v/>
      </c>
      <c r="M27" s="205">
        <f>D27*35</f>
        <v/>
      </c>
    </row>
    <row r="28">
      <c r="A28" s="205" t="n"/>
      <c r="B28" s="206" t="inlineStr">
        <is>
          <t>DD-AIV-239-002_SettAI_HalloweenDiamondBlast_DD-VEO-059-001_EN_30s</t>
        </is>
      </c>
      <c r="C28" s="205" t="n">
        <v>0.3</v>
      </c>
      <c r="D28" s="205">
        <f>C28*9</f>
        <v/>
      </c>
      <c r="E28" s="205" t="n"/>
      <c r="F28" s="207">
        <f>D28*5</f>
        <v/>
      </c>
      <c r="G28" s="209">
        <f>D28*15</f>
        <v/>
      </c>
      <c r="H28" s="205" t="n"/>
      <c r="I28" s="205" t="n"/>
      <c r="J28" s="205" t="n"/>
      <c r="K28" s="205" t="n"/>
      <c r="L28" s="205">
        <f>SUM(F28:K28)</f>
        <v/>
      </c>
      <c r="M28" s="205">
        <f>D28*35</f>
        <v/>
      </c>
    </row>
    <row r="29">
      <c r="A29" s="205" t="n"/>
      <c r="B29" s="206" t="inlineStr">
        <is>
          <t>DD-B-158-002_Riches_NewYearsWin | Design</t>
        </is>
      </c>
      <c r="C29" s="205" t="n">
        <v>0.8</v>
      </c>
      <c r="D29" s="205">
        <f>C29*9</f>
        <v/>
      </c>
      <c r="E29" s="205" t="n"/>
      <c r="F29" s="207">
        <f>D29*5</f>
        <v/>
      </c>
      <c r="G29" s="205" t="n"/>
      <c r="H29" s="205" t="n"/>
      <c r="I29" s="205" t="n"/>
      <c r="J29" s="210">
        <f>D29*15</f>
        <v/>
      </c>
      <c r="K29" s="205" t="n"/>
      <c r="L29" s="205">
        <f>SUM(F29:K29)</f>
        <v/>
      </c>
      <c r="M29" s="205">
        <f>D29*35</f>
        <v/>
      </c>
    </row>
    <row r="30">
      <c r="A30" s="205" t="n"/>
      <c r="B30" s="206" t="inlineStr">
        <is>
          <t>DD-TEST-0000001</t>
        </is>
      </c>
      <c r="C30" s="205" t="n">
        <v>0.3</v>
      </c>
      <c r="D30" s="205">
        <f>C30*9</f>
        <v/>
      </c>
      <c r="E30" s="205" t="n"/>
      <c r="F30" s="207">
        <f>D30*5</f>
        <v/>
      </c>
      <c r="G30" s="205" t="n"/>
      <c r="H30" s="205" t="n"/>
      <c r="I30" s="205" t="n"/>
      <c r="J30" s="205" t="n"/>
      <c r="K30" s="205" t="n"/>
      <c r="L30" s="205">
        <f>SUM(F30:K30)</f>
        <v/>
      </c>
      <c r="M30" s="205">
        <f>D30*35</f>
        <v/>
      </c>
    </row>
    <row r="31">
      <c r="A31" s="205" t="n"/>
      <c r="B31" s="206" t="inlineStr">
        <is>
          <t>DD-TEST-0000002</t>
        </is>
      </c>
      <c r="C31" s="205" t="n">
        <v>0.3</v>
      </c>
      <c r="D31" s="205">
        <f>C31*9</f>
        <v/>
      </c>
      <c r="E31" s="205" t="n"/>
      <c r="F31" s="207">
        <f>D31*5</f>
        <v/>
      </c>
      <c r="G31" s="205" t="n"/>
      <c r="H31" s="205" t="n"/>
      <c r="I31" s="205" t="n"/>
      <c r="J31" s="205" t="n"/>
      <c r="K31" s="205" t="n"/>
      <c r="L31" s="205">
        <f>SUM(F31:K31)</f>
        <v/>
      </c>
      <c r="M31" s="205">
        <f>D31*35</f>
        <v/>
      </c>
    </row>
    <row r="32">
      <c r="A32" s="205" t="n"/>
      <c r="B32" s="206" t="inlineStr">
        <is>
          <t>DD-test-task_001</t>
        </is>
      </c>
      <c r="C32" s="205" t="n">
        <v>0</v>
      </c>
      <c r="D32" s="205">
        <f>C32*9</f>
        <v/>
      </c>
      <c r="E32" s="205" t="n"/>
      <c r="F32" s="207">
        <f>D32*5</f>
        <v/>
      </c>
      <c r="G32" s="205" t="n"/>
      <c r="H32" s="205" t="n"/>
      <c r="I32" s="205" t="n"/>
      <c r="J32" s="205" t="n"/>
      <c r="K32" s="205" t="n"/>
      <c r="L32" s="205">
        <f>SUM(F32:K32)</f>
        <v/>
      </c>
      <c r="M32" s="205">
        <f>D32*35</f>
        <v/>
      </c>
    </row>
    <row r="33">
      <c r="A33" s="205" t="n"/>
      <c r="B33" s="206" t="inlineStr">
        <is>
          <t>DD-test-task_002</t>
        </is>
      </c>
      <c r="C33" s="205" t="n">
        <v>0</v>
      </c>
      <c r="D33" s="205">
        <f>C33*9</f>
        <v/>
      </c>
      <c r="E33" s="205" t="n"/>
      <c r="F33" s="207">
        <f>D33*5</f>
        <v/>
      </c>
      <c r="G33" s="205" t="n"/>
      <c r="H33" s="205" t="n"/>
      <c r="I33" s="205" t="n"/>
      <c r="J33" s="205" t="n"/>
      <c r="K33" s="205" t="n"/>
      <c r="L33" s="205">
        <f>SUM(F33:K33)</f>
        <v/>
      </c>
      <c r="M33" s="205">
        <f>D33*35</f>
        <v/>
      </c>
    </row>
    <row r="35">
      <c r="A35" s="204" t="inlineStr">
        <is>
          <t>total</t>
        </is>
      </c>
      <c r="B35" s="213" t="n"/>
      <c r="C35" s="204">
        <f>SUM(C6:C33)</f>
        <v/>
      </c>
      <c r="D35" s="204">
        <f>SUM(D6:D33)</f>
        <v/>
      </c>
      <c r="E35" s="204" t="n"/>
      <c r="F35" s="204">
        <f>SUM(F6:F33)</f>
        <v/>
      </c>
      <c r="G35" s="204">
        <f>SUM(G6:G33)</f>
        <v/>
      </c>
      <c r="H35" s="204">
        <f>SUM(H6:H33)</f>
        <v/>
      </c>
      <c r="I35" s="204">
        <f>SUM(I6:I33)</f>
        <v/>
      </c>
      <c r="J35" s="204">
        <f>SUM(J6:J33)</f>
        <v/>
      </c>
      <c r="K35" s="204">
        <f>SUM(K6:K33)</f>
        <v/>
      </c>
      <c r="L35" s="204">
        <f>SUM(F35:K35)</f>
        <v/>
      </c>
      <c r="M35" s="204">
        <f>SUM(M6:M33)</f>
        <v/>
      </c>
      <c r="O35" s="201" t="inlineStr">
        <is>
          <t>UAH</t>
        </is>
      </c>
      <c r="P35" s="201" t="inlineStr">
        <is>
          <t>USD</t>
        </is>
      </c>
    </row>
    <row r="36">
      <c r="F36">
        <f>F35*41.2</f>
        <v/>
      </c>
      <c r="G36">
        <f>G35*41.2</f>
        <v/>
      </c>
      <c r="H36">
        <f>H35*41.2</f>
        <v/>
      </c>
      <c r="I36">
        <f>I35*41.2</f>
        <v/>
      </c>
      <c r="J36">
        <f>J35*41.2</f>
        <v/>
      </c>
      <c r="K36">
        <f>K35*41.2</f>
        <v/>
      </c>
      <c r="L36">
        <f>L35*41.2</f>
        <v/>
      </c>
      <c r="M36">
        <f>M35*41.2</f>
        <v/>
      </c>
      <c r="N36" s="201" t="inlineStr">
        <is>
          <t>CLIENT IN</t>
        </is>
      </c>
      <c r="O36">
        <f>P36*41.2</f>
        <v/>
      </c>
      <c r="P36">
        <f>M35</f>
        <v/>
      </c>
      <c r="Q36" s="201" t="inlineStr">
        <is>
          <t>TAX</t>
        </is>
      </c>
    </row>
    <row r="37">
      <c r="N37" s="201" t="inlineStr">
        <is>
          <t>STUDIO (TAX)</t>
        </is>
      </c>
      <c r="O37">
        <f>P37*41.2</f>
        <v/>
      </c>
      <c r="P37">
        <f>P36-P36*Q37</f>
        <v/>
      </c>
      <c r="Q37" s="214" t="n">
        <v>0.06</v>
      </c>
    </row>
    <row r="38">
      <c r="N38" s="201" t="inlineStr">
        <is>
          <t>EMPL</t>
        </is>
      </c>
      <c r="O38">
        <f>P38*41.2</f>
        <v/>
      </c>
      <c r="P38">
        <f>L35</f>
        <v/>
      </c>
    </row>
    <row r="39">
      <c r="N39" s="201" t="inlineStr">
        <is>
          <t>STUDIO</t>
        </is>
      </c>
      <c r="O39">
        <f>P39*41.2</f>
        <v/>
      </c>
      <c r="P39">
        <f>P37-P38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80"/>
  <sheetViews>
    <sheetView tabSelected="1" workbookViewId="0">
      <pane xSplit="2" topLeftCell="C1" activePane="topRight" state="frozen"/>
      <selection pane="topRight" activeCell="B12" sqref="B12"/>
    </sheetView>
  </sheetViews>
  <sheetFormatPr baseColWidth="10" defaultColWidth="11.1640625" defaultRowHeight="15" customHeight="1"/>
  <cols>
    <col width="10.5" customWidth="1" style="42" min="1" max="1"/>
    <col width="33.6640625" customWidth="1" style="42" min="2" max="2"/>
    <col width="24.1640625" customWidth="1" style="42" min="3" max="3"/>
    <col width="31.33203125" customWidth="1" style="42" min="4" max="4"/>
    <col width="13" customWidth="1" style="42" min="5" max="5"/>
    <col width="22.6640625" customWidth="1" style="42" min="6" max="6"/>
    <col width="36.1640625" bestFit="1" customWidth="1" style="42" min="7" max="7"/>
    <col width="12.83203125" bestFit="1" customWidth="1" style="42" min="8" max="8"/>
    <col width="10.5" customWidth="1" style="42" min="9" max="11"/>
    <col width="10.6640625" customWidth="1" style="42" min="12" max="12"/>
    <col width="52.33203125" customWidth="1" style="42" min="13" max="13"/>
    <col width="10.5" customWidth="1" style="42" min="14" max="26"/>
    <col width="11.1640625" customWidth="1" style="42" min="27" max="16384"/>
  </cols>
  <sheetData>
    <row r="1" ht="15.75" customHeight="1">
      <c r="D1" s="43" t="n"/>
    </row>
    <row r="2" ht="15.75" customHeight="1">
      <c r="D2" s="43" t="n"/>
    </row>
    <row r="3" ht="15.75" customHeight="1">
      <c r="D3" s="43" t="n"/>
    </row>
    <row r="4" ht="15.75" customHeight="1">
      <c r="A4" s="44" t="n"/>
      <c r="B4" s="44" t="n"/>
      <c r="C4" s="44" t="n"/>
      <c r="D4" s="44" t="inlineStr">
        <is>
          <t>LISENBART FILM CREW</t>
        </is>
      </c>
      <c r="E4" s="44" t="inlineStr">
        <is>
          <t>LISENBART FILM CREW</t>
        </is>
      </c>
      <c r="F4" s="45" t="n"/>
    </row>
    <row r="5" ht="15.75" customHeight="1">
      <c r="A5" s="46" t="n"/>
      <c r="B5" s="46" t="n"/>
      <c r="C5" s="46" t="n"/>
      <c r="D5" s="44" t="n"/>
      <c r="E5" s="46" t="n"/>
      <c r="F5" s="47" t="n"/>
    </row>
    <row r="6" ht="15.75" customHeight="1">
      <c r="A6" s="44" t="n"/>
      <c r="B6" s="215" t="inlineStr">
        <is>
          <t>name</t>
        </is>
      </c>
      <c r="C6" s="216" t="inlineStr">
        <is>
          <t>phone</t>
        </is>
      </c>
      <c r="D6" s="217" t="inlineStr">
        <is>
          <t>email</t>
        </is>
      </c>
      <c r="E6" s="218" t="inlineStr">
        <is>
          <t>name of bank</t>
        </is>
      </c>
      <c r="F6" s="219" t="inlineStr">
        <is>
          <t>bank card</t>
        </is>
      </c>
      <c r="G6" s="219" t="inlineStr">
        <is>
          <t>IBAN</t>
        </is>
      </c>
      <c r="H6" s="219" t="inlineStr">
        <is>
          <t>ІПН</t>
        </is>
      </c>
      <c r="M6" s="47" t="n"/>
    </row>
    <row r="7" ht="15.75" customHeight="1">
      <c r="A7" s="46" t="n">
        <v>1</v>
      </c>
      <c r="B7" s="200" t="inlineStr">
        <is>
          <t>Анастасія Верлинська - Line Producer</t>
        </is>
      </c>
      <c r="C7" s="108" t="n"/>
      <c r="E7" s="53" t="n"/>
      <c r="F7" s="45" t="inlineStr">
        <is>
          <t>4874070053093694</t>
        </is>
      </c>
      <c r="G7" s="220" t="inlineStr">
        <is>
          <t>UA173220010000026202314266322</t>
        </is>
      </c>
      <c r="H7" s="108" t="n"/>
      <c r="L7" s="53" t="n"/>
      <c r="M7" s="54" t="n"/>
    </row>
    <row r="8" ht="15.75" customHeight="1">
      <c r="A8" s="46" t="n">
        <v>2</v>
      </c>
      <c r="B8" s="200" t="inlineStr">
        <is>
          <t>Анастасія Сиченко - Team Lead</t>
        </is>
      </c>
      <c r="C8" s="108" t="inlineStr">
        <is>
          <t>+380 99 550 5455</t>
        </is>
      </c>
      <c r="D8" s="42" t="inlineStr">
        <is>
          <t>cat44cat22@gmail.com</t>
        </is>
      </c>
      <c r="E8" s="53" t="inlineStr">
        <is>
          <t>Monobank</t>
        </is>
      </c>
      <c r="F8" s="45" t="inlineStr">
        <is>
          <t>4441114424460887</t>
        </is>
      </c>
      <c r="G8" s="108" t="n"/>
      <c r="L8" s="53" t="n"/>
      <c r="M8" s="54" t="n"/>
    </row>
    <row r="9" ht="15.75" customHeight="1">
      <c r="A9" s="46" t="n">
        <v>3</v>
      </c>
      <c r="B9" s="200" t="inlineStr">
        <is>
          <t>Лащенко Сергій Олексійович - Motion design</t>
        </is>
      </c>
      <c r="C9" s="108" t="inlineStr">
        <is>
          <t>+380 93 763 1347</t>
        </is>
      </c>
      <c r="D9" s="42" t="inlineStr">
        <is>
          <t>lashenko285@gmail.com</t>
        </is>
      </c>
      <c r="E9" s="53" t="inlineStr">
        <is>
          <t>Monobank</t>
        </is>
      </c>
      <c r="F9" s="45" t="inlineStr">
        <is>
          <t>4441111039612886</t>
        </is>
      </c>
      <c r="G9" s="220" t="inlineStr">
        <is>
          <t>UA433220010000026202353175173</t>
        </is>
      </c>
      <c r="H9" s="108" t="inlineStr">
        <is>
          <t>3276811970</t>
        </is>
      </c>
      <c r="L9" s="53" t="n"/>
      <c r="M9" s="54" t="n"/>
    </row>
    <row r="10" ht="15.75" customHeight="1">
      <c r="A10" s="46" t="n">
        <v>5</v>
      </c>
      <c r="B10" s="200" t="inlineStr">
        <is>
          <t>Терлецька Марія Максимівна - Motion design</t>
        </is>
      </c>
      <c r="C10" s="108" t="n"/>
      <c r="D10" s="43" t="n"/>
      <c r="E10" s="136" t="inlineStr">
        <is>
          <t>Monobank</t>
        </is>
      </c>
      <c r="G10" s="220" t="inlineStr">
        <is>
          <t>UA683220010000026202353816766</t>
        </is>
      </c>
      <c r="H10" s="108" t="inlineStr">
        <is>
          <t>3781707605</t>
        </is>
      </c>
    </row>
    <row r="11" ht="15.75" customHeight="1">
      <c r="A11" s="46" t="n">
        <v>6</v>
      </c>
      <c r="B11" s="200" t="inlineStr">
        <is>
          <t>Аліна Колесник - Motion design</t>
        </is>
      </c>
      <c r="C11" s="108" t="n"/>
      <c r="G11" s="220" t="inlineStr">
        <is>
          <t>UA193220010000026205327095598</t>
        </is>
      </c>
      <c r="H11" s="108" t="n"/>
    </row>
    <row r="12" ht="15.75" customHeight="1">
      <c r="A12" s="46" t="n">
        <v>7</v>
      </c>
      <c r="B12" s="200" t="inlineStr">
        <is>
          <t>Злотко Олексій - Motion design</t>
        </is>
      </c>
      <c r="C12" s="108" t="n"/>
      <c r="D12" s="43" t="n"/>
      <c r="F12" s="45" t="inlineStr">
        <is>
          <t>4323345037851582</t>
        </is>
      </c>
      <c r="G12" s="220" t="inlineStr">
        <is>
          <t>UA943077700000026208713943056</t>
        </is>
      </c>
    </row>
    <row r="13" ht="15.75" customHeight="1">
      <c r="A13" t="n">
        <v>7</v>
      </c>
      <c r="B13" s="54" t="inlineStr">
        <is>
          <t>Жук Анна - Art Director</t>
        </is>
      </c>
      <c r="D13" s="43" t="n"/>
      <c r="E13" t="inlineStr">
        <is>
          <t>Monobank</t>
        </is>
      </c>
      <c r="G13" s="221" t="inlineStr">
        <is>
          <t>UA213052990000026207670923067</t>
        </is>
      </c>
      <c r="H13" t="inlineStr">
        <is>
          <t>3316114867</t>
        </is>
      </c>
    </row>
    <row r="14" ht="15.75" customHeight="1">
      <c r="A14" t="n">
        <v>8</v>
      </c>
      <c r="B14" s="54" t="inlineStr">
        <is>
          <t>Yuliia Pakhomova - Art Director</t>
        </is>
      </c>
      <c r="D14" s="43" t="n"/>
      <c r="E14" t="inlineStr">
        <is>
          <t>RaiffeisenBANK</t>
        </is>
      </c>
      <c r="F14" s="222" t="inlineStr">
        <is>
          <t>4149510046874766</t>
        </is>
      </c>
    </row>
    <row r="15" ht="16" customHeight="1">
      <c r="A15" t="n">
        <v>9</v>
      </c>
      <c r="B15" t="inlineStr">
        <is>
          <t>Льопа Богдан Вікторович - Programmer</t>
        </is>
      </c>
      <c r="C15" t="inlineStr">
        <is>
          <t>+380 97 252 2512</t>
        </is>
      </c>
      <c r="D15" s="43" t="inlineStr">
        <is>
          <t>bogdanlyopa@gmail.com</t>
        </is>
      </c>
      <c r="E15" t="inlineStr">
        <is>
          <t>PrivatBank</t>
        </is>
      </c>
      <c r="F15" s="222" t="inlineStr">
        <is>
          <t>5169360018206510</t>
        </is>
      </c>
    </row>
    <row r="16" ht="15.75" customHeight="1">
      <c r="B16" s="54" t="n"/>
      <c r="D16" s="43" t="n"/>
    </row>
    <row r="17" ht="15.75" customHeight="1">
      <c r="B17" s="54" t="n"/>
      <c r="D17" s="43" t="n"/>
    </row>
    <row r="18" ht="15.75" customHeight="1">
      <c r="B18" s="54" t="n"/>
      <c r="D18" s="43" t="n"/>
    </row>
    <row r="19" ht="16" customHeight="1">
      <c r="D19" s="43" t="n"/>
    </row>
    <row r="20" ht="15.75" customHeight="1">
      <c r="B20" s="54" t="n"/>
      <c r="D20" s="43" t="n"/>
    </row>
    <row r="21" ht="15.75" customHeight="1">
      <c r="D21" s="43" t="n"/>
    </row>
    <row r="22" ht="15.75" customHeight="1">
      <c r="B22" s="54" t="n"/>
      <c r="D22" s="43" t="n"/>
    </row>
    <row r="23" ht="15.75" customHeight="1">
      <c r="D23" s="43" t="n"/>
    </row>
    <row r="24" ht="15.75" customHeight="1">
      <c r="B24" s="54" t="n"/>
      <c r="D24" s="43" t="n"/>
    </row>
    <row r="25" ht="15.75" customHeight="1">
      <c r="D25" s="43" t="n"/>
    </row>
    <row r="26" ht="15.75" customHeight="1">
      <c r="B26" s="54" t="n"/>
      <c r="D26" s="43" t="n"/>
    </row>
    <row r="27" ht="15.75" customHeight="1">
      <c r="D27" s="43" t="n"/>
    </row>
    <row r="28" ht="15.75" customHeight="1">
      <c r="B28" s="54" t="n"/>
      <c r="D28" s="43" t="n"/>
    </row>
    <row r="29" ht="15.75" customHeight="1">
      <c r="D29" s="43" t="n"/>
    </row>
    <row r="30" ht="15.75" customHeight="1">
      <c r="D30" s="43" t="n"/>
    </row>
    <row r="31" ht="15.75" customHeight="1">
      <c r="D31" s="43" t="n"/>
    </row>
    <row r="32" ht="15.75" customHeight="1">
      <c r="D32" s="43" t="n"/>
    </row>
    <row r="33" ht="15.75" customHeight="1">
      <c r="D33" s="43" t="n"/>
    </row>
    <row r="34" ht="15.75" customHeight="1">
      <c r="D34" s="43" t="n"/>
    </row>
    <row r="35" ht="15.75" customHeight="1">
      <c r="D35" s="43" t="n"/>
    </row>
    <row r="36" ht="15.75" customHeight="1">
      <c r="D36" s="43" t="n"/>
    </row>
    <row r="37" ht="15.75" customHeight="1">
      <c r="D37" s="43" t="n"/>
    </row>
    <row r="38" ht="15.75" customHeight="1">
      <c r="D38" s="43" t="n"/>
    </row>
    <row r="39" ht="15.75" customHeight="1">
      <c r="D39" s="43" t="n"/>
    </row>
    <row r="40" ht="15.75" customHeight="1">
      <c r="D40" s="43" t="n"/>
    </row>
    <row r="41" ht="15.75" customHeight="1">
      <c r="D41" s="43" t="n"/>
    </row>
    <row r="42" ht="15.75" customHeight="1">
      <c r="D42" s="43" t="n"/>
    </row>
    <row r="43" ht="15.75" customHeight="1">
      <c r="D43" s="43" t="n"/>
    </row>
    <row r="44" ht="15.75" customHeight="1">
      <c r="D44" s="43" t="n"/>
    </row>
    <row r="45" ht="15.75" customHeight="1">
      <c r="D45" s="43" t="n"/>
    </row>
    <row r="46" ht="15.75" customHeight="1">
      <c r="D46" s="43" t="n"/>
    </row>
    <row r="47" ht="15.75" customHeight="1">
      <c r="D47" s="43" t="n"/>
    </row>
    <row r="48" ht="15.75" customHeight="1">
      <c r="D48" s="43" t="n"/>
    </row>
    <row r="49" ht="15.75" customHeight="1">
      <c r="D49" s="43" t="n"/>
    </row>
    <row r="50" ht="15.75" customHeight="1">
      <c r="D50" s="43" t="n"/>
    </row>
    <row r="51" ht="15.75" customHeight="1">
      <c r="D51" s="43" t="n"/>
    </row>
    <row r="52" ht="15.75" customHeight="1">
      <c r="D52" s="43" t="n"/>
    </row>
    <row r="53" ht="15.75" customHeight="1">
      <c r="D53" s="43" t="n"/>
    </row>
    <row r="54" ht="15.75" customHeight="1">
      <c r="D54" s="43" t="n"/>
    </row>
    <row r="55" ht="15.75" customHeight="1">
      <c r="D55" s="43" t="n"/>
    </row>
    <row r="56" ht="15.75" customHeight="1">
      <c r="D56" s="43" t="n"/>
    </row>
    <row r="57" ht="15.75" customHeight="1">
      <c r="D57" s="43" t="n"/>
    </row>
    <row r="58" ht="15.75" customHeight="1">
      <c r="D58" s="43" t="n"/>
    </row>
    <row r="59" ht="15.75" customHeight="1">
      <c r="D59" s="43" t="n"/>
    </row>
    <row r="60" ht="15.75" customHeight="1">
      <c r="D60" s="43" t="n"/>
    </row>
    <row r="61" ht="15.75" customHeight="1">
      <c r="D61" s="43" t="n"/>
    </row>
    <row r="62" ht="15.75" customHeight="1">
      <c r="D62" s="43" t="n"/>
    </row>
    <row r="63" ht="15.75" customHeight="1">
      <c r="D63" s="43" t="n"/>
    </row>
    <row r="64" ht="15.75" customHeight="1">
      <c r="D64" s="43" t="n"/>
    </row>
    <row r="65" ht="15.75" customHeight="1">
      <c r="D65" s="43" t="n"/>
    </row>
    <row r="66" ht="15.75" customHeight="1">
      <c r="D66" s="43" t="n"/>
    </row>
    <row r="67" ht="15.75" customHeight="1">
      <c r="D67" s="43" t="n"/>
    </row>
    <row r="68" ht="15.75" customHeight="1">
      <c r="D68" s="43" t="n"/>
    </row>
    <row r="69" ht="15.75" customHeight="1">
      <c r="D69" s="43" t="n"/>
    </row>
    <row r="70" ht="15.75" customHeight="1">
      <c r="D70" s="43" t="n"/>
    </row>
    <row r="71" ht="15.75" customHeight="1">
      <c r="D71" s="43" t="n"/>
    </row>
    <row r="72" ht="15.75" customHeight="1">
      <c r="D72" s="43" t="n"/>
    </row>
    <row r="73" ht="15.75" customHeight="1">
      <c r="D73" s="43" t="n"/>
    </row>
    <row r="74" ht="15.75" customHeight="1">
      <c r="D74" s="43" t="n"/>
    </row>
    <row r="75" ht="15.75" customHeight="1">
      <c r="D75" s="43" t="n"/>
    </row>
    <row r="76" ht="15.75" customHeight="1">
      <c r="D76" s="43" t="n"/>
    </row>
    <row r="77" ht="15.75" customHeight="1">
      <c r="D77" s="43" t="n"/>
    </row>
    <row r="78" ht="15.75" customHeight="1">
      <c r="D78" s="43" t="n"/>
    </row>
    <row r="79" ht="15.75" customHeight="1">
      <c r="D79" s="43" t="n"/>
    </row>
    <row r="80" ht="15.75" customHeight="1">
      <c r="D80" s="43" t="n"/>
    </row>
    <row r="81" ht="15.75" customHeight="1">
      <c r="D81" s="43" t="n"/>
    </row>
    <row r="82" ht="15.75" customHeight="1">
      <c r="D82" s="43" t="n"/>
    </row>
    <row r="83" ht="15.75" customHeight="1">
      <c r="D83" s="43" t="n"/>
    </row>
    <row r="84" ht="15.75" customHeight="1">
      <c r="D84" s="43" t="n"/>
    </row>
    <row r="85" ht="15.75" customHeight="1">
      <c r="D85" s="43" t="n"/>
    </row>
    <row r="86" ht="15.75" customHeight="1">
      <c r="D86" s="43" t="n"/>
    </row>
    <row r="87" ht="15.75" customHeight="1">
      <c r="D87" s="43" t="n"/>
    </row>
    <row r="88" ht="15.75" customHeight="1">
      <c r="D88" s="43" t="n"/>
    </row>
    <row r="89" ht="15.75" customHeight="1">
      <c r="D89" s="43" t="n"/>
    </row>
    <row r="90" ht="15.75" customHeight="1">
      <c r="D90" s="43" t="n"/>
    </row>
    <row r="91" ht="15.75" customHeight="1">
      <c r="D91" s="43" t="n"/>
    </row>
    <row r="92" ht="15.75" customHeight="1">
      <c r="D92" s="43" t="n"/>
    </row>
    <row r="93" ht="15.75" customHeight="1">
      <c r="D93" s="43" t="n"/>
    </row>
    <row r="94" ht="15.75" customHeight="1">
      <c r="D94" s="43" t="n"/>
    </row>
    <row r="95" ht="15.75" customHeight="1">
      <c r="D95" s="43" t="n"/>
    </row>
    <row r="96" ht="15.75" customHeight="1">
      <c r="D96" s="43" t="n"/>
    </row>
    <row r="97" ht="15.75" customHeight="1">
      <c r="D97" s="43" t="n"/>
    </row>
    <row r="98" ht="15.75" customHeight="1">
      <c r="D98" s="43" t="n"/>
    </row>
    <row r="99" ht="15.75" customHeight="1">
      <c r="D99" s="43" t="n"/>
    </row>
    <row r="100" ht="15.75" customHeight="1">
      <c r="D100" s="43" t="n"/>
    </row>
    <row r="101" ht="15.75" customHeight="1">
      <c r="D101" s="43" t="n"/>
    </row>
    <row r="102" ht="15.75" customHeight="1">
      <c r="D102" s="43" t="n"/>
    </row>
    <row r="103" ht="15.75" customHeight="1">
      <c r="D103" s="43" t="n"/>
    </row>
    <row r="104" ht="15.75" customHeight="1">
      <c r="D104" s="43" t="n"/>
    </row>
    <row r="105" ht="15.75" customHeight="1">
      <c r="D105" s="43" t="n"/>
    </row>
    <row r="106" ht="15.75" customHeight="1">
      <c r="D106" s="43" t="n"/>
    </row>
    <row r="107" ht="15.75" customHeight="1">
      <c r="D107" s="43" t="n"/>
    </row>
    <row r="108" ht="15.75" customHeight="1">
      <c r="D108" s="43" t="n"/>
    </row>
    <row r="109" ht="15.75" customHeight="1">
      <c r="D109" s="43" t="n"/>
    </row>
    <row r="110" ht="15.75" customHeight="1">
      <c r="D110" s="43" t="n"/>
    </row>
    <row r="111" ht="15.75" customHeight="1">
      <c r="D111" s="43" t="n"/>
    </row>
    <row r="112" ht="15.75" customHeight="1">
      <c r="D112" s="43" t="n"/>
    </row>
    <row r="113" ht="15.75" customHeight="1">
      <c r="D113" s="43" t="n"/>
    </row>
    <row r="114" ht="15.75" customHeight="1">
      <c r="D114" s="43" t="n"/>
    </row>
    <row r="115" ht="15.75" customHeight="1">
      <c r="D115" s="43" t="n"/>
    </row>
    <row r="116" ht="15.75" customHeight="1">
      <c r="D116" s="43" t="n"/>
    </row>
    <row r="117" ht="15.75" customHeight="1">
      <c r="D117" s="43" t="n"/>
    </row>
    <row r="118" ht="15.75" customHeight="1">
      <c r="D118" s="43" t="n"/>
    </row>
    <row r="119" ht="15.75" customHeight="1">
      <c r="D119" s="43" t="n"/>
    </row>
    <row r="120" ht="15.75" customHeight="1">
      <c r="D120" s="43" t="n"/>
    </row>
    <row r="121" ht="15.75" customHeight="1">
      <c r="D121" s="43" t="n"/>
    </row>
    <row r="122" ht="15.75" customHeight="1">
      <c r="D122" s="43" t="n"/>
    </row>
    <row r="123" ht="15.75" customHeight="1">
      <c r="D123" s="43" t="n"/>
    </row>
    <row r="124" ht="15.75" customHeight="1">
      <c r="D124" s="43" t="n"/>
    </row>
    <row r="125" ht="15.75" customHeight="1">
      <c r="D125" s="43" t="n"/>
    </row>
    <row r="126" ht="15.75" customHeight="1">
      <c r="D126" s="43" t="n"/>
    </row>
    <row r="127" ht="15.75" customHeight="1">
      <c r="D127" s="43" t="n"/>
    </row>
    <row r="128" ht="15.75" customHeight="1">
      <c r="D128" s="43" t="n"/>
    </row>
    <row r="129" ht="15.75" customHeight="1">
      <c r="D129" s="43" t="n"/>
    </row>
    <row r="130" ht="15.75" customHeight="1">
      <c r="D130" s="43" t="n"/>
    </row>
    <row r="131" ht="15.75" customHeight="1">
      <c r="D131" s="43" t="n"/>
    </row>
    <row r="132" ht="15.75" customHeight="1">
      <c r="D132" s="43" t="n"/>
    </row>
    <row r="133" ht="15.75" customHeight="1">
      <c r="D133" s="43" t="n"/>
    </row>
    <row r="134" ht="15.75" customHeight="1">
      <c r="D134" s="43" t="n"/>
    </row>
    <row r="135" ht="15.75" customHeight="1">
      <c r="D135" s="43" t="n"/>
    </row>
    <row r="136" ht="15.75" customHeight="1">
      <c r="D136" s="43" t="n"/>
    </row>
    <row r="137" ht="15.75" customHeight="1">
      <c r="D137" s="43" t="n"/>
    </row>
    <row r="138" ht="15.75" customHeight="1">
      <c r="D138" s="43" t="n"/>
    </row>
    <row r="139" ht="15.75" customHeight="1">
      <c r="D139" s="43" t="n"/>
    </row>
    <row r="140" ht="15.75" customHeight="1">
      <c r="D140" s="43" t="n"/>
    </row>
    <row r="141" ht="15.75" customHeight="1">
      <c r="D141" s="43" t="n"/>
    </row>
    <row r="142" ht="15.75" customHeight="1">
      <c r="D142" s="43" t="n"/>
    </row>
    <row r="143" ht="15.75" customHeight="1">
      <c r="D143" s="43" t="n"/>
    </row>
    <row r="144" ht="15.75" customHeight="1">
      <c r="D144" s="43" t="n"/>
    </row>
    <row r="145" ht="15.75" customHeight="1">
      <c r="D145" s="43" t="n"/>
    </row>
    <row r="146" ht="15.75" customHeight="1">
      <c r="D146" s="43" t="n"/>
    </row>
    <row r="147" ht="15.75" customHeight="1">
      <c r="D147" s="43" t="n"/>
    </row>
    <row r="148" ht="15.75" customHeight="1">
      <c r="D148" s="43" t="n"/>
    </row>
    <row r="149" ht="15.75" customHeight="1">
      <c r="D149" s="43" t="n"/>
    </row>
    <row r="150" ht="15.75" customHeight="1">
      <c r="D150" s="43" t="n"/>
    </row>
    <row r="151" ht="15.75" customHeight="1">
      <c r="D151" s="43" t="n"/>
    </row>
    <row r="152" ht="15.75" customHeight="1">
      <c r="D152" s="43" t="n"/>
    </row>
    <row r="153" ht="15.75" customHeight="1">
      <c r="D153" s="43" t="n"/>
    </row>
    <row r="154" ht="15.75" customHeight="1">
      <c r="D154" s="43" t="n"/>
    </row>
    <row r="155" ht="15.75" customHeight="1">
      <c r="D155" s="43" t="n"/>
    </row>
    <row r="156" ht="15.75" customHeight="1">
      <c r="D156" s="43" t="n"/>
    </row>
    <row r="157" ht="15.75" customHeight="1">
      <c r="D157" s="43" t="n"/>
    </row>
    <row r="158" ht="15.75" customHeight="1">
      <c r="D158" s="43" t="n"/>
    </row>
    <row r="159" ht="15.75" customHeight="1">
      <c r="D159" s="43" t="n"/>
    </row>
    <row r="160" ht="15.75" customHeight="1">
      <c r="D160" s="43" t="n"/>
    </row>
    <row r="161" ht="15.75" customHeight="1">
      <c r="D161" s="43" t="n"/>
    </row>
    <row r="162" ht="15.75" customHeight="1">
      <c r="D162" s="43" t="n"/>
    </row>
    <row r="163" ht="15.75" customHeight="1">
      <c r="D163" s="43" t="n"/>
    </row>
    <row r="164" ht="15.75" customHeight="1">
      <c r="D164" s="43" t="n"/>
    </row>
    <row r="165" ht="15.75" customHeight="1">
      <c r="D165" s="43" t="n"/>
    </row>
    <row r="166" ht="15.75" customHeight="1">
      <c r="D166" s="43" t="n"/>
    </row>
    <row r="167" ht="15.75" customHeight="1">
      <c r="D167" s="43" t="n"/>
    </row>
    <row r="168" ht="15.75" customHeight="1">
      <c r="D168" s="43" t="n"/>
    </row>
    <row r="169" ht="15.75" customHeight="1">
      <c r="D169" s="43" t="n"/>
    </row>
    <row r="170" ht="15.75" customHeight="1">
      <c r="D170" s="43" t="n"/>
    </row>
    <row r="171" ht="15.75" customHeight="1">
      <c r="D171" s="43" t="n"/>
    </row>
    <row r="172" ht="15.75" customHeight="1">
      <c r="D172" s="43" t="n"/>
    </row>
    <row r="173" ht="15.75" customHeight="1">
      <c r="D173" s="43" t="n"/>
    </row>
    <row r="174" ht="15.75" customHeight="1">
      <c r="D174" s="43" t="n"/>
    </row>
    <row r="175" ht="15.75" customHeight="1">
      <c r="D175" s="43" t="n"/>
    </row>
    <row r="176" ht="15.75" customHeight="1">
      <c r="D176" s="43" t="n"/>
    </row>
    <row r="177" ht="15.75" customHeight="1">
      <c r="D177" s="43" t="n"/>
    </row>
    <row r="178" ht="15.75" customHeight="1">
      <c r="D178" s="43" t="n"/>
    </row>
    <row r="179" ht="15.75" customHeight="1">
      <c r="D179" s="43" t="n"/>
    </row>
    <row r="180" ht="15.75" customHeight="1">
      <c r="D180" s="43" t="n"/>
    </row>
    <row r="181" ht="15.75" customHeight="1">
      <c r="D181" s="43" t="n"/>
    </row>
    <row r="182" ht="15.75" customHeight="1">
      <c r="D182" s="43" t="n"/>
    </row>
    <row r="183" ht="15.75" customHeight="1">
      <c r="D183" s="43" t="n"/>
    </row>
    <row r="184" ht="15.75" customHeight="1">
      <c r="D184" s="43" t="n"/>
    </row>
    <row r="185" ht="15.75" customHeight="1">
      <c r="D185" s="43" t="n"/>
    </row>
    <row r="186" ht="15.75" customHeight="1">
      <c r="D186" s="43" t="n"/>
    </row>
    <row r="187" ht="15.75" customHeight="1">
      <c r="D187" s="43" t="n"/>
    </row>
    <row r="188" ht="15.75" customHeight="1">
      <c r="D188" s="43" t="n"/>
    </row>
    <row r="189" ht="15.75" customHeight="1">
      <c r="D189" s="43" t="n"/>
    </row>
    <row r="190" ht="15.75" customHeight="1">
      <c r="D190" s="43" t="n"/>
    </row>
    <row r="191" ht="15.75" customHeight="1">
      <c r="D191" s="43" t="n"/>
    </row>
    <row r="192" ht="15.75" customHeight="1">
      <c r="D192" s="43" t="n"/>
    </row>
    <row r="193" ht="15.75" customHeight="1">
      <c r="D193" s="43" t="n"/>
    </row>
    <row r="194" ht="15.75" customHeight="1">
      <c r="D194" s="43" t="n"/>
    </row>
    <row r="195" ht="15.75" customHeight="1">
      <c r="D195" s="43" t="n"/>
    </row>
    <row r="196" ht="15.75" customHeight="1">
      <c r="D196" s="43" t="n"/>
    </row>
    <row r="197" ht="15.75" customHeight="1">
      <c r="D197" s="43" t="n"/>
    </row>
    <row r="198" ht="15.75" customHeight="1">
      <c r="D198" s="43" t="n"/>
    </row>
    <row r="199" ht="15.75" customHeight="1">
      <c r="D199" s="43" t="n"/>
    </row>
    <row r="200" ht="15.75" customHeight="1">
      <c r="D200" s="43" t="n"/>
    </row>
    <row r="201" ht="15.75" customHeight="1">
      <c r="D201" s="43" t="n"/>
    </row>
    <row r="202" ht="15.75" customHeight="1">
      <c r="D202" s="43" t="n"/>
    </row>
    <row r="203" ht="15.75" customHeight="1">
      <c r="D203" s="43" t="n"/>
    </row>
    <row r="204" ht="15.75" customHeight="1">
      <c r="D204" s="43" t="n"/>
    </row>
    <row r="205" ht="15.75" customHeight="1">
      <c r="D205" s="43" t="n"/>
    </row>
    <row r="206" ht="15.75" customHeight="1">
      <c r="D206" s="43" t="n"/>
    </row>
    <row r="207" ht="15.75" customHeight="1">
      <c r="D207" s="43" t="n"/>
    </row>
    <row r="208" ht="15.75" customHeight="1">
      <c r="D208" s="43" t="n"/>
    </row>
    <row r="209" ht="15.75" customHeight="1">
      <c r="D209" s="43" t="n"/>
    </row>
    <row r="210" ht="15.75" customHeight="1">
      <c r="D210" s="43" t="n"/>
    </row>
    <row r="211" ht="15.75" customHeight="1">
      <c r="D211" s="43" t="n"/>
    </row>
    <row r="212" ht="15.75" customHeight="1">
      <c r="D212" s="43" t="n"/>
    </row>
    <row r="213" ht="15.75" customHeight="1">
      <c r="D213" s="43" t="n"/>
    </row>
    <row r="214" ht="15.75" customHeight="1">
      <c r="D214" s="43" t="n"/>
    </row>
    <row r="215" ht="15.75" customHeight="1">
      <c r="D215" s="43" t="n"/>
    </row>
    <row r="216" ht="15.75" customHeight="1">
      <c r="D216" s="43" t="n"/>
    </row>
    <row r="217" ht="15.75" customHeight="1">
      <c r="D217" s="43" t="n"/>
    </row>
    <row r="218" ht="15.75" customHeight="1">
      <c r="D218" s="43" t="n"/>
    </row>
    <row r="219" ht="15.75" customHeight="1">
      <c r="D219" s="43" t="n"/>
    </row>
    <row r="220" ht="15.75" customHeight="1">
      <c r="D220" s="43" t="n"/>
    </row>
    <row r="221" ht="15.75" customHeight="1">
      <c r="D221" s="43" t="n"/>
    </row>
    <row r="222" ht="15.75" customHeight="1">
      <c r="D222" s="43" t="n"/>
    </row>
    <row r="223" ht="15.75" customHeight="1">
      <c r="D223" s="43" t="n"/>
    </row>
    <row r="224" ht="15.75" customHeight="1">
      <c r="D224" s="43" t="n"/>
    </row>
    <row r="225" ht="15.75" customHeight="1">
      <c r="D225" s="43" t="n"/>
    </row>
    <row r="226" ht="15.75" customHeight="1">
      <c r="D226" s="43" t="n"/>
    </row>
    <row r="227" ht="15.75" customHeight="1">
      <c r="D227" s="43" t="n"/>
    </row>
    <row r="228" ht="15.75" customHeight="1">
      <c r="D228" s="43" t="n"/>
    </row>
    <row r="229" ht="15.75" customHeight="1">
      <c r="D229" s="43" t="n"/>
    </row>
    <row r="230" ht="15.75" customHeight="1">
      <c r="D230" s="43" t="n"/>
    </row>
    <row r="231" ht="15.75" customHeight="1">
      <c r="D231" s="43" t="n"/>
    </row>
    <row r="232" ht="15.75" customHeight="1">
      <c r="D232" s="43" t="n"/>
    </row>
    <row r="233" ht="15.75" customHeight="1">
      <c r="D233" s="43" t="n"/>
    </row>
    <row r="234" ht="15.75" customHeight="1">
      <c r="D234" s="43" t="n"/>
    </row>
    <row r="235" ht="15.75" customHeight="1">
      <c r="D235" s="43" t="n"/>
    </row>
    <row r="236" ht="15.75" customHeight="1">
      <c r="D236" s="43" t="n"/>
    </row>
    <row r="237" ht="15.75" customHeight="1">
      <c r="D237" s="43" t="n"/>
    </row>
    <row r="238" ht="15.75" customHeight="1">
      <c r="D238" s="43" t="n"/>
    </row>
    <row r="239" ht="15.75" customHeight="1">
      <c r="D239" s="43" t="n"/>
    </row>
    <row r="240" ht="15.75" customHeight="1">
      <c r="D240" s="43" t="n"/>
    </row>
    <row r="241" ht="15.75" customHeight="1">
      <c r="D241" s="43" t="n"/>
    </row>
    <row r="242" ht="15.75" customHeight="1">
      <c r="D242" s="43" t="n"/>
    </row>
    <row r="243" ht="15.75" customHeight="1">
      <c r="D243" s="43" t="n"/>
    </row>
    <row r="244" ht="15.75" customHeight="1">
      <c r="D244" s="43" t="n"/>
    </row>
    <row r="245" ht="15.75" customHeight="1">
      <c r="D245" s="43" t="n"/>
    </row>
    <row r="246" ht="15.75" customHeight="1">
      <c r="D246" s="43" t="n"/>
    </row>
    <row r="247" ht="15.75" customHeight="1">
      <c r="D247" s="43" t="n"/>
    </row>
    <row r="248" ht="15.75" customHeight="1">
      <c r="D248" s="43" t="n"/>
    </row>
    <row r="249" ht="15.75" customHeight="1">
      <c r="D249" s="43" t="n"/>
    </row>
    <row r="250" ht="15.75" customHeight="1">
      <c r="D250" s="43" t="n"/>
    </row>
    <row r="251" ht="15.75" customHeight="1">
      <c r="D251" s="43" t="n"/>
    </row>
    <row r="252" ht="15.75" customHeight="1">
      <c r="D252" s="43" t="n"/>
    </row>
    <row r="253" ht="15.75" customHeight="1">
      <c r="D253" s="43" t="n"/>
    </row>
    <row r="254" ht="15.75" customHeight="1">
      <c r="D254" s="43" t="n"/>
    </row>
    <row r="255" ht="15.75" customHeight="1">
      <c r="D255" s="43" t="n"/>
    </row>
    <row r="256" ht="15.75" customHeight="1">
      <c r="D256" s="43" t="n"/>
    </row>
    <row r="257" ht="15.75" customHeight="1">
      <c r="D257" s="43" t="n"/>
    </row>
    <row r="258" ht="15.75" customHeight="1">
      <c r="D258" s="43" t="n"/>
    </row>
    <row r="259" ht="15.75" customHeight="1">
      <c r="D259" s="43" t="n"/>
    </row>
    <row r="260" ht="15.75" customHeight="1">
      <c r="D260" s="43" t="n"/>
    </row>
    <row r="261" ht="15.75" customHeight="1">
      <c r="D261" s="43" t="n"/>
    </row>
    <row r="262" ht="15.75" customHeight="1">
      <c r="D262" s="43" t="n"/>
    </row>
    <row r="263" ht="15.75" customHeight="1">
      <c r="D263" s="43" t="n"/>
    </row>
    <row r="264" ht="15.75" customHeight="1">
      <c r="D264" s="43" t="n"/>
    </row>
    <row r="265" ht="15.75" customHeight="1">
      <c r="D265" s="43" t="n"/>
    </row>
    <row r="266" ht="15.75" customHeight="1">
      <c r="D266" s="43" t="n"/>
    </row>
    <row r="267" ht="15.75" customHeight="1">
      <c r="D267" s="43" t="n"/>
    </row>
    <row r="268" ht="15.75" customHeight="1">
      <c r="D268" s="43" t="n"/>
    </row>
    <row r="269" ht="15.75" customHeight="1">
      <c r="D269" s="43" t="n"/>
    </row>
    <row r="270" ht="15.75" customHeight="1">
      <c r="D270" s="43" t="n"/>
    </row>
    <row r="271" ht="15.75" customHeight="1">
      <c r="D271" s="43" t="n"/>
    </row>
    <row r="272" ht="15.75" customHeight="1">
      <c r="D272" s="43" t="n"/>
    </row>
    <row r="273" ht="15.75" customHeight="1">
      <c r="D273" s="43" t="n"/>
    </row>
    <row r="274" ht="15.75" customHeight="1">
      <c r="D274" s="43" t="n"/>
    </row>
    <row r="275" ht="15.75" customHeight="1">
      <c r="D275" s="43" t="n"/>
    </row>
    <row r="276" ht="15.75" customHeight="1">
      <c r="D276" s="43" t="n"/>
    </row>
    <row r="277" ht="15.75" customHeight="1">
      <c r="D277" s="43" t="n"/>
    </row>
    <row r="278" ht="15.75" customHeight="1">
      <c r="D278" s="43" t="n"/>
    </row>
    <row r="279" ht="15.75" customHeight="1">
      <c r="D279" s="43" t="n"/>
    </row>
    <row r="280" ht="15.75" customHeight="1">
      <c r="D280" s="43" t="n"/>
    </row>
    <row r="281" ht="15.75" customHeight="1">
      <c r="D281" s="43" t="n"/>
    </row>
    <row r="282" ht="15.75" customHeight="1">
      <c r="D282" s="43" t="n"/>
    </row>
    <row r="283" ht="15.75" customHeight="1">
      <c r="D283" s="43" t="n"/>
    </row>
    <row r="284" ht="15.75" customHeight="1">
      <c r="D284" s="43" t="n"/>
    </row>
    <row r="285" ht="15.75" customHeight="1">
      <c r="D285" s="43" t="n"/>
    </row>
    <row r="286" ht="15.75" customHeight="1">
      <c r="D286" s="43" t="n"/>
    </row>
    <row r="287" ht="15.75" customHeight="1">
      <c r="D287" s="43" t="n"/>
    </row>
    <row r="288" ht="15.75" customHeight="1">
      <c r="D288" s="43" t="n"/>
    </row>
    <row r="289" ht="15.75" customHeight="1">
      <c r="D289" s="43" t="n"/>
    </row>
    <row r="290" ht="15.75" customHeight="1">
      <c r="D290" s="43" t="n"/>
    </row>
    <row r="291" ht="15.75" customHeight="1">
      <c r="D291" s="43" t="n"/>
    </row>
    <row r="292" ht="15.75" customHeight="1">
      <c r="D292" s="43" t="n"/>
    </row>
    <row r="293" ht="15.75" customHeight="1">
      <c r="D293" s="43" t="n"/>
    </row>
    <row r="294" ht="15.75" customHeight="1">
      <c r="D294" s="43" t="n"/>
    </row>
    <row r="295" ht="15.75" customHeight="1">
      <c r="D295" s="43" t="n"/>
    </row>
    <row r="296" ht="15.75" customHeight="1">
      <c r="D296" s="43" t="n"/>
    </row>
    <row r="297" ht="15.75" customHeight="1">
      <c r="D297" s="43" t="n"/>
    </row>
    <row r="298" ht="15.75" customHeight="1">
      <c r="D298" s="43" t="n"/>
    </row>
    <row r="299" ht="15.75" customHeight="1">
      <c r="D299" s="43" t="n"/>
    </row>
    <row r="300" ht="15.75" customHeight="1">
      <c r="D300" s="43" t="n"/>
    </row>
    <row r="301" ht="15.75" customHeight="1">
      <c r="D301" s="43" t="n"/>
    </row>
    <row r="302" ht="15.75" customHeight="1">
      <c r="D302" s="43" t="n"/>
    </row>
    <row r="303" ht="15.75" customHeight="1">
      <c r="D303" s="43" t="n"/>
    </row>
    <row r="304" ht="15.75" customHeight="1">
      <c r="D304" s="43" t="n"/>
    </row>
    <row r="305" ht="15.75" customHeight="1">
      <c r="D305" s="43" t="n"/>
    </row>
    <row r="306" ht="15.75" customHeight="1">
      <c r="D306" s="43" t="n"/>
    </row>
    <row r="307" ht="15.75" customHeight="1">
      <c r="D307" s="43" t="n"/>
    </row>
    <row r="308" ht="15.75" customHeight="1">
      <c r="D308" s="43" t="n"/>
    </row>
    <row r="309" ht="15.75" customHeight="1">
      <c r="D309" s="43" t="n"/>
    </row>
    <row r="310" ht="15.75" customHeight="1">
      <c r="D310" s="43" t="n"/>
    </row>
    <row r="311" ht="15.75" customHeight="1">
      <c r="D311" s="43" t="n"/>
    </row>
    <row r="312" ht="15.75" customHeight="1">
      <c r="D312" s="43" t="n"/>
    </row>
    <row r="313" ht="15.75" customHeight="1">
      <c r="D313" s="43" t="n"/>
    </row>
    <row r="314" ht="15.75" customHeight="1">
      <c r="D314" s="43" t="n"/>
    </row>
    <row r="315" ht="15.75" customHeight="1">
      <c r="D315" s="43" t="n"/>
    </row>
    <row r="316" ht="15.75" customHeight="1">
      <c r="D316" s="43" t="n"/>
    </row>
    <row r="317" ht="15.75" customHeight="1">
      <c r="D317" s="43" t="n"/>
    </row>
    <row r="318" ht="15.75" customHeight="1">
      <c r="D318" s="43" t="n"/>
    </row>
    <row r="319" ht="15.75" customHeight="1">
      <c r="D319" s="43" t="n"/>
    </row>
    <row r="320" ht="15.75" customHeight="1">
      <c r="D320" s="43" t="n"/>
    </row>
    <row r="321" ht="15.75" customHeight="1">
      <c r="D321" s="43" t="n"/>
    </row>
    <row r="322" ht="15.75" customHeight="1">
      <c r="D322" s="43" t="n"/>
    </row>
    <row r="323" ht="15.75" customHeight="1">
      <c r="D323" s="43" t="n"/>
    </row>
    <row r="324" ht="15.75" customHeight="1">
      <c r="D324" s="43" t="n"/>
    </row>
    <row r="325" ht="15.75" customHeight="1">
      <c r="D325" s="43" t="n"/>
    </row>
    <row r="326" ht="15.75" customHeight="1">
      <c r="D326" s="43" t="n"/>
    </row>
    <row r="327" ht="15.75" customHeight="1">
      <c r="D327" s="43" t="n"/>
    </row>
    <row r="328" ht="15.75" customHeight="1">
      <c r="D328" s="43" t="n"/>
    </row>
    <row r="329" ht="15.75" customHeight="1">
      <c r="D329" s="43" t="n"/>
    </row>
    <row r="330" ht="15.75" customHeight="1">
      <c r="D330" s="43" t="n"/>
    </row>
    <row r="331" ht="15.75" customHeight="1">
      <c r="D331" s="43" t="n"/>
    </row>
    <row r="332" ht="15.75" customHeight="1">
      <c r="D332" s="43" t="n"/>
    </row>
    <row r="333" ht="15.75" customHeight="1">
      <c r="D333" s="43" t="n"/>
    </row>
    <row r="334" ht="15.75" customHeight="1">
      <c r="D334" s="43" t="n"/>
    </row>
    <row r="335" ht="15.75" customHeight="1">
      <c r="D335" s="43" t="n"/>
    </row>
    <row r="336" ht="15.75" customHeight="1">
      <c r="D336" s="43" t="n"/>
    </row>
    <row r="337" ht="15.75" customHeight="1">
      <c r="D337" s="43" t="n"/>
    </row>
    <row r="338" ht="15.75" customHeight="1">
      <c r="D338" s="43" t="n"/>
    </row>
    <row r="339" ht="15.75" customHeight="1">
      <c r="D339" s="43" t="n"/>
    </row>
    <row r="340" ht="15.75" customHeight="1">
      <c r="D340" s="43" t="n"/>
    </row>
    <row r="341" ht="15.75" customHeight="1">
      <c r="D341" s="43" t="n"/>
    </row>
    <row r="342" ht="15.75" customHeight="1">
      <c r="D342" s="43" t="n"/>
    </row>
    <row r="343" ht="15.75" customHeight="1">
      <c r="D343" s="43" t="n"/>
    </row>
    <row r="344" ht="15.75" customHeight="1">
      <c r="D344" s="43" t="n"/>
    </row>
    <row r="345" ht="15.75" customHeight="1">
      <c r="D345" s="43" t="n"/>
    </row>
    <row r="346" ht="15.75" customHeight="1">
      <c r="D346" s="43" t="n"/>
    </row>
    <row r="347" ht="15.75" customHeight="1">
      <c r="D347" s="43" t="n"/>
    </row>
    <row r="348" ht="15.75" customHeight="1">
      <c r="D348" s="43" t="n"/>
    </row>
    <row r="349" ht="15.75" customHeight="1">
      <c r="D349" s="43" t="n"/>
    </row>
    <row r="350" ht="15.75" customHeight="1">
      <c r="D350" s="43" t="n"/>
    </row>
    <row r="351" ht="15.75" customHeight="1">
      <c r="D351" s="43" t="n"/>
    </row>
    <row r="352" ht="15.75" customHeight="1">
      <c r="D352" s="43" t="n"/>
    </row>
    <row r="353" ht="15.75" customHeight="1">
      <c r="D353" s="43" t="n"/>
    </row>
    <row r="354" ht="15.75" customHeight="1">
      <c r="D354" s="43" t="n"/>
    </row>
    <row r="355" ht="15.75" customHeight="1">
      <c r="D355" s="43" t="n"/>
    </row>
    <row r="356" ht="15.75" customHeight="1">
      <c r="D356" s="43" t="n"/>
    </row>
    <row r="357" ht="15.75" customHeight="1">
      <c r="D357" s="43" t="n"/>
    </row>
    <row r="358" ht="15.75" customHeight="1">
      <c r="D358" s="43" t="n"/>
    </row>
    <row r="359" ht="15.75" customHeight="1">
      <c r="D359" s="43" t="n"/>
    </row>
    <row r="360" ht="15.75" customHeight="1">
      <c r="D360" s="43" t="n"/>
    </row>
    <row r="361" ht="15.75" customHeight="1">
      <c r="D361" s="43" t="n"/>
    </row>
    <row r="362" ht="15.75" customHeight="1">
      <c r="D362" s="43" t="n"/>
    </row>
    <row r="363" ht="15.75" customHeight="1">
      <c r="D363" s="43" t="n"/>
    </row>
    <row r="364" ht="15.75" customHeight="1">
      <c r="D364" s="43" t="n"/>
    </row>
    <row r="365" ht="15.75" customHeight="1">
      <c r="D365" s="43" t="n"/>
    </row>
    <row r="366" ht="15.75" customHeight="1">
      <c r="D366" s="43" t="n"/>
    </row>
    <row r="367" ht="15.75" customHeight="1">
      <c r="D367" s="43" t="n"/>
    </row>
    <row r="368" ht="15.75" customHeight="1">
      <c r="D368" s="43" t="n"/>
    </row>
    <row r="369" ht="15.75" customHeight="1">
      <c r="D369" s="43" t="n"/>
    </row>
    <row r="370" ht="15.75" customHeight="1">
      <c r="D370" s="43" t="n"/>
    </row>
    <row r="371" ht="15.75" customHeight="1">
      <c r="D371" s="43" t="n"/>
    </row>
    <row r="372" ht="15.75" customHeight="1">
      <c r="D372" s="43" t="n"/>
    </row>
    <row r="373" ht="15.75" customHeight="1">
      <c r="D373" s="43" t="n"/>
    </row>
    <row r="374" ht="15.75" customHeight="1">
      <c r="D374" s="43" t="n"/>
    </row>
    <row r="375" ht="15.75" customHeight="1">
      <c r="D375" s="43" t="n"/>
    </row>
    <row r="376" ht="15.75" customHeight="1">
      <c r="D376" s="43" t="n"/>
    </row>
    <row r="377" ht="15.75" customHeight="1">
      <c r="D377" s="43" t="n"/>
    </row>
    <row r="378" ht="15.75" customHeight="1">
      <c r="D378" s="43" t="n"/>
    </row>
    <row r="379" ht="15.75" customHeight="1">
      <c r="D379" s="43" t="n"/>
    </row>
    <row r="380" ht="15.75" customHeight="1">
      <c r="D380" s="43" t="n"/>
    </row>
    <row r="381" ht="15.75" customHeight="1">
      <c r="D381" s="43" t="n"/>
    </row>
    <row r="382" ht="15.75" customHeight="1">
      <c r="D382" s="43" t="n"/>
    </row>
    <row r="383" ht="15.75" customHeight="1">
      <c r="D383" s="43" t="n"/>
    </row>
    <row r="384" ht="15.75" customHeight="1">
      <c r="D384" s="43" t="n"/>
    </row>
    <row r="385" ht="15.75" customHeight="1">
      <c r="D385" s="43" t="n"/>
    </row>
    <row r="386" ht="15.75" customHeight="1">
      <c r="D386" s="43" t="n"/>
    </row>
    <row r="387" ht="15.75" customHeight="1">
      <c r="D387" s="43" t="n"/>
    </row>
    <row r="388" ht="15.75" customHeight="1">
      <c r="D388" s="43" t="n"/>
    </row>
    <row r="389" ht="15.75" customHeight="1">
      <c r="D389" s="43" t="n"/>
    </row>
    <row r="390" ht="15.75" customHeight="1">
      <c r="D390" s="43" t="n"/>
    </row>
    <row r="391" ht="15.75" customHeight="1">
      <c r="D391" s="43" t="n"/>
    </row>
    <row r="392" ht="15.75" customHeight="1">
      <c r="D392" s="43" t="n"/>
    </row>
    <row r="393" ht="15.75" customHeight="1">
      <c r="D393" s="43" t="n"/>
    </row>
    <row r="394" ht="15.75" customHeight="1">
      <c r="D394" s="43" t="n"/>
    </row>
    <row r="395" ht="15.75" customHeight="1">
      <c r="D395" s="43" t="n"/>
    </row>
    <row r="396" ht="15.75" customHeight="1">
      <c r="D396" s="43" t="n"/>
    </row>
    <row r="397" ht="15.75" customHeight="1">
      <c r="D397" s="43" t="n"/>
    </row>
    <row r="398" ht="15.75" customHeight="1">
      <c r="D398" s="43" t="n"/>
    </row>
    <row r="399" ht="15.75" customHeight="1">
      <c r="D399" s="43" t="n"/>
    </row>
    <row r="400" ht="15.75" customHeight="1">
      <c r="D400" s="43" t="n"/>
    </row>
    <row r="401" ht="15.75" customHeight="1">
      <c r="D401" s="43" t="n"/>
    </row>
    <row r="402" ht="15.75" customHeight="1">
      <c r="D402" s="43" t="n"/>
    </row>
    <row r="403" ht="15.75" customHeight="1">
      <c r="D403" s="43" t="n"/>
    </row>
    <row r="404" ht="15.75" customHeight="1">
      <c r="D404" s="43" t="n"/>
    </row>
    <row r="405" ht="15.75" customHeight="1">
      <c r="D405" s="43" t="n"/>
    </row>
    <row r="406" ht="15.75" customHeight="1">
      <c r="D406" s="43" t="n"/>
    </row>
    <row r="407" ht="15.75" customHeight="1">
      <c r="D407" s="43" t="n"/>
    </row>
    <row r="408" ht="15.75" customHeight="1">
      <c r="D408" s="43" t="n"/>
    </row>
    <row r="409" ht="15.75" customHeight="1">
      <c r="D409" s="43" t="n"/>
    </row>
    <row r="410" ht="15.75" customHeight="1">
      <c r="D410" s="43" t="n"/>
    </row>
    <row r="411" ht="15.75" customHeight="1">
      <c r="D411" s="43" t="n"/>
    </row>
    <row r="412" ht="15.75" customHeight="1">
      <c r="D412" s="43" t="n"/>
    </row>
    <row r="413" ht="15.75" customHeight="1">
      <c r="D413" s="43" t="n"/>
    </row>
    <row r="414" ht="15.75" customHeight="1">
      <c r="D414" s="43" t="n"/>
    </row>
    <row r="415" ht="15.75" customHeight="1">
      <c r="D415" s="43" t="n"/>
    </row>
    <row r="416" ht="15.75" customHeight="1">
      <c r="D416" s="43" t="n"/>
    </row>
    <row r="417" ht="15.75" customHeight="1">
      <c r="D417" s="43" t="n"/>
    </row>
    <row r="418" ht="15.75" customHeight="1">
      <c r="D418" s="43" t="n"/>
    </row>
    <row r="419" ht="15.75" customHeight="1">
      <c r="D419" s="43" t="n"/>
    </row>
    <row r="420" ht="15.75" customHeight="1">
      <c r="D420" s="43" t="n"/>
    </row>
    <row r="421" ht="15.75" customHeight="1">
      <c r="D421" s="43" t="n"/>
    </row>
    <row r="422" ht="15.75" customHeight="1">
      <c r="D422" s="43" t="n"/>
    </row>
    <row r="423" ht="15.75" customHeight="1">
      <c r="D423" s="43" t="n"/>
    </row>
    <row r="424" ht="15.75" customHeight="1">
      <c r="D424" s="43" t="n"/>
    </row>
    <row r="425" ht="15.75" customHeight="1">
      <c r="D425" s="43" t="n"/>
    </row>
    <row r="426" ht="15.75" customHeight="1">
      <c r="D426" s="43" t="n"/>
    </row>
    <row r="427" ht="15.75" customHeight="1">
      <c r="D427" s="43" t="n"/>
    </row>
    <row r="428" ht="15.75" customHeight="1">
      <c r="D428" s="43" t="n"/>
    </row>
    <row r="429" ht="15.75" customHeight="1">
      <c r="D429" s="43" t="n"/>
    </row>
    <row r="430" ht="15.75" customHeight="1">
      <c r="D430" s="43" t="n"/>
    </row>
    <row r="431" ht="15.75" customHeight="1">
      <c r="D431" s="43" t="n"/>
    </row>
    <row r="432" ht="15.75" customHeight="1">
      <c r="D432" s="43" t="n"/>
    </row>
    <row r="433" ht="15.75" customHeight="1">
      <c r="D433" s="43" t="n"/>
    </row>
    <row r="434" ht="15.75" customHeight="1">
      <c r="D434" s="43" t="n"/>
    </row>
    <row r="435" ht="15.75" customHeight="1">
      <c r="D435" s="43" t="n"/>
    </row>
    <row r="436" ht="15.75" customHeight="1">
      <c r="D436" s="43" t="n"/>
    </row>
    <row r="437" ht="15.75" customHeight="1">
      <c r="D437" s="43" t="n"/>
    </row>
    <row r="438" ht="15.75" customHeight="1">
      <c r="D438" s="43" t="n"/>
    </row>
    <row r="439" ht="15.75" customHeight="1">
      <c r="D439" s="43" t="n"/>
    </row>
    <row r="440" ht="15.75" customHeight="1">
      <c r="D440" s="43" t="n"/>
    </row>
    <row r="441" ht="15.75" customHeight="1">
      <c r="D441" s="43" t="n"/>
    </row>
    <row r="442" ht="15.75" customHeight="1">
      <c r="D442" s="43" t="n"/>
    </row>
    <row r="443" ht="15.75" customHeight="1">
      <c r="D443" s="43" t="n"/>
    </row>
    <row r="444" ht="15.75" customHeight="1">
      <c r="D444" s="43" t="n"/>
    </row>
    <row r="445" ht="15.75" customHeight="1">
      <c r="D445" s="43" t="n"/>
    </row>
    <row r="446" ht="15.75" customHeight="1">
      <c r="D446" s="43" t="n"/>
    </row>
    <row r="447" ht="15.75" customHeight="1">
      <c r="D447" s="43" t="n"/>
    </row>
    <row r="448" ht="15.75" customHeight="1">
      <c r="D448" s="43" t="n"/>
    </row>
    <row r="449" ht="15.75" customHeight="1">
      <c r="D449" s="43" t="n"/>
    </row>
    <row r="450" ht="15.75" customHeight="1">
      <c r="D450" s="43" t="n"/>
    </row>
    <row r="451" ht="15.75" customHeight="1">
      <c r="D451" s="43" t="n"/>
    </row>
    <row r="452" ht="15.75" customHeight="1">
      <c r="D452" s="43" t="n"/>
    </row>
    <row r="453" ht="15.75" customHeight="1">
      <c r="D453" s="43" t="n"/>
    </row>
    <row r="454" ht="15.75" customHeight="1">
      <c r="D454" s="43" t="n"/>
    </row>
    <row r="455" ht="15.75" customHeight="1">
      <c r="D455" s="43" t="n"/>
    </row>
    <row r="456" ht="15.75" customHeight="1">
      <c r="D456" s="43" t="n"/>
    </row>
    <row r="457" ht="15.75" customHeight="1">
      <c r="D457" s="43" t="n"/>
    </row>
    <row r="458" ht="15.75" customHeight="1">
      <c r="D458" s="43" t="n"/>
    </row>
    <row r="459" ht="15.75" customHeight="1">
      <c r="D459" s="43" t="n"/>
    </row>
    <row r="460" ht="15.75" customHeight="1">
      <c r="D460" s="43" t="n"/>
    </row>
    <row r="461" ht="15.75" customHeight="1">
      <c r="D461" s="43" t="n"/>
    </row>
    <row r="462" ht="15.75" customHeight="1">
      <c r="D462" s="43" t="n"/>
    </row>
    <row r="463" ht="15.75" customHeight="1">
      <c r="D463" s="43" t="n"/>
    </row>
    <row r="464" ht="15.75" customHeight="1">
      <c r="D464" s="43" t="n"/>
    </row>
    <row r="465" ht="15.75" customHeight="1">
      <c r="D465" s="43" t="n"/>
    </row>
    <row r="466" ht="15.75" customHeight="1">
      <c r="D466" s="43" t="n"/>
    </row>
    <row r="467" ht="15.75" customHeight="1">
      <c r="D467" s="43" t="n"/>
    </row>
    <row r="468" ht="15.75" customHeight="1">
      <c r="D468" s="43" t="n"/>
    </row>
    <row r="469" ht="15.75" customHeight="1">
      <c r="D469" s="43" t="n"/>
    </row>
    <row r="470" ht="15.75" customHeight="1">
      <c r="D470" s="43" t="n"/>
    </row>
    <row r="471" ht="15.75" customHeight="1">
      <c r="D471" s="43" t="n"/>
    </row>
    <row r="472" ht="15.75" customHeight="1">
      <c r="D472" s="43" t="n"/>
    </row>
    <row r="473" ht="15.75" customHeight="1">
      <c r="D473" s="43" t="n"/>
    </row>
    <row r="474" ht="15.75" customHeight="1">
      <c r="D474" s="43" t="n"/>
    </row>
    <row r="475" ht="15.75" customHeight="1">
      <c r="D475" s="43" t="n"/>
    </row>
    <row r="476" ht="15.75" customHeight="1">
      <c r="D476" s="43" t="n"/>
    </row>
    <row r="477" ht="15.75" customHeight="1">
      <c r="D477" s="43" t="n"/>
    </row>
    <row r="478" ht="15.75" customHeight="1">
      <c r="D478" s="43" t="n"/>
    </row>
    <row r="479" ht="15.75" customHeight="1">
      <c r="D479" s="43" t="n"/>
    </row>
    <row r="480" ht="15.75" customHeight="1">
      <c r="D480" s="43" t="n"/>
    </row>
    <row r="481" ht="15.75" customHeight="1">
      <c r="D481" s="43" t="n"/>
    </row>
    <row r="482" ht="15.75" customHeight="1">
      <c r="D482" s="43" t="n"/>
    </row>
    <row r="483" ht="15.75" customHeight="1">
      <c r="D483" s="43" t="n"/>
    </row>
    <row r="484" ht="15.75" customHeight="1">
      <c r="D484" s="43" t="n"/>
    </row>
    <row r="485" ht="15.75" customHeight="1">
      <c r="D485" s="43" t="n"/>
    </row>
    <row r="486" ht="15.75" customHeight="1">
      <c r="D486" s="43" t="n"/>
    </row>
    <row r="487" ht="15.75" customHeight="1">
      <c r="D487" s="43" t="n"/>
    </row>
    <row r="488" ht="15.75" customHeight="1">
      <c r="D488" s="43" t="n"/>
    </row>
    <row r="489" ht="15.75" customHeight="1">
      <c r="D489" s="43" t="n"/>
    </row>
    <row r="490" ht="15.75" customHeight="1">
      <c r="D490" s="43" t="n"/>
    </row>
    <row r="491" ht="15.75" customHeight="1">
      <c r="D491" s="43" t="n"/>
    </row>
    <row r="492" ht="15.75" customHeight="1">
      <c r="D492" s="43" t="n"/>
    </row>
    <row r="493" ht="15.75" customHeight="1">
      <c r="D493" s="43" t="n"/>
    </row>
    <row r="494" ht="15.75" customHeight="1">
      <c r="D494" s="43" t="n"/>
    </row>
    <row r="495" ht="15.75" customHeight="1">
      <c r="D495" s="43" t="n"/>
    </row>
    <row r="496" ht="15.75" customHeight="1">
      <c r="D496" s="43" t="n"/>
    </row>
    <row r="497" ht="15.75" customHeight="1">
      <c r="D497" s="43" t="n"/>
    </row>
    <row r="498" ht="15.75" customHeight="1">
      <c r="D498" s="43" t="n"/>
    </row>
    <row r="499" ht="15.75" customHeight="1">
      <c r="D499" s="43" t="n"/>
    </row>
    <row r="500" ht="15.75" customHeight="1">
      <c r="D500" s="43" t="n"/>
    </row>
    <row r="501" ht="15.75" customHeight="1">
      <c r="D501" s="43" t="n"/>
    </row>
    <row r="502" ht="15.75" customHeight="1">
      <c r="D502" s="43" t="n"/>
    </row>
    <row r="503" ht="15.75" customHeight="1">
      <c r="D503" s="43" t="n"/>
    </row>
    <row r="504" ht="15.75" customHeight="1">
      <c r="D504" s="43" t="n"/>
    </row>
    <row r="505" ht="15.75" customHeight="1">
      <c r="D505" s="43" t="n"/>
    </row>
    <row r="506" ht="15.75" customHeight="1">
      <c r="D506" s="43" t="n"/>
    </row>
    <row r="507" ht="15.75" customHeight="1">
      <c r="D507" s="43" t="n"/>
    </row>
    <row r="508" ht="15.75" customHeight="1">
      <c r="D508" s="43" t="n"/>
    </row>
    <row r="509" ht="15.75" customHeight="1">
      <c r="D509" s="43" t="n"/>
    </row>
    <row r="510" ht="15.75" customHeight="1">
      <c r="D510" s="43" t="n"/>
    </row>
    <row r="511" ht="15.75" customHeight="1">
      <c r="D511" s="43" t="n"/>
    </row>
    <row r="512" ht="15.75" customHeight="1">
      <c r="D512" s="43" t="n"/>
    </row>
    <row r="513" ht="15.75" customHeight="1">
      <c r="D513" s="43" t="n"/>
    </row>
    <row r="514" ht="15.75" customHeight="1">
      <c r="D514" s="43" t="n"/>
    </row>
    <row r="515" ht="15.75" customHeight="1">
      <c r="D515" s="43" t="n"/>
    </row>
    <row r="516" ht="15.75" customHeight="1">
      <c r="D516" s="43" t="n"/>
    </row>
    <row r="517" ht="15.75" customHeight="1">
      <c r="D517" s="43" t="n"/>
    </row>
    <row r="518" ht="15.75" customHeight="1">
      <c r="D518" s="43" t="n"/>
    </row>
    <row r="519" ht="15.75" customHeight="1">
      <c r="D519" s="43" t="n"/>
    </row>
    <row r="520" ht="15.75" customHeight="1">
      <c r="D520" s="43" t="n"/>
    </row>
    <row r="521" ht="15.75" customHeight="1">
      <c r="D521" s="43" t="n"/>
    </row>
    <row r="522" ht="15.75" customHeight="1">
      <c r="D522" s="43" t="n"/>
    </row>
    <row r="523" ht="15.75" customHeight="1">
      <c r="D523" s="43" t="n"/>
    </row>
    <row r="524" ht="15.75" customHeight="1">
      <c r="D524" s="43" t="n"/>
    </row>
    <row r="525" ht="15.75" customHeight="1">
      <c r="D525" s="43" t="n"/>
    </row>
    <row r="526" ht="15.75" customHeight="1">
      <c r="D526" s="43" t="n"/>
    </row>
    <row r="527" ht="15.75" customHeight="1">
      <c r="D527" s="43" t="n"/>
    </row>
    <row r="528" ht="15.75" customHeight="1">
      <c r="D528" s="43" t="n"/>
    </row>
    <row r="529" ht="15.75" customHeight="1">
      <c r="D529" s="43" t="n"/>
    </row>
    <row r="530" ht="15.75" customHeight="1">
      <c r="D530" s="43" t="n"/>
    </row>
    <row r="531" ht="15.75" customHeight="1">
      <c r="D531" s="43" t="n"/>
    </row>
    <row r="532" ht="15.75" customHeight="1">
      <c r="D532" s="43" t="n"/>
    </row>
    <row r="533" ht="15.75" customHeight="1">
      <c r="D533" s="43" t="n"/>
    </row>
    <row r="534" ht="15.75" customHeight="1">
      <c r="D534" s="43" t="n"/>
    </row>
    <row r="535" ht="15.75" customHeight="1">
      <c r="D535" s="43" t="n"/>
    </row>
    <row r="536" ht="15.75" customHeight="1">
      <c r="D536" s="43" t="n"/>
    </row>
    <row r="537" ht="15.75" customHeight="1">
      <c r="D537" s="43" t="n"/>
    </row>
    <row r="538" ht="15.75" customHeight="1">
      <c r="D538" s="43" t="n"/>
    </row>
    <row r="539" ht="15.75" customHeight="1">
      <c r="D539" s="43" t="n"/>
    </row>
    <row r="540" ht="15.75" customHeight="1">
      <c r="D540" s="43" t="n"/>
    </row>
    <row r="541" ht="15.75" customHeight="1">
      <c r="D541" s="43" t="n"/>
    </row>
    <row r="542" ht="15.75" customHeight="1">
      <c r="D542" s="43" t="n"/>
    </row>
    <row r="543" ht="15.75" customHeight="1">
      <c r="D543" s="43" t="n"/>
    </row>
    <row r="544" ht="15.75" customHeight="1">
      <c r="D544" s="43" t="n"/>
    </row>
    <row r="545" ht="15.75" customHeight="1">
      <c r="D545" s="43" t="n"/>
    </row>
    <row r="546" ht="15.75" customHeight="1">
      <c r="D546" s="43" t="n"/>
    </row>
    <row r="547" ht="15.75" customHeight="1">
      <c r="D547" s="43" t="n"/>
    </row>
    <row r="548" ht="15.75" customHeight="1">
      <c r="D548" s="43" t="n"/>
    </row>
    <row r="549" ht="15.75" customHeight="1">
      <c r="D549" s="43" t="n"/>
    </row>
    <row r="550" ht="15.75" customHeight="1">
      <c r="D550" s="43" t="n"/>
    </row>
    <row r="551" ht="15.75" customHeight="1">
      <c r="D551" s="43" t="n"/>
    </row>
    <row r="552" ht="15.75" customHeight="1">
      <c r="D552" s="43" t="n"/>
    </row>
    <row r="553" ht="15.75" customHeight="1">
      <c r="D553" s="43" t="n"/>
    </row>
    <row r="554" ht="15.75" customHeight="1">
      <c r="D554" s="43" t="n"/>
    </row>
    <row r="555" ht="15.75" customHeight="1">
      <c r="D555" s="43" t="n"/>
    </row>
    <row r="556" ht="15.75" customHeight="1">
      <c r="D556" s="43" t="n"/>
    </row>
    <row r="557" ht="15.75" customHeight="1">
      <c r="D557" s="43" t="n"/>
    </row>
    <row r="558" ht="15.75" customHeight="1">
      <c r="D558" s="43" t="n"/>
    </row>
    <row r="559" ht="15.75" customHeight="1">
      <c r="D559" s="43" t="n"/>
    </row>
    <row r="560" ht="15.75" customHeight="1">
      <c r="D560" s="43" t="n"/>
    </row>
    <row r="561" ht="15.75" customHeight="1">
      <c r="D561" s="43" t="n"/>
    </row>
    <row r="562" ht="15.75" customHeight="1">
      <c r="D562" s="43" t="n"/>
    </row>
    <row r="563" ht="15.75" customHeight="1">
      <c r="D563" s="43" t="n"/>
    </row>
    <row r="564" ht="15.75" customHeight="1">
      <c r="D564" s="43" t="n"/>
    </row>
    <row r="565" ht="15.75" customHeight="1">
      <c r="D565" s="43" t="n"/>
    </row>
    <row r="566" ht="15.75" customHeight="1">
      <c r="D566" s="43" t="n"/>
    </row>
    <row r="567" ht="15.75" customHeight="1">
      <c r="D567" s="43" t="n"/>
    </row>
    <row r="568" ht="15.75" customHeight="1">
      <c r="D568" s="43" t="n"/>
    </row>
    <row r="569" ht="15.75" customHeight="1">
      <c r="D569" s="43" t="n"/>
    </row>
    <row r="570" ht="15.75" customHeight="1">
      <c r="D570" s="43" t="n"/>
    </row>
    <row r="571" ht="15.75" customHeight="1">
      <c r="D571" s="43" t="n"/>
    </row>
    <row r="572" ht="15.75" customHeight="1">
      <c r="D572" s="43" t="n"/>
    </row>
    <row r="573" ht="15.75" customHeight="1">
      <c r="D573" s="43" t="n"/>
    </row>
    <row r="574" ht="15.75" customHeight="1">
      <c r="D574" s="43" t="n"/>
    </row>
    <row r="575" ht="15.75" customHeight="1">
      <c r="D575" s="43" t="n"/>
    </row>
    <row r="576" ht="15.75" customHeight="1">
      <c r="D576" s="43" t="n"/>
    </row>
    <row r="577" ht="15.75" customHeight="1">
      <c r="D577" s="43" t="n"/>
    </row>
    <row r="578" ht="15.75" customHeight="1">
      <c r="D578" s="43" t="n"/>
    </row>
    <row r="579" ht="15.75" customHeight="1">
      <c r="D579" s="43" t="n"/>
    </row>
    <row r="580" ht="15.75" customHeight="1">
      <c r="D580" s="43" t="n"/>
    </row>
    <row r="581" ht="15.75" customHeight="1">
      <c r="D581" s="43" t="n"/>
    </row>
    <row r="582" ht="15.75" customHeight="1">
      <c r="D582" s="43" t="n"/>
    </row>
    <row r="583" ht="15.75" customHeight="1">
      <c r="D583" s="43" t="n"/>
    </row>
    <row r="584" ht="15.75" customHeight="1">
      <c r="D584" s="43" t="n"/>
    </row>
    <row r="585" ht="15.75" customHeight="1">
      <c r="D585" s="43" t="n"/>
    </row>
    <row r="586" ht="15.75" customHeight="1">
      <c r="D586" s="43" t="n"/>
    </row>
    <row r="587" ht="15.75" customHeight="1">
      <c r="D587" s="43" t="n"/>
    </row>
    <row r="588" ht="15.75" customHeight="1">
      <c r="D588" s="43" t="n"/>
    </row>
    <row r="589" ht="15.75" customHeight="1">
      <c r="D589" s="43" t="n"/>
    </row>
    <row r="590" ht="15.75" customHeight="1">
      <c r="D590" s="43" t="n"/>
    </row>
    <row r="591" ht="15.75" customHeight="1">
      <c r="D591" s="43" t="n"/>
    </row>
    <row r="592" ht="15.75" customHeight="1">
      <c r="D592" s="43" t="n"/>
    </row>
    <row r="593" ht="15.75" customHeight="1">
      <c r="D593" s="43" t="n"/>
    </row>
    <row r="594" ht="15.75" customHeight="1">
      <c r="D594" s="43" t="n"/>
    </row>
    <row r="595" ht="15.75" customHeight="1">
      <c r="D595" s="43" t="n"/>
    </row>
    <row r="596" ht="15.75" customHeight="1">
      <c r="D596" s="43" t="n"/>
    </row>
    <row r="597" ht="15.75" customHeight="1">
      <c r="D597" s="43" t="n"/>
    </row>
    <row r="598" ht="15.75" customHeight="1">
      <c r="D598" s="43" t="n"/>
    </row>
    <row r="599" ht="15.75" customHeight="1">
      <c r="D599" s="43" t="n"/>
    </row>
    <row r="600" ht="15.75" customHeight="1">
      <c r="D600" s="43" t="n"/>
    </row>
    <row r="601" ht="15.75" customHeight="1">
      <c r="D601" s="43" t="n"/>
    </row>
    <row r="602" ht="15.75" customHeight="1">
      <c r="D602" s="43" t="n"/>
    </row>
    <row r="603" ht="15.75" customHeight="1">
      <c r="D603" s="43" t="n"/>
    </row>
    <row r="604" ht="15.75" customHeight="1">
      <c r="D604" s="43" t="n"/>
    </row>
    <row r="605" ht="15.75" customHeight="1">
      <c r="D605" s="43" t="n"/>
    </row>
    <row r="606" ht="15.75" customHeight="1">
      <c r="D606" s="43" t="n"/>
    </row>
    <row r="607" ht="15.75" customHeight="1">
      <c r="D607" s="43" t="n"/>
    </row>
    <row r="608" ht="15.75" customHeight="1">
      <c r="D608" s="43" t="n"/>
    </row>
    <row r="609" ht="15.75" customHeight="1">
      <c r="D609" s="43" t="n"/>
    </row>
    <row r="610" ht="15.75" customHeight="1">
      <c r="D610" s="43" t="n"/>
    </row>
    <row r="611" ht="15.75" customHeight="1">
      <c r="D611" s="43" t="n"/>
    </row>
    <row r="612" ht="15.75" customHeight="1">
      <c r="D612" s="43" t="n"/>
    </row>
    <row r="613" ht="15.75" customHeight="1">
      <c r="D613" s="43" t="n"/>
    </row>
    <row r="614" ht="15.75" customHeight="1">
      <c r="D614" s="43" t="n"/>
    </row>
    <row r="615" ht="15.75" customHeight="1">
      <c r="D615" s="43" t="n"/>
    </row>
    <row r="616" ht="15.75" customHeight="1">
      <c r="D616" s="43" t="n"/>
    </row>
    <row r="617" ht="15.75" customHeight="1">
      <c r="D617" s="43" t="n"/>
    </row>
    <row r="618" ht="15.75" customHeight="1">
      <c r="D618" s="43" t="n"/>
    </row>
    <row r="619" ht="15.75" customHeight="1">
      <c r="D619" s="43" t="n"/>
    </row>
    <row r="620" ht="15.75" customHeight="1">
      <c r="D620" s="43" t="n"/>
    </row>
    <row r="621" ht="15.75" customHeight="1">
      <c r="D621" s="43" t="n"/>
    </row>
    <row r="622" ht="15.75" customHeight="1">
      <c r="D622" s="43" t="n"/>
    </row>
    <row r="623" ht="15.75" customHeight="1">
      <c r="D623" s="43" t="n"/>
    </row>
    <row r="624" ht="15.75" customHeight="1">
      <c r="D624" s="43" t="n"/>
    </row>
    <row r="625" ht="15.75" customHeight="1">
      <c r="D625" s="43" t="n"/>
    </row>
    <row r="626" ht="15.75" customHeight="1">
      <c r="D626" s="43" t="n"/>
    </row>
    <row r="627" ht="15.75" customHeight="1">
      <c r="D627" s="43" t="n"/>
    </row>
    <row r="628" ht="15.75" customHeight="1">
      <c r="D628" s="43" t="n"/>
    </row>
    <row r="629" ht="15.75" customHeight="1">
      <c r="D629" s="43" t="n"/>
    </row>
    <row r="630" ht="15.75" customHeight="1">
      <c r="D630" s="43" t="n"/>
    </row>
    <row r="631" ht="15.75" customHeight="1">
      <c r="D631" s="43" t="n"/>
    </row>
    <row r="632" ht="15.75" customHeight="1">
      <c r="D632" s="43" t="n"/>
    </row>
    <row r="633" ht="15.75" customHeight="1">
      <c r="D633" s="43" t="n"/>
    </row>
    <row r="634" ht="15.75" customHeight="1">
      <c r="D634" s="43" t="n"/>
    </row>
    <row r="635" ht="15.75" customHeight="1">
      <c r="D635" s="43" t="n"/>
    </row>
    <row r="636" ht="15.75" customHeight="1">
      <c r="D636" s="43" t="n"/>
    </row>
    <row r="637" ht="15.75" customHeight="1">
      <c r="D637" s="43" t="n"/>
    </row>
    <row r="638" ht="15.75" customHeight="1">
      <c r="D638" s="43" t="n"/>
    </row>
    <row r="639" ht="15.75" customHeight="1">
      <c r="D639" s="43" t="n"/>
    </row>
    <row r="640" ht="15.75" customHeight="1">
      <c r="D640" s="43" t="n"/>
    </row>
    <row r="641" ht="15.75" customHeight="1">
      <c r="D641" s="43" t="n"/>
    </row>
    <row r="642" ht="15.75" customHeight="1">
      <c r="D642" s="43" t="n"/>
    </row>
    <row r="643" ht="15.75" customHeight="1">
      <c r="D643" s="43" t="n"/>
    </row>
    <row r="644" ht="15.75" customHeight="1">
      <c r="D644" s="43" t="n"/>
    </row>
    <row r="645" ht="15.75" customHeight="1">
      <c r="D645" s="43" t="n"/>
    </row>
    <row r="646" ht="15.75" customHeight="1">
      <c r="D646" s="43" t="n"/>
    </row>
    <row r="647" ht="15.75" customHeight="1">
      <c r="D647" s="43" t="n"/>
    </row>
    <row r="648" ht="15.75" customHeight="1">
      <c r="D648" s="43" t="n"/>
    </row>
    <row r="649" ht="15.75" customHeight="1">
      <c r="D649" s="43" t="n"/>
    </row>
    <row r="650" ht="15.75" customHeight="1">
      <c r="D650" s="43" t="n"/>
    </row>
    <row r="651" ht="15.75" customHeight="1">
      <c r="D651" s="43" t="n"/>
    </row>
    <row r="652" ht="15.75" customHeight="1">
      <c r="D652" s="43" t="n"/>
    </row>
    <row r="653" ht="15.75" customHeight="1">
      <c r="D653" s="43" t="n"/>
    </row>
    <row r="654" ht="15.75" customHeight="1">
      <c r="D654" s="43" t="n"/>
    </row>
    <row r="655" ht="15.75" customHeight="1">
      <c r="D655" s="43" t="n"/>
    </row>
    <row r="656" ht="15.75" customHeight="1">
      <c r="D656" s="43" t="n"/>
    </row>
    <row r="657" ht="15.75" customHeight="1">
      <c r="D657" s="43" t="n"/>
    </row>
    <row r="658" ht="15.75" customHeight="1">
      <c r="D658" s="43" t="n"/>
    </row>
    <row r="659" ht="15.75" customHeight="1">
      <c r="D659" s="43" t="n"/>
    </row>
    <row r="660" ht="15.75" customHeight="1">
      <c r="D660" s="43" t="n"/>
    </row>
    <row r="661" ht="15.75" customHeight="1">
      <c r="D661" s="43" t="n"/>
    </row>
    <row r="662" ht="15.75" customHeight="1">
      <c r="D662" s="43" t="n"/>
    </row>
    <row r="663" ht="15.75" customHeight="1">
      <c r="D663" s="43" t="n"/>
    </row>
    <row r="664" ht="15.75" customHeight="1">
      <c r="D664" s="43" t="n"/>
    </row>
    <row r="665" ht="15.75" customHeight="1">
      <c r="D665" s="43" t="n"/>
    </row>
    <row r="666" ht="15.75" customHeight="1">
      <c r="D666" s="43" t="n"/>
    </row>
    <row r="667" ht="15.75" customHeight="1">
      <c r="D667" s="43" t="n"/>
    </row>
    <row r="668" ht="15.75" customHeight="1">
      <c r="D668" s="43" t="n"/>
    </row>
    <row r="669" ht="15.75" customHeight="1">
      <c r="D669" s="43" t="n"/>
    </row>
    <row r="670" ht="15.75" customHeight="1">
      <c r="D670" s="43" t="n"/>
    </row>
    <row r="671" ht="15.75" customHeight="1">
      <c r="D671" s="43" t="n"/>
    </row>
    <row r="672" ht="15.75" customHeight="1">
      <c r="D672" s="43" t="n"/>
    </row>
    <row r="673" ht="15.75" customHeight="1">
      <c r="D673" s="43" t="n"/>
    </row>
    <row r="674" ht="15.75" customHeight="1">
      <c r="D674" s="43" t="n"/>
    </row>
    <row r="675" ht="15.75" customHeight="1">
      <c r="D675" s="43" t="n"/>
    </row>
    <row r="676" ht="15.75" customHeight="1">
      <c r="D676" s="43" t="n"/>
    </row>
    <row r="677" ht="15.75" customHeight="1">
      <c r="D677" s="43" t="n"/>
    </row>
    <row r="678" ht="15.75" customHeight="1">
      <c r="D678" s="43" t="n"/>
    </row>
    <row r="679" ht="15.75" customHeight="1">
      <c r="D679" s="43" t="n"/>
    </row>
    <row r="680" ht="15.75" customHeight="1">
      <c r="D680" s="43" t="n"/>
    </row>
    <row r="681" ht="15.75" customHeight="1">
      <c r="D681" s="43" t="n"/>
    </row>
    <row r="682" ht="15.75" customHeight="1">
      <c r="D682" s="43" t="n"/>
    </row>
    <row r="683" ht="15.75" customHeight="1">
      <c r="D683" s="43" t="n"/>
    </row>
    <row r="684" ht="15.75" customHeight="1">
      <c r="D684" s="43" t="n"/>
    </row>
    <row r="685" ht="15.75" customHeight="1">
      <c r="D685" s="43" t="n"/>
    </row>
    <row r="686" ht="15.75" customHeight="1">
      <c r="D686" s="43" t="n"/>
    </row>
    <row r="687" ht="15.75" customHeight="1">
      <c r="D687" s="43" t="n"/>
    </row>
    <row r="688" ht="15.75" customHeight="1">
      <c r="D688" s="43" t="n"/>
    </row>
    <row r="689" ht="15.75" customHeight="1">
      <c r="D689" s="43" t="n"/>
    </row>
    <row r="690" ht="15.75" customHeight="1">
      <c r="D690" s="43" t="n"/>
    </row>
    <row r="691" ht="15.75" customHeight="1">
      <c r="D691" s="43" t="n"/>
    </row>
    <row r="692" ht="15.75" customHeight="1">
      <c r="D692" s="43" t="n"/>
    </row>
    <row r="693" ht="15.75" customHeight="1">
      <c r="D693" s="43" t="n"/>
    </row>
    <row r="694" ht="15.75" customHeight="1">
      <c r="D694" s="43" t="n"/>
    </row>
    <row r="695" ht="15.75" customHeight="1">
      <c r="D695" s="43" t="n"/>
    </row>
    <row r="696" ht="15.75" customHeight="1">
      <c r="D696" s="43" t="n"/>
    </row>
    <row r="697" ht="15.75" customHeight="1">
      <c r="D697" s="43" t="n"/>
    </row>
    <row r="698" ht="15.75" customHeight="1">
      <c r="D698" s="43" t="n"/>
    </row>
    <row r="699" ht="15.75" customHeight="1">
      <c r="D699" s="43" t="n"/>
    </row>
    <row r="700" ht="15.75" customHeight="1">
      <c r="D700" s="43" t="n"/>
    </row>
    <row r="701" ht="15.75" customHeight="1">
      <c r="D701" s="43" t="n"/>
    </row>
    <row r="702" ht="15.75" customHeight="1">
      <c r="D702" s="43" t="n"/>
    </row>
    <row r="703" ht="15.75" customHeight="1">
      <c r="D703" s="43" t="n"/>
    </row>
    <row r="704" ht="15.75" customHeight="1">
      <c r="D704" s="43" t="n"/>
    </row>
    <row r="705" ht="15.75" customHeight="1">
      <c r="D705" s="43" t="n"/>
    </row>
    <row r="706" ht="15.75" customHeight="1">
      <c r="D706" s="43" t="n"/>
    </row>
    <row r="707" ht="15.75" customHeight="1">
      <c r="D707" s="43" t="n"/>
    </row>
    <row r="708" ht="15.75" customHeight="1">
      <c r="D708" s="43" t="n"/>
    </row>
    <row r="709" ht="15.75" customHeight="1">
      <c r="D709" s="43" t="n"/>
    </row>
    <row r="710" ht="15.75" customHeight="1">
      <c r="D710" s="43" t="n"/>
    </row>
    <row r="711" ht="15.75" customHeight="1">
      <c r="D711" s="43" t="n"/>
    </row>
    <row r="712" ht="15.75" customHeight="1">
      <c r="D712" s="43" t="n"/>
    </row>
    <row r="713" ht="15.75" customHeight="1">
      <c r="D713" s="43" t="n"/>
    </row>
    <row r="714" ht="15.75" customHeight="1">
      <c r="D714" s="43" t="n"/>
    </row>
    <row r="715" ht="15.75" customHeight="1">
      <c r="D715" s="43" t="n"/>
    </row>
    <row r="716" ht="15.75" customHeight="1">
      <c r="D716" s="43" t="n"/>
    </row>
    <row r="717" ht="15.75" customHeight="1">
      <c r="D717" s="43" t="n"/>
    </row>
    <row r="718" ht="15.75" customHeight="1">
      <c r="D718" s="43" t="n"/>
    </row>
    <row r="719" ht="15.75" customHeight="1">
      <c r="D719" s="43" t="n"/>
    </row>
    <row r="720" ht="15.75" customHeight="1">
      <c r="D720" s="43" t="n"/>
    </row>
    <row r="721" ht="15.75" customHeight="1">
      <c r="D721" s="43" t="n"/>
    </row>
    <row r="722" ht="15.75" customHeight="1">
      <c r="D722" s="43" t="n"/>
    </row>
    <row r="723" ht="15.75" customHeight="1">
      <c r="D723" s="43" t="n"/>
    </row>
    <row r="724" ht="15.75" customHeight="1">
      <c r="D724" s="43" t="n"/>
    </row>
    <row r="725" ht="15.75" customHeight="1">
      <c r="D725" s="43" t="n"/>
    </row>
    <row r="726" ht="15.75" customHeight="1">
      <c r="D726" s="43" t="n"/>
    </row>
    <row r="727" ht="15.75" customHeight="1">
      <c r="D727" s="43" t="n"/>
    </row>
    <row r="728" ht="15.75" customHeight="1">
      <c r="D728" s="43" t="n"/>
    </row>
    <row r="729" ht="15.75" customHeight="1">
      <c r="D729" s="43" t="n"/>
    </row>
    <row r="730" ht="15.75" customHeight="1">
      <c r="D730" s="43" t="n"/>
    </row>
    <row r="731" ht="15.75" customHeight="1">
      <c r="D731" s="43" t="n"/>
    </row>
    <row r="732" ht="15.75" customHeight="1">
      <c r="D732" s="43" t="n"/>
    </row>
    <row r="733" ht="15.75" customHeight="1">
      <c r="D733" s="43" t="n"/>
    </row>
    <row r="734" ht="15.75" customHeight="1">
      <c r="D734" s="43" t="n"/>
    </row>
    <row r="735" ht="15.75" customHeight="1">
      <c r="D735" s="43" t="n"/>
    </row>
    <row r="736" ht="15.75" customHeight="1">
      <c r="D736" s="43" t="n"/>
    </row>
    <row r="737" ht="15.75" customHeight="1">
      <c r="D737" s="43" t="n"/>
    </row>
    <row r="738" ht="15.75" customHeight="1">
      <c r="D738" s="43" t="n"/>
    </row>
    <row r="739" ht="15.75" customHeight="1">
      <c r="D739" s="43" t="n"/>
    </row>
    <row r="740" ht="15.75" customHeight="1">
      <c r="D740" s="43" t="n"/>
    </row>
    <row r="741" ht="15.75" customHeight="1">
      <c r="D741" s="43" t="n"/>
    </row>
    <row r="742" ht="15.75" customHeight="1">
      <c r="D742" s="43" t="n"/>
    </row>
    <row r="743" ht="15.75" customHeight="1">
      <c r="D743" s="43" t="n"/>
    </row>
    <row r="744" ht="15.75" customHeight="1">
      <c r="D744" s="43" t="n"/>
    </row>
    <row r="745" ht="15.75" customHeight="1">
      <c r="D745" s="43" t="n"/>
    </row>
    <row r="746" ht="15.75" customHeight="1">
      <c r="D746" s="43" t="n"/>
    </row>
    <row r="747" ht="15.75" customHeight="1">
      <c r="D747" s="43" t="n"/>
    </row>
    <row r="748" ht="15.75" customHeight="1">
      <c r="D748" s="43" t="n"/>
    </row>
    <row r="749" ht="15.75" customHeight="1">
      <c r="D749" s="43" t="n"/>
    </row>
    <row r="750" ht="15.75" customHeight="1">
      <c r="D750" s="43" t="n"/>
    </row>
    <row r="751" ht="15.75" customHeight="1">
      <c r="D751" s="43" t="n"/>
    </row>
    <row r="752" ht="15.75" customHeight="1">
      <c r="D752" s="43" t="n"/>
    </row>
    <row r="753" ht="15.75" customHeight="1">
      <c r="D753" s="43" t="n"/>
    </row>
    <row r="754" ht="15.75" customHeight="1">
      <c r="D754" s="43" t="n"/>
    </row>
    <row r="755" ht="15.75" customHeight="1">
      <c r="D755" s="43" t="n"/>
    </row>
    <row r="756" ht="15.75" customHeight="1">
      <c r="D756" s="43" t="n"/>
    </row>
    <row r="757" ht="15.75" customHeight="1">
      <c r="D757" s="43" t="n"/>
    </row>
    <row r="758" ht="15.75" customHeight="1">
      <c r="D758" s="43" t="n"/>
    </row>
    <row r="759" ht="15.75" customHeight="1">
      <c r="D759" s="43" t="n"/>
    </row>
    <row r="760" ht="15.75" customHeight="1">
      <c r="D760" s="43" t="n"/>
    </row>
    <row r="761" ht="15.75" customHeight="1">
      <c r="D761" s="43" t="n"/>
    </row>
    <row r="762" ht="15.75" customHeight="1">
      <c r="D762" s="43" t="n"/>
    </row>
    <row r="763" ht="15.75" customHeight="1">
      <c r="D763" s="43" t="n"/>
    </row>
    <row r="764" ht="15.75" customHeight="1">
      <c r="D764" s="43" t="n"/>
    </row>
    <row r="765" ht="15.75" customHeight="1">
      <c r="D765" s="43" t="n"/>
    </row>
    <row r="766" ht="15.75" customHeight="1">
      <c r="D766" s="43" t="n"/>
    </row>
    <row r="767" ht="15.75" customHeight="1">
      <c r="D767" s="43" t="n"/>
    </row>
    <row r="768" ht="15.75" customHeight="1">
      <c r="D768" s="43" t="n"/>
    </row>
    <row r="769" ht="15.75" customHeight="1">
      <c r="D769" s="43" t="n"/>
    </row>
    <row r="770" ht="15.75" customHeight="1">
      <c r="D770" s="43" t="n"/>
    </row>
    <row r="771" ht="15.75" customHeight="1">
      <c r="D771" s="43" t="n"/>
    </row>
    <row r="772" ht="15.75" customHeight="1">
      <c r="D772" s="43" t="n"/>
    </row>
    <row r="773" ht="15.75" customHeight="1">
      <c r="D773" s="43" t="n"/>
    </row>
    <row r="774" ht="15.75" customHeight="1">
      <c r="D774" s="43" t="n"/>
    </row>
    <row r="775" ht="15.75" customHeight="1">
      <c r="D775" s="43" t="n"/>
    </row>
    <row r="776" ht="15.75" customHeight="1">
      <c r="D776" s="43" t="n"/>
    </row>
    <row r="777" ht="15.75" customHeight="1">
      <c r="D777" s="43" t="n"/>
    </row>
    <row r="778" ht="15.75" customHeight="1">
      <c r="D778" s="43" t="n"/>
    </row>
    <row r="779" ht="15.75" customHeight="1">
      <c r="D779" s="43" t="n"/>
    </row>
    <row r="780" ht="15.75" customHeight="1">
      <c r="D780" s="43" t="n"/>
    </row>
    <row r="781" ht="15.75" customHeight="1">
      <c r="D781" s="43" t="n"/>
    </row>
    <row r="782" ht="15.75" customHeight="1">
      <c r="D782" s="43" t="n"/>
    </row>
    <row r="783" ht="15.75" customHeight="1">
      <c r="D783" s="43" t="n"/>
    </row>
    <row r="784" ht="15.75" customHeight="1">
      <c r="D784" s="43" t="n"/>
    </row>
    <row r="785" ht="15.75" customHeight="1">
      <c r="D785" s="43" t="n"/>
    </row>
    <row r="786" ht="15.75" customHeight="1">
      <c r="D786" s="43" t="n"/>
    </row>
    <row r="787" ht="15.75" customHeight="1">
      <c r="D787" s="43" t="n"/>
    </row>
    <row r="788" ht="15.75" customHeight="1">
      <c r="D788" s="43" t="n"/>
    </row>
    <row r="789" ht="15.75" customHeight="1">
      <c r="D789" s="43" t="n"/>
    </row>
    <row r="790" ht="15.75" customHeight="1">
      <c r="D790" s="43" t="n"/>
    </row>
    <row r="791" ht="15.75" customHeight="1">
      <c r="D791" s="43" t="n"/>
    </row>
    <row r="792" ht="15.75" customHeight="1">
      <c r="D792" s="43" t="n"/>
    </row>
    <row r="793" ht="15.75" customHeight="1">
      <c r="D793" s="43" t="n"/>
    </row>
    <row r="794" ht="15.75" customHeight="1">
      <c r="D794" s="43" t="n"/>
    </row>
    <row r="795" ht="15.75" customHeight="1">
      <c r="D795" s="43" t="n"/>
    </row>
    <row r="796" ht="15.75" customHeight="1">
      <c r="D796" s="43" t="n"/>
    </row>
    <row r="797" ht="15.75" customHeight="1">
      <c r="D797" s="43" t="n"/>
    </row>
    <row r="798" ht="15.75" customHeight="1">
      <c r="D798" s="43" t="n"/>
    </row>
    <row r="799" ht="15.75" customHeight="1">
      <c r="D799" s="43" t="n"/>
    </row>
    <row r="800" ht="15.75" customHeight="1">
      <c r="D800" s="43" t="n"/>
    </row>
    <row r="801" ht="15.75" customHeight="1">
      <c r="D801" s="43" t="n"/>
    </row>
    <row r="802" ht="15.75" customHeight="1">
      <c r="D802" s="43" t="n"/>
    </row>
    <row r="803" ht="15.75" customHeight="1">
      <c r="D803" s="43" t="n"/>
    </row>
    <row r="804" ht="15.75" customHeight="1">
      <c r="D804" s="43" t="n"/>
    </row>
    <row r="805" ht="15.75" customHeight="1">
      <c r="D805" s="43" t="n"/>
    </row>
    <row r="806" ht="15.75" customHeight="1">
      <c r="D806" s="43" t="n"/>
    </row>
    <row r="807" ht="15.75" customHeight="1">
      <c r="D807" s="43" t="n"/>
    </row>
    <row r="808" ht="15.75" customHeight="1">
      <c r="D808" s="43" t="n"/>
    </row>
    <row r="809" ht="15.75" customHeight="1">
      <c r="D809" s="43" t="n"/>
    </row>
    <row r="810" ht="15.75" customHeight="1">
      <c r="D810" s="43" t="n"/>
    </row>
    <row r="811" ht="15.75" customHeight="1">
      <c r="D811" s="43" t="n"/>
    </row>
    <row r="812" ht="15.75" customHeight="1">
      <c r="D812" s="43" t="n"/>
    </row>
    <row r="813" ht="15.75" customHeight="1">
      <c r="D813" s="43" t="n"/>
    </row>
    <row r="814" ht="15.75" customHeight="1">
      <c r="D814" s="43" t="n"/>
    </row>
    <row r="815" ht="15.75" customHeight="1">
      <c r="D815" s="43" t="n"/>
    </row>
    <row r="816" ht="15.75" customHeight="1">
      <c r="D816" s="43" t="n"/>
    </row>
    <row r="817" ht="15.75" customHeight="1">
      <c r="D817" s="43" t="n"/>
    </row>
    <row r="818" ht="15.75" customHeight="1">
      <c r="D818" s="43" t="n"/>
    </row>
    <row r="819" ht="15.75" customHeight="1">
      <c r="D819" s="43" t="n"/>
    </row>
    <row r="820" ht="15.75" customHeight="1">
      <c r="D820" s="43" t="n"/>
    </row>
    <row r="821" ht="15.75" customHeight="1">
      <c r="D821" s="43" t="n"/>
    </row>
    <row r="822" ht="15.75" customHeight="1">
      <c r="D822" s="43" t="n"/>
    </row>
    <row r="823" ht="15.75" customHeight="1">
      <c r="D823" s="43" t="n"/>
    </row>
    <row r="824" ht="15.75" customHeight="1">
      <c r="D824" s="43" t="n"/>
    </row>
    <row r="825" ht="15.75" customHeight="1">
      <c r="D825" s="43" t="n"/>
    </row>
    <row r="826" ht="15.75" customHeight="1">
      <c r="D826" s="43" t="n"/>
    </row>
    <row r="827" ht="15.75" customHeight="1">
      <c r="D827" s="43" t="n"/>
    </row>
    <row r="828" ht="15.75" customHeight="1">
      <c r="D828" s="43" t="n"/>
    </row>
    <row r="829" ht="15.75" customHeight="1">
      <c r="D829" s="43" t="n"/>
    </row>
    <row r="830" ht="15.75" customHeight="1">
      <c r="D830" s="43" t="n"/>
    </row>
    <row r="831" ht="15.75" customHeight="1">
      <c r="D831" s="43" t="n"/>
    </row>
    <row r="832" ht="15.75" customHeight="1">
      <c r="D832" s="43" t="n"/>
    </row>
    <row r="833" ht="15.75" customHeight="1">
      <c r="D833" s="43" t="n"/>
    </row>
    <row r="834" ht="15.75" customHeight="1">
      <c r="D834" s="43" t="n"/>
    </row>
    <row r="835" ht="15.75" customHeight="1">
      <c r="D835" s="43" t="n"/>
    </row>
    <row r="836" ht="15.75" customHeight="1">
      <c r="D836" s="43" t="n"/>
    </row>
    <row r="837" ht="15.75" customHeight="1">
      <c r="D837" s="43" t="n"/>
    </row>
    <row r="838" ht="15.75" customHeight="1">
      <c r="D838" s="43" t="n"/>
    </row>
    <row r="839" ht="15.75" customHeight="1">
      <c r="D839" s="43" t="n"/>
    </row>
    <row r="840" ht="15.75" customHeight="1">
      <c r="D840" s="43" t="n"/>
    </row>
    <row r="841" ht="15.75" customHeight="1">
      <c r="D841" s="43" t="n"/>
    </row>
    <row r="842" ht="15.75" customHeight="1">
      <c r="D842" s="43" t="n"/>
    </row>
    <row r="843" ht="15.75" customHeight="1">
      <c r="D843" s="43" t="n"/>
    </row>
    <row r="844" ht="15.75" customHeight="1">
      <c r="D844" s="43" t="n"/>
    </row>
    <row r="845" ht="15.75" customHeight="1">
      <c r="D845" s="43" t="n"/>
    </row>
    <row r="846" ht="15.75" customHeight="1">
      <c r="D846" s="43" t="n"/>
    </row>
    <row r="847" ht="15.75" customHeight="1">
      <c r="D847" s="43" t="n"/>
    </row>
    <row r="848" ht="15.75" customHeight="1">
      <c r="D848" s="43" t="n"/>
    </row>
    <row r="849" ht="15.75" customHeight="1">
      <c r="D849" s="43" t="n"/>
    </row>
    <row r="850" ht="15.75" customHeight="1">
      <c r="D850" s="43" t="n"/>
    </row>
    <row r="851" ht="15.75" customHeight="1">
      <c r="D851" s="43" t="n"/>
    </row>
    <row r="852" ht="15.75" customHeight="1">
      <c r="D852" s="43" t="n"/>
    </row>
    <row r="853" ht="15.75" customHeight="1">
      <c r="D853" s="43" t="n"/>
    </row>
    <row r="854" ht="15.75" customHeight="1">
      <c r="D854" s="43" t="n"/>
    </row>
    <row r="855" ht="15.75" customHeight="1">
      <c r="D855" s="43" t="n"/>
    </row>
    <row r="856" ht="15.75" customHeight="1">
      <c r="D856" s="43" t="n"/>
    </row>
    <row r="857" ht="15.75" customHeight="1">
      <c r="D857" s="43" t="n"/>
    </row>
    <row r="858" ht="15.75" customHeight="1">
      <c r="D858" s="43" t="n"/>
    </row>
    <row r="859" ht="15.75" customHeight="1">
      <c r="D859" s="43" t="n"/>
    </row>
    <row r="860" ht="15.75" customHeight="1">
      <c r="D860" s="43" t="n"/>
    </row>
    <row r="861" ht="15.75" customHeight="1">
      <c r="D861" s="43" t="n"/>
    </row>
    <row r="862" ht="15.75" customHeight="1">
      <c r="D862" s="43" t="n"/>
    </row>
    <row r="863" ht="15.75" customHeight="1">
      <c r="D863" s="43" t="n"/>
    </row>
    <row r="864" ht="15.75" customHeight="1">
      <c r="D864" s="43" t="n"/>
    </row>
    <row r="865" ht="15.75" customHeight="1">
      <c r="D865" s="43" t="n"/>
    </row>
    <row r="866" ht="15.75" customHeight="1">
      <c r="D866" s="43" t="n"/>
    </row>
    <row r="867" ht="15.75" customHeight="1">
      <c r="D867" s="43" t="n"/>
    </row>
    <row r="868" ht="15.75" customHeight="1">
      <c r="D868" s="43" t="n"/>
    </row>
    <row r="869" ht="15.75" customHeight="1">
      <c r="D869" s="43" t="n"/>
    </row>
    <row r="870" ht="15.75" customHeight="1">
      <c r="D870" s="43" t="n"/>
    </row>
    <row r="871" ht="15.75" customHeight="1">
      <c r="D871" s="43" t="n"/>
    </row>
    <row r="872" ht="15.75" customHeight="1">
      <c r="D872" s="43" t="n"/>
    </row>
    <row r="873" ht="15.75" customHeight="1">
      <c r="D873" s="43" t="n"/>
    </row>
    <row r="874" ht="15.75" customHeight="1">
      <c r="D874" s="43" t="n"/>
    </row>
    <row r="875" ht="15.75" customHeight="1">
      <c r="D875" s="43" t="n"/>
    </row>
    <row r="876" ht="15.75" customHeight="1">
      <c r="D876" s="43" t="n"/>
    </row>
    <row r="877" ht="15.75" customHeight="1">
      <c r="D877" s="43" t="n"/>
    </row>
    <row r="878" ht="15.75" customHeight="1">
      <c r="D878" s="43" t="n"/>
    </row>
    <row r="879" ht="15.75" customHeight="1">
      <c r="D879" s="43" t="n"/>
    </row>
    <row r="880" ht="15.75" customHeight="1">
      <c r="D880" s="43" t="n"/>
    </row>
    <row r="881" ht="15.75" customHeight="1">
      <c r="D881" s="43" t="n"/>
    </row>
    <row r="882" ht="15.75" customHeight="1">
      <c r="D882" s="43" t="n"/>
    </row>
    <row r="883" ht="15.75" customHeight="1">
      <c r="D883" s="43" t="n"/>
    </row>
    <row r="884" ht="15.75" customHeight="1">
      <c r="D884" s="43" t="n"/>
    </row>
    <row r="885" ht="15.75" customHeight="1">
      <c r="D885" s="43" t="n"/>
    </row>
    <row r="886" ht="15.75" customHeight="1">
      <c r="D886" s="43" t="n"/>
    </row>
    <row r="887" ht="15.75" customHeight="1">
      <c r="D887" s="43" t="n"/>
    </row>
    <row r="888" ht="15.75" customHeight="1">
      <c r="D888" s="43" t="n"/>
    </row>
    <row r="889" ht="15.75" customHeight="1">
      <c r="D889" s="43" t="n"/>
    </row>
    <row r="890" ht="15.75" customHeight="1">
      <c r="D890" s="43" t="n"/>
    </row>
    <row r="891" ht="15.75" customHeight="1">
      <c r="D891" s="43" t="n"/>
    </row>
    <row r="892" ht="15.75" customHeight="1">
      <c r="D892" s="43" t="n"/>
    </row>
    <row r="893" ht="15.75" customHeight="1">
      <c r="D893" s="43" t="n"/>
    </row>
    <row r="894" ht="15.75" customHeight="1">
      <c r="D894" s="43" t="n"/>
    </row>
    <row r="895" ht="15.75" customHeight="1">
      <c r="D895" s="43" t="n"/>
    </row>
    <row r="896" ht="15.75" customHeight="1">
      <c r="D896" s="43" t="n"/>
    </row>
    <row r="897" ht="15.75" customHeight="1">
      <c r="D897" s="43" t="n"/>
    </row>
    <row r="898" ht="15.75" customHeight="1">
      <c r="D898" s="43" t="n"/>
    </row>
    <row r="899" ht="15.75" customHeight="1">
      <c r="D899" s="43" t="n"/>
    </row>
    <row r="900" ht="15.75" customHeight="1">
      <c r="D900" s="43" t="n"/>
    </row>
    <row r="901" ht="15.75" customHeight="1">
      <c r="D901" s="43" t="n"/>
    </row>
    <row r="902" ht="15.75" customHeight="1">
      <c r="D902" s="43" t="n"/>
    </row>
    <row r="903" ht="15.75" customHeight="1">
      <c r="D903" s="43" t="n"/>
    </row>
    <row r="904" ht="15.75" customHeight="1">
      <c r="D904" s="43" t="n"/>
    </row>
    <row r="905" ht="15.75" customHeight="1">
      <c r="D905" s="43" t="n"/>
    </row>
    <row r="906" ht="15.75" customHeight="1">
      <c r="D906" s="43" t="n"/>
    </row>
    <row r="907" ht="15.75" customHeight="1">
      <c r="D907" s="43" t="n"/>
    </row>
    <row r="908" ht="15.75" customHeight="1">
      <c r="D908" s="43" t="n"/>
    </row>
    <row r="909" ht="15.75" customHeight="1">
      <c r="D909" s="43" t="n"/>
    </row>
    <row r="910" ht="15.75" customHeight="1">
      <c r="D910" s="43" t="n"/>
    </row>
    <row r="911" ht="15.75" customHeight="1">
      <c r="D911" s="43" t="n"/>
    </row>
    <row r="912" ht="15.75" customHeight="1">
      <c r="D912" s="43" t="n"/>
    </row>
    <row r="913" ht="15.75" customHeight="1">
      <c r="D913" s="43" t="n"/>
    </row>
    <row r="914" ht="15.75" customHeight="1">
      <c r="D914" s="43" t="n"/>
    </row>
    <row r="915" ht="15.75" customHeight="1">
      <c r="D915" s="43" t="n"/>
    </row>
    <row r="916" ht="15.75" customHeight="1">
      <c r="D916" s="43" t="n"/>
    </row>
    <row r="917" ht="15.75" customHeight="1">
      <c r="D917" s="43" t="n"/>
    </row>
    <row r="918" ht="15.75" customHeight="1">
      <c r="D918" s="43" t="n"/>
    </row>
    <row r="919" ht="15.75" customHeight="1">
      <c r="D919" s="43" t="n"/>
    </row>
    <row r="920" ht="15.75" customHeight="1">
      <c r="D920" s="43" t="n"/>
    </row>
    <row r="921" ht="15.75" customHeight="1">
      <c r="D921" s="43" t="n"/>
    </row>
    <row r="922" ht="15.75" customHeight="1">
      <c r="D922" s="43" t="n"/>
    </row>
    <row r="923" ht="15.75" customHeight="1">
      <c r="D923" s="43" t="n"/>
    </row>
    <row r="924" ht="15.75" customHeight="1">
      <c r="D924" s="43" t="n"/>
    </row>
    <row r="925" ht="15.75" customHeight="1">
      <c r="D925" s="43" t="n"/>
    </row>
    <row r="926" ht="15.75" customHeight="1">
      <c r="D926" s="43" t="n"/>
    </row>
    <row r="927" ht="15.75" customHeight="1">
      <c r="D927" s="43" t="n"/>
    </row>
    <row r="928" ht="15.75" customHeight="1">
      <c r="D928" s="43" t="n"/>
    </row>
    <row r="929" ht="15.75" customHeight="1">
      <c r="D929" s="43" t="n"/>
    </row>
    <row r="930" ht="15.75" customHeight="1">
      <c r="D930" s="43" t="n"/>
    </row>
    <row r="931" ht="15.75" customHeight="1">
      <c r="D931" s="43" t="n"/>
    </row>
    <row r="932" ht="15.75" customHeight="1">
      <c r="D932" s="43" t="n"/>
    </row>
    <row r="933" ht="15.75" customHeight="1">
      <c r="D933" s="43" t="n"/>
    </row>
    <row r="934" ht="15.75" customHeight="1">
      <c r="D934" s="43" t="n"/>
    </row>
    <row r="935" ht="15.75" customHeight="1">
      <c r="D935" s="43" t="n"/>
    </row>
    <row r="936" ht="15.75" customHeight="1">
      <c r="D936" s="43" t="n"/>
    </row>
    <row r="937" ht="15.75" customHeight="1">
      <c r="D937" s="43" t="n"/>
    </row>
    <row r="938" ht="15.75" customHeight="1">
      <c r="D938" s="43" t="n"/>
    </row>
    <row r="939" ht="15.75" customHeight="1">
      <c r="D939" s="43" t="n"/>
    </row>
    <row r="940" ht="15.75" customHeight="1">
      <c r="D940" s="43" t="n"/>
    </row>
    <row r="941" ht="15.75" customHeight="1">
      <c r="D941" s="43" t="n"/>
    </row>
    <row r="942" ht="15.75" customHeight="1">
      <c r="D942" s="43" t="n"/>
    </row>
    <row r="943" ht="15.75" customHeight="1">
      <c r="D943" s="43" t="n"/>
    </row>
    <row r="944" ht="15.75" customHeight="1">
      <c r="D944" s="43" t="n"/>
    </row>
    <row r="945" ht="15.75" customHeight="1">
      <c r="D945" s="43" t="n"/>
    </row>
    <row r="946" ht="15.75" customHeight="1">
      <c r="D946" s="43" t="n"/>
    </row>
    <row r="947" ht="15.75" customHeight="1">
      <c r="D947" s="43" t="n"/>
    </row>
    <row r="948" ht="15.75" customHeight="1">
      <c r="D948" s="43" t="n"/>
    </row>
    <row r="949" ht="15.75" customHeight="1">
      <c r="D949" s="43" t="n"/>
    </row>
    <row r="950" ht="15.75" customHeight="1">
      <c r="D950" s="43" t="n"/>
    </row>
    <row r="951" ht="15.75" customHeight="1">
      <c r="D951" s="43" t="n"/>
    </row>
    <row r="952" ht="15.75" customHeight="1">
      <c r="D952" s="43" t="n"/>
    </row>
    <row r="953" ht="15.75" customHeight="1">
      <c r="D953" s="43" t="n"/>
    </row>
    <row r="954" ht="15.75" customHeight="1">
      <c r="D954" s="43" t="n"/>
    </row>
    <row r="955" ht="15.75" customHeight="1">
      <c r="D955" s="43" t="n"/>
    </row>
    <row r="956" ht="15.75" customHeight="1">
      <c r="D956" s="43" t="n"/>
    </row>
    <row r="957" ht="15.75" customHeight="1">
      <c r="D957" s="43" t="n"/>
    </row>
    <row r="958" ht="15.75" customHeight="1">
      <c r="D958" s="43" t="n"/>
    </row>
    <row r="959" ht="15.75" customHeight="1">
      <c r="D959" s="43" t="n"/>
    </row>
    <row r="960" ht="15.75" customHeight="1">
      <c r="D960" s="43" t="n"/>
    </row>
    <row r="961" ht="15.75" customHeight="1">
      <c r="D961" s="43" t="n"/>
    </row>
    <row r="962" ht="15.75" customHeight="1">
      <c r="D962" s="43" t="n"/>
    </row>
    <row r="963" ht="15.75" customHeight="1">
      <c r="D963" s="43" t="n"/>
    </row>
    <row r="964" ht="15.75" customHeight="1">
      <c r="D964" s="43" t="n"/>
    </row>
    <row r="965" ht="15.75" customHeight="1">
      <c r="D965" s="43" t="n"/>
    </row>
    <row r="966" ht="15.75" customHeight="1">
      <c r="D966" s="43" t="n"/>
    </row>
    <row r="967" ht="15.75" customHeight="1">
      <c r="D967" s="43" t="n"/>
    </row>
    <row r="968" ht="15.75" customHeight="1">
      <c r="D968" s="43" t="n"/>
    </row>
    <row r="969" ht="15.75" customHeight="1">
      <c r="D969" s="43" t="n"/>
    </row>
    <row r="970" ht="15.75" customHeight="1">
      <c r="D970" s="43" t="n"/>
    </row>
    <row r="971" ht="15.75" customHeight="1">
      <c r="D971" s="43" t="n"/>
    </row>
    <row r="972" ht="15.75" customHeight="1">
      <c r="D972" s="43" t="n"/>
    </row>
    <row r="973" ht="15.75" customHeight="1">
      <c r="D973" s="43" t="n"/>
    </row>
    <row r="974" ht="15.75" customHeight="1">
      <c r="D974" s="43" t="n"/>
    </row>
    <row r="975" ht="15.75" customHeight="1">
      <c r="D975" s="43" t="n"/>
    </row>
    <row r="976" ht="15.75" customHeight="1">
      <c r="D976" s="43" t="n"/>
    </row>
    <row r="977" ht="16" customHeight="1">
      <c r="D977" s="43" t="n"/>
    </row>
    <row r="978" ht="16" customHeight="1">
      <c r="D978" s="43" t="n"/>
    </row>
    <row r="979" ht="16" customHeight="1">
      <c r="D979" s="43" t="n"/>
    </row>
    <row r="980" ht="16" customHeight="1">
      <c r="D980" s="43" t="n"/>
    </row>
  </sheetData>
  <hyperlinks>
    <hyperlink xmlns:r="http://schemas.openxmlformats.org/officeDocument/2006/relationships" ref="D8" r:id="rId1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2"/>
  <sheetViews>
    <sheetView zoomScaleNormal="100" workbookViewId="0">
      <pane ySplit="1" topLeftCell="A2" activePane="bottomLeft" state="frozen"/>
      <selection pane="bottomLeft" activeCell="I46" sqref="I46"/>
    </sheetView>
  </sheetViews>
  <sheetFormatPr baseColWidth="10" defaultRowHeight="16"/>
  <cols>
    <col width="9.33203125" customWidth="1" style="1" min="1" max="1"/>
    <col width="45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B1" s="129" t="inlineStr">
        <is>
          <t>2025 PROJECT NAME</t>
        </is>
      </c>
      <c r="E1" s="170" t="inlineStr">
        <is>
          <t>Анастасія</t>
        </is>
      </c>
      <c r="F1" s="41" t="inlineStr">
        <is>
          <t>Настя</t>
        </is>
      </c>
      <c r="G1" s="119" t="inlineStr">
        <is>
          <t>Маша</t>
        </is>
      </c>
      <c r="H1" s="38" t="inlineStr">
        <is>
          <t>Сергій</t>
        </is>
      </c>
      <c r="I1" s="181" t="inlineStr">
        <is>
          <t>Аліна</t>
        </is>
      </c>
      <c r="J1" s="181" t="inlineStr">
        <is>
          <t>Олекса</t>
        </is>
      </c>
    </row>
    <row r="2" ht="25" customHeight="1">
      <c r="A2" s="125" t="inlineStr">
        <is>
          <t>DX</t>
        </is>
      </c>
      <c r="B2" s="125" t="inlineStr">
        <is>
          <t>MGX</t>
        </is>
      </c>
      <c r="C2" s="127" t="inlineStr">
        <is>
          <t>SHIFTS</t>
        </is>
      </c>
      <c r="D2" s="25" t="inlineStr">
        <is>
          <t>HOURS</t>
        </is>
      </c>
      <c r="E2" s="165" t="inlineStr">
        <is>
          <t>ADMIN</t>
        </is>
      </c>
      <c r="F2" s="98" t="inlineStr">
        <is>
          <t>EMPL 1</t>
        </is>
      </c>
      <c r="G2" s="110" t="inlineStr">
        <is>
          <t>EMPL 2</t>
        </is>
      </c>
      <c r="H2" s="110" t="inlineStr">
        <is>
          <t>EMPL 3</t>
        </is>
      </c>
      <c r="I2" s="98" t="inlineStr">
        <is>
          <t>EMPL 4</t>
        </is>
      </c>
      <c r="J2" s="98" t="inlineStr">
        <is>
          <t>EMPL 5</t>
        </is>
      </c>
      <c r="K2" s="31" t="inlineStr">
        <is>
          <t>Total EMPL</t>
        </is>
      </c>
      <c r="L2" s="39" t="inlineStr">
        <is>
          <t>STUDIO</t>
        </is>
      </c>
    </row>
    <row r="3">
      <c r="A3" s="141" t="n"/>
      <c r="B3" s="185" t="inlineStr">
        <is>
          <t>DX-V-168-001-TreasureTrail_Gifts_RT_EN_20s</t>
        </is>
      </c>
      <c r="C3" s="181" t="n">
        <v>2</v>
      </c>
      <c r="D3" s="181">
        <f>C3*9</f>
        <v/>
      </c>
      <c r="E3" s="1">
        <f>D3*5</f>
        <v/>
      </c>
      <c r="F3" s="33" t="n"/>
      <c r="G3" s="33" t="n"/>
      <c r="H3" s="33">
        <f>D3*15</f>
        <v/>
      </c>
      <c r="I3" s="33" t="n"/>
      <c r="J3" s="33" t="n"/>
      <c r="L3" s="33">
        <f>D3*35</f>
        <v/>
      </c>
      <c r="Q3" s="33" t="n"/>
    </row>
    <row r="4">
      <c r="A4" s="141" t="n"/>
      <c r="B4" s="185" t="inlineStr">
        <is>
          <t>DX-V-151-005_MajhongDreams_DX-VEO-042-001_EN_45s</t>
        </is>
      </c>
      <c r="C4" s="181" t="n">
        <v>0.3</v>
      </c>
      <c r="D4" s="181">
        <f>C4*9</f>
        <v/>
      </c>
      <c r="E4" s="1">
        <f>D4*5</f>
        <v/>
      </c>
      <c r="G4" s="33" t="n"/>
      <c r="H4" s="33" t="n"/>
      <c r="I4" s="33">
        <f>D4*15</f>
        <v/>
      </c>
      <c r="J4" s="33" t="n"/>
      <c r="L4" s="33">
        <f>D4*35</f>
        <v/>
      </c>
      <c r="Q4" s="33" t="n"/>
    </row>
    <row r="5">
      <c r="A5" s="141" t="n"/>
      <c r="B5" s="185" t="inlineStr">
        <is>
          <t>DX-V-151-006_MajhongDreams_DX-VEO-042-001_EN_30s</t>
        </is>
      </c>
      <c r="C5" s="181" t="n">
        <v>0.3</v>
      </c>
      <c r="D5" s="181">
        <f>C5*9</f>
        <v/>
      </c>
      <c r="E5" s="1">
        <f>D5*5</f>
        <v/>
      </c>
      <c r="F5" s="33" t="n"/>
      <c r="G5" s="33" t="n"/>
      <c r="H5" s="33" t="n"/>
      <c r="I5" s="33">
        <f>D5*15</f>
        <v/>
      </c>
      <c r="J5" s="33" t="n"/>
      <c r="L5" s="33">
        <f>D5*35</f>
        <v/>
      </c>
      <c r="Q5" s="33" t="n"/>
    </row>
    <row r="6">
      <c r="A6" s="141" t="n"/>
      <c r="B6" s="185" t="inlineStr">
        <is>
          <t>DX-VEO-047-001_Shinjuku_EN_5s  |  mgx</t>
        </is>
      </c>
      <c r="C6" s="181" t="n">
        <v>0.5</v>
      </c>
      <c r="D6" s="181">
        <f>C6*9</f>
        <v/>
      </c>
      <c r="E6" s="1">
        <f>D6*5</f>
        <v/>
      </c>
      <c r="F6" s="33" t="n"/>
      <c r="G6" s="33" t="n"/>
      <c r="H6" s="33">
        <f>D6*15</f>
        <v/>
      </c>
      <c r="I6" s="33" t="n"/>
      <c r="J6" s="33" t="n"/>
      <c r="L6" s="33">
        <f>D6*35</f>
        <v/>
      </c>
      <c r="Q6" s="33" t="n"/>
    </row>
    <row r="7">
      <c r="A7" s="141" t="n"/>
      <c r="B7" s="185" t="inlineStr">
        <is>
          <t>DX-VEO-048-001_PetJump_EN_6s  |  mgx</t>
        </is>
      </c>
      <c r="C7" s="181" t="n">
        <v>0.5</v>
      </c>
      <c r="D7" s="181">
        <f>C7*9</f>
        <v/>
      </c>
      <c r="E7" s="1">
        <f>D7*5</f>
        <v/>
      </c>
      <c r="F7" s="33" t="n"/>
      <c r="G7" s="33" t="n"/>
      <c r="H7" s="33">
        <f>D7*15</f>
        <v/>
      </c>
      <c r="I7" s="33" t="n"/>
      <c r="J7" s="33" t="n"/>
      <c r="L7" s="33">
        <f>D7*35</f>
        <v/>
      </c>
      <c r="Q7" s="33" t="n"/>
    </row>
    <row r="8">
      <c r="A8" s="141" t="n"/>
      <c r="B8" s="185" t="inlineStr">
        <is>
          <t>DX-V-087-009_Restaurant_DX-VEO-036-001_EN_45s</t>
        </is>
      </c>
      <c r="C8" s="181" t="n">
        <v>0.3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J8" s="33" t="n"/>
      <c r="L8" s="33">
        <f>D8*35</f>
        <v/>
      </c>
      <c r="Q8" s="33" t="n"/>
    </row>
    <row r="9">
      <c r="A9" s="141" t="n"/>
      <c r="B9" s="185" t="inlineStr">
        <is>
          <t>DX-V-087-010_Restaurant_DX-VEO-033-001_EN_45s</t>
        </is>
      </c>
      <c r="C9" s="181" t="n">
        <v>0.3</v>
      </c>
      <c r="D9" s="181">
        <f>C9*9</f>
        <v/>
      </c>
      <c r="E9" s="1">
        <f>D9*5</f>
        <v/>
      </c>
      <c r="F9" s="33">
        <f>D9*15</f>
        <v/>
      </c>
      <c r="G9" s="33" t="n"/>
      <c r="H9" s="33" t="n"/>
      <c r="I9" s="33" t="n"/>
      <c r="J9" s="33" t="n"/>
      <c r="L9" s="33">
        <f>D9*35</f>
        <v/>
      </c>
      <c r="Q9" s="33" t="n"/>
    </row>
    <row r="10">
      <c r="A10" s="141" t="n"/>
      <c r="B10" s="185" t="inlineStr">
        <is>
          <t>DX-V-112-014_Endless_DX-VEO-037-001_EN_45s</t>
        </is>
      </c>
      <c r="C10" s="181" t="n">
        <v>0.3</v>
      </c>
      <c r="D10" s="181">
        <f>C10*9</f>
        <v/>
      </c>
      <c r="E10" s="1">
        <f>D10*5</f>
        <v/>
      </c>
      <c r="F10" s="33">
        <f>D10*15</f>
        <v/>
      </c>
      <c r="G10" s="33" t="n"/>
      <c r="H10" s="33" t="n"/>
      <c r="I10" s="33" t="n"/>
      <c r="J10" s="33" t="n"/>
      <c r="L10" s="33">
        <f>D10*35</f>
        <v/>
      </c>
      <c r="Q10" s="33" t="n"/>
    </row>
    <row r="11">
      <c r="A11" s="141" t="n"/>
      <c r="B11" s="185" t="inlineStr">
        <is>
          <t>DX-V-112-015_Endless_DX-VEO-028-001_EN_45s</t>
        </is>
      </c>
      <c r="C11" s="181" t="n">
        <v>0.3</v>
      </c>
      <c r="D11" s="181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J11" s="33" t="n"/>
      <c r="L11" s="33">
        <f>D11*35</f>
        <v/>
      </c>
      <c r="Q11" s="33" t="n"/>
    </row>
    <row r="12">
      <c r="A12" s="141" t="n"/>
      <c r="B12" s="185" t="inlineStr">
        <is>
          <t>DX-V-135-023_ASODreams_DX-VEO-041-001_EN_45s</t>
        </is>
      </c>
      <c r="C12" s="181" t="n">
        <v>0.3</v>
      </c>
      <c r="D12" s="181">
        <f>C12*9</f>
        <v/>
      </c>
      <c r="E12" s="1">
        <f>D12*5</f>
        <v/>
      </c>
      <c r="F12" s="33" t="n"/>
      <c r="G12" s="33" t="n"/>
      <c r="H12" s="33">
        <f>D12*15</f>
        <v/>
      </c>
      <c r="I12" s="33" t="n"/>
      <c r="J12" s="33" t="n"/>
      <c r="L12" s="33">
        <f>D12*35</f>
        <v/>
      </c>
      <c r="Q12" s="33" t="n"/>
    </row>
    <row r="13">
      <c r="A13" s="141" t="n"/>
      <c r="B13" s="185" t="inlineStr">
        <is>
          <t xml:space="preserve">DX-V-135-024_ASODreams_DX-VEO-035-001_EN_45s </t>
        </is>
      </c>
      <c r="C13" s="181" t="n">
        <v>0.3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J13" s="33" t="n"/>
      <c r="L13" s="33">
        <f>D13*35</f>
        <v/>
      </c>
      <c r="Q13" s="33" t="n"/>
    </row>
    <row r="14">
      <c r="A14" s="141" t="n"/>
      <c r="B14" s="185" t="inlineStr">
        <is>
          <t>DX-V-135-025_ASODreams_DX-VEO-030-001_EN_45s</t>
        </is>
      </c>
      <c r="C14" s="181" t="n">
        <v>0.3</v>
      </c>
      <c r="D14" s="181">
        <f>C14*9</f>
        <v/>
      </c>
      <c r="E14" s="1">
        <f>D14*5</f>
        <v/>
      </c>
      <c r="F14" s="33" t="n"/>
      <c r="G14" s="33" t="n"/>
      <c r="H14" s="33">
        <f>D14*15</f>
        <v/>
      </c>
      <c r="I14" s="33" t="n"/>
      <c r="J14" s="33" t="n"/>
      <c r="L14" s="33">
        <f>D14*35</f>
        <v/>
      </c>
      <c r="Q14" s="33" t="n"/>
    </row>
    <row r="15">
      <c r="A15" s="141" t="n"/>
      <c r="B15" s="185" t="inlineStr">
        <is>
          <t>DX-V-135-026_ASODreams_DX-VEO-027-001_EN_45s</t>
        </is>
      </c>
      <c r="C15" s="181" t="n">
        <v>0.3</v>
      </c>
      <c r="D15" s="181">
        <f>C15*9</f>
        <v/>
      </c>
      <c r="E15" s="1">
        <f>D15*5</f>
        <v/>
      </c>
      <c r="F15" s="33" t="n"/>
      <c r="G15" s="33" t="n"/>
      <c r="H15" s="33">
        <f>D15*15</f>
        <v/>
      </c>
      <c r="I15" s="33" t="n"/>
      <c r="J15" s="33" t="n"/>
      <c r="L15" s="33">
        <f>D15*35</f>
        <v/>
      </c>
      <c r="Q15" s="33" t="n"/>
    </row>
    <row r="16">
      <c r="A16" s="141" t="n"/>
      <c r="B16" s="185" t="inlineStr">
        <is>
          <t>DX-V-135-027_ASODreams_DX-VEO-031-001_EN_45s</t>
        </is>
      </c>
      <c r="C16" s="181" t="n">
        <v>0.3</v>
      </c>
      <c r="D16" s="181">
        <f>C16*9</f>
        <v/>
      </c>
      <c r="E16" s="1">
        <f>D16*5</f>
        <v/>
      </c>
      <c r="F16" s="33" t="n"/>
      <c r="G16" s="33" t="n"/>
      <c r="H16" s="33">
        <f>D16*15</f>
        <v/>
      </c>
      <c r="I16" s="33" t="n"/>
      <c r="J16" s="33" t="n"/>
      <c r="L16" s="33">
        <f>D16*35</f>
        <v/>
      </c>
      <c r="Q16" s="33" t="n"/>
    </row>
    <row r="17">
      <c r="A17" s="141" t="n"/>
      <c r="B17" s="185" t="inlineStr">
        <is>
          <t>DX-V-144-005_Split_Rally_DX-VEO-038-001_EN_45s</t>
        </is>
      </c>
      <c r="C17" s="181" t="n">
        <v>0.3</v>
      </c>
      <c r="D17" s="181">
        <f>C17*9</f>
        <v/>
      </c>
      <c r="E17" s="1">
        <f>D17*5</f>
        <v/>
      </c>
      <c r="F17" s="33" t="n"/>
      <c r="G17" s="33">
        <f>D17*15</f>
        <v/>
      </c>
      <c r="H17" s="33" t="n"/>
      <c r="I17" s="33" t="n"/>
      <c r="J17" s="33" t="n"/>
      <c r="L17" s="33">
        <f>D17*35</f>
        <v/>
      </c>
      <c r="Q17" s="33" t="n"/>
    </row>
    <row r="18">
      <c r="A18" s="141" t="n"/>
      <c r="B18" s="185" t="inlineStr">
        <is>
          <t>DX-V-165-001 - VideoStore2026 EN 30s ASO - Resize (Add 1080x1920)</t>
        </is>
      </c>
      <c r="C18" s="181" t="n">
        <v>0.2</v>
      </c>
      <c r="D18" s="181">
        <f>C18*9</f>
        <v/>
      </c>
      <c r="E18" s="1">
        <f>D18*5</f>
        <v/>
      </c>
      <c r="F18" s="33" t="n"/>
      <c r="G18" s="33" t="n"/>
      <c r="H18" s="33" t="n"/>
      <c r="I18" s="33" t="n"/>
      <c r="J18" s="33">
        <f>D18*15</f>
        <v/>
      </c>
      <c r="L18" s="33">
        <f>D18*35</f>
        <v/>
      </c>
      <c r="Q18" s="33" t="n"/>
    </row>
    <row r="19">
      <c r="A19" s="141" t="n"/>
      <c r="B19" s="185" t="inlineStr">
        <is>
          <t xml:space="preserve">DX-V-165-002 - VideoStore2026 EN 20s ASO - Resize (Add 1080x1920)  </t>
        </is>
      </c>
      <c r="C19" s="181" t="n">
        <v>0.2</v>
      </c>
      <c r="D19" s="181">
        <f>C19*9</f>
        <v/>
      </c>
      <c r="E19" s="1">
        <f>D19*5</f>
        <v/>
      </c>
      <c r="F19" s="33" t="n"/>
      <c r="G19" s="33" t="n"/>
      <c r="H19" s="33" t="n"/>
      <c r="I19" s="33" t="n"/>
      <c r="J19" s="33">
        <f>D19*15</f>
        <v/>
      </c>
      <c r="L19" s="33">
        <f>D19*35</f>
        <v/>
      </c>
      <c r="Q19" s="33" t="n"/>
    </row>
    <row r="20">
      <c r="A20" s="141" t="n"/>
      <c r="B20" s="188" t="inlineStr">
        <is>
          <t xml:space="preserve">DX-VEO-049-001_SkyPile_EN_4s </t>
        </is>
      </c>
      <c r="C20" s="181" t="n">
        <v>0.5</v>
      </c>
      <c r="D20" s="181">
        <f>C20*9</f>
        <v/>
      </c>
      <c r="E20" s="1">
        <f>D20*5</f>
        <v/>
      </c>
      <c r="F20" s="33">
        <f>D20*15</f>
        <v/>
      </c>
      <c r="G20" s="33" t="n"/>
      <c r="H20" s="33" t="n"/>
      <c r="I20" s="33" t="n"/>
      <c r="J20" s="33" t="n"/>
      <c r="L20" s="33">
        <f>D20*35</f>
        <v/>
      </c>
      <c r="Q20" s="33" t="n"/>
    </row>
    <row r="21">
      <c r="A21" s="141" t="n"/>
      <c r="B21" s="188" t="inlineStr">
        <is>
          <t>DX-VEO-050-001_EnterTheDomino_EN_10s</t>
        </is>
      </c>
      <c r="C21" s="181" t="n">
        <v>0.5</v>
      </c>
      <c r="D21" s="181">
        <f>C21*9</f>
        <v/>
      </c>
      <c r="E21" s="1">
        <f>D21*5</f>
        <v/>
      </c>
      <c r="F21" s="33" t="n"/>
      <c r="G21" s="33" t="n"/>
      <c r="H21" s="33" t="n"/>
      <c r="I21" s="33" t="n"/>
      <c r="J21" s="33">
        <f>D21*15</f>
        <v/>
      </c>
      <c r="L21" s="33">
        <f>D21*35</f>
        <v/>
      </c>
      <c r="Q21" s="33" t="n"/>
    </row>
    <row r="22">
      <c r="A22" s="141" t="n"/>
      <c r="B22" s="188" t="inlineStr">
        <is>
          <t>DX-VEO-051-001_DollsDomino_EN_5s</t>
        </is>
      </c>
      <c r="C22" s="181" t="n">
        <v>0.5</v>
      </c>
      <c r="D22" s="181">
        <f>C22*9</f>
        <v/>
      </c>
      <c r="E22" s="1">
        <f>D22*5</f>
        <v/>
      </c>
      <c r="F22" s="33">
        <f>D22*15</f>
        <v/>
      </c>
      <c r="G22" s="33" t="n"/>
      <c r="H22" s="33" t="n"/>
      <c r="I22" s="33" t="n"/>
      <c r="J22" s="33" t="n"/>
      <c r="L22" s="33">
        <f>D22*35</f>
        <v/>
      </c>
      <c r="Q22" s="33" t="n"/>
    </row>
    <row r="23">
      <c r="A23" s="141" t="n"/>
      <c r="B23" s="188" t="inlineStr">
        <is>
          <t>DX-V-115-011_Genie_DX-VEO-046-001_EN_34s</t>
        </is>
      </c>
      <c r="C23" s="181" t="n">
        <v>0.3</v>
      </c>
      <c r="D23" s="181">
        <f>C23*9</f>
        <v/>
      </c>
      <c r="E23" s="1">
        <f>D23*5</f>
        <v/>
      </c>
      <c r="F23" s="33" t="n"/>
      <c r="G23" s="33">
        <f>D23*15</f>
        <v/>
      </c>
      <c r="H23" s="33" t="n"/>
      <c r="I23" s="33" t="n"/>
      <c r="J23" s="33" t="n"/>
      <c r="L23" s="33">
        <f>D23*35</f>
        <v/>
      </c>
      <c r="Q23" s="33" t="n"/>
    </row>
    <row r="24">
      <c r="A24" s="141" t="n"/>
      <c r="B24" s="188" t="inlineStr">
        <is>
          <t xml:space="preserve">DX-V-152-002_TokyoDreams_DX-VEO-047-001_EN_35s 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>
        <f>D24*15</f>
        <v/>
      </c>
      <c r="H24" s="33" t="n"/>
      <c r="I24" s="33" t="n"/>
      <c r="J24" s="33" t="n"/>
      <c r="L24" s="33">
        <f>D24*35</f>
        <v/>
      </c>
      <c r="Q24" s="33" t="n"/>
    </row>
    <row r="25">
      <c r="A25" s="141" t="n"/>
      <c r="B25" s="188" t="inlineStr">
        <is>
          <t>DX-V-152-002_TokyoDreams_DX-VEO-047-001_JA_35s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>
        <f>D25*15</f>
        <v/>
      </c>
      <c r="H25" s="33" t="n"/>
      <c r="I25" s="33" t="n"/>
      <c r="J25" s="33" t="n"/>
      <c r="L25" s="33">
        <f>D25*35</f>
        <v/>
      </c>
      <c r="Q25" s="33" t="n"/>
    </row>
    <row r="26" ht="25" customHeight="1">
      <c r="A26" s="125" t="inlineStr">
        <is>
          <t>DD</t>
        </is>
      </c>
      <c r="B26" s="125" t="inlineStr">
        <is>
          <t>MGX</t>
        </is>
      </c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>
      <c r="A27" s="141" t="n"/>
      <c r="B27" s="189" t="inlineStr">
        <is>
          <t>DD-V-034-061_AttackFeature_TrailKnight_DD-VEO-045-001_EN_45s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>
        <f>D27*15</f>
        <v/>
      </c>
      <c r="J27" s="33" t="n"/>
      <c r="L27" s="33">
        <f>D27*35</f>
        <v/>
      </c>
    </row>
    <row r="28">
      <c r="A28" s="141" t="n"/>
      <c r="B28" s="189" t="inlineStr">
        <is>
          <t>DD-V-034-062_AttackFeature_TrailKnight_DD-VEO-050-001_EN_45s</t>
        </is>
      </c>
      <c r="C28" s="181" t="n">
        <v>0.3</v>
      </c>
      <c r="D28" s="181">
        <f>C28*9</f>
        <v/>
      </c>
      <c r="E28" s="1">
        <f>D28*5</f>
        <v/>
      </c>
      <c r="F28" s="33" t="n"/>
      <c r="G28" s="33" t="n"/>
      <c r="H28" s="33" t="n"/>
      <c r="I28" s="33">
        <f>D28*15</f>
        <v/>
      </c>
      <c r="J28" s="33" t="n"/>
      <c r="L28" s="33">
        <f>D28*35</f>
        <v/>
      </c>
    </row>
    <row r="29">
      <c r="A29" s="141" t="n"/>
      <c r="B29" s="189" t="inlineStr">
        <is>
          <t>DD-V-316-003_ShoppingBlast_DD-VEO-053-001_EN_30s</t>
        </is>
      </c>
      <c r="C29" s="181" t="n">
        <v>0.7</v>
      </c>
      <c r="D29" s="181">
        <f>C29*9</f>
        <v/>
      </c>
      <c r="E29" s="1">
        <f>D29*5</f>
        <v/>
      </c>
      <c r="F29" s="33" t="n"/>
      <c r="G29" s="33" t="n"/>
      <c r="H29" s="33" t="n"/>
      <c r="I29" s="33" t="n"/>
      <c r="J29" s="33">
        <f>D29*15</f>
        <v/>
      </c>
      <c r="L29" s="33">
        <f>D29*35</f>
        <v/>
      </c>
    </row>
    <row r="30">
      <c r="A30" s="141" t="n"/>
      <c r="B30" s="189" t="inlineStr">
        <is>
          <t>DD-V-329-002_BeachRobbery_DD-VEO-039-001_EN_37s</t>
        </is>
      </c>
      <c r="C30" s="181" t="n">
        <v>0.3</v>
      </c>
      <c r="D30" s="181">
        <f>C30*9</f>
        <v/>
      </c>
      <c r="E30" s="1">
        <f>D30*5</f>
        <v/>
      </c>
      <c r="F30" s="33" t="n"/>
      <c r="G30" s="33">
        <f>D30*15</f>
        <v/>
      </c>
      <c r="H30" s="33" t="n"/>
      <c r="I30" s="33" t="n"/>
      <c r="J30" s="33" t="n"/>
      <c r="L30" s="33">
        <f>D30*35</f>
        <v/>
      </c>
    </row>
    <row r="31">
      <c r="A31" s="141" t="n"/>
      <c r="B31" s="189" t="inlineStr">
        <is>
          <t>DD-V-319-005_EscapeTrain_DD-VEO-039-001_EN_45s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>
        <f>D31*15</f>
        <v/>
      </c>
      <c r="H31" s="33" t="n"/>
      <c r="I31" s="33" t="n"/>
      <c r="J31" s="33" t="n"/>
      <c r="L31" s="33">
        <f>D31*35</f>
        <v/>
      </c>
    </row>
    <row r="32">
      <c r="A32" s="141" t="n"/>
      <c r="B32" s="189" t="inlineStr">
        <is>
          <t>DD-V-310-008_OneWinAfterAnother_DD-VEO-044-001_EN_40s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 t="n"/>
      <c r="H32" s="33" t="n"/>
      <c r="I32" s="33" t="n"/>
      <c r="J32" s="33">
        <f>D32*15</f>
        <v/>
      </c>
      <c r="L32" s="33">
        <f>D32*35</f>
        <v/>
      </c>
    </row>
    <row r="33">
      <c r="A33" s="141" t="n"/>
      <c r="B33" s="189" t="inlineStr">
        <is>
          <t>DD-V-312-002_YarnFever_EN_60s</t>
        </is>
      </c>
      <c r="C33" s="181" t="n">
        <v>0.3</v>
      </c>
      <c r="D33" s="181">
        <f>C33*9</f>
        <v/>
      </c>
      <c r="E33" s="1">
        <f>D33*5</f>
        <v/>
      </c>
      <c r="F33" s="33" t="n"/>
      <c r="G33" s="33" t="n"/>
      <c r="H33" s="33">
        <f>D33*15</f>
        <v/>
      </c>
      <c r="I33" s="33" t="n"/>
      <c r="J33" s="33" t="n"/>
      <c r="L33" s="33">
        <f>D33*35</f>
        <v/>
      </c>
    </row>
    <row r="34">
      <c r="A34" s="141" t="n"/>
      <c r="B34" s="189" t="inlineStr">
        <is>
          <t>DD-V-312-003_YarnFever_EN_30s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 t="n"/>
      <c r="H34" s="33">
        <f>D34*15</f>
        <v/>
      </c>
      <c r="I34" s="33" t="n"/>
      <c r="J34" s="33" t="n"/>
      <c r="L34" s="33">
        <f>D34*35</f>
        <v/>
      </c>
    </row>
    <row r="35">
      <c r="A35" s="141" t="n"/>
      <c r="B35" s="189" t="inlineStr">
        <is>
          <t>DD-V-034-063_AttackFeature_TrailKnight_DD-VEO-050-001_EN_45s</t>
        </is>
      </c>
      <c r="C35" s="181" t="n">
        <v>0.3</v>
      </c>
      <c r="D35" s="181">
        <f>C35*9</f>
        <v/>
      </c>
      <c r="E35" s="1">
        <f>D35*5</f>
        <v/>
      </c>
      <c r="F35" s="33" t="n"/>
      <c r="G35" s="33">
        <f>D35*15</f>
        <v/>
      </c>
      <c r="H35" s="33" t="n"/>
      <c r="I35" s="33" t="n"/>
      <c r="J35" s="33" t="n"/>
      <c r="L35" s="33">
        <f>D35*35</f>
        <v/>
      </c>
    </row>
    <row r="36">
      <c r="A36" s="141" t="n"/>
      <c r="B36" s="189" t="inlineStr">
        <is>
          <t>DD-VEO-006-002_Jelly_Chop_EN_06s</t>
        </is>
      </c>
      <c r="C36" s="181" t="n">
        <v>0.3</v>
      </c>
      <c r="D36" s="181">
        <f>C36*9</f>
        <v/>
      </c>
      <c r="E36" s="1">
        <f>D36*5</f>
        <v/>
      </c>
      <c r="F36" s="33" t="n"/>
      <c r="G36" s="33" t="n"/>
      <c r="H36" s="33" t="n"/>
      <c r="I36" s="135">
        <f>D36*15</f>
        <v/>
      </c>
      <c r="J36" s="33" t="n"/>
      <c r="L36" s="33">
        <f>D36*35</f>
        <v/>
      </c>
    </row>
    <row r="37">
      <c r="A37" s="141" t="n"/>
      <c r="B37" s="189" t="inlineStr">
        <is>
          <t>DD-VEO-006-003_Jelly_Beach_EN_06s</t>
        </is>
      </c>
      <c r="C37" s="181" t="n">
        <v>0.3</v>
      </c>
      <c r="D37" s="181">
        <f>C37*9</f>
        <v/>
      </c>
      <c r="E37" s="1">
        <f>D37*5</f>
        <v/>
      </c>
      <c r="F37" s="33" t="n"/>
      <c r="G37" s="33" t="n"/>
      <c r="H37" s="33" t="n"/>
      <c r="I37" s="135">
        <f>D37*15</f>
        <v/>
      </c>
      <c r="J37" s="33" t="n"/>
      <c r="L37" s="33">
        <f>D37*35</f>
        <v/>
      </c>
    </row>
    <row r="38">
      <c r="A38" s="141" t="n"/>
      <c r="B38" s="189" t="inlineStr">
        <is>
          <t>DD-VEO-006-004_Jelly_Jungle_EN_06s</t>
        </is>
      </c>
      <c r="C38" s="181" t="n">
        <v>0.3</v>
      </c>
      <c r="D38" s="181">
        <f>C38*9</f>
        <v/>
      </c>
      <c r="E38" s="1">
        <f>D38*5</f>
        <v/>
      </c>
      <c r="F38" s="33" t="n"/>
      <c r="G38" s="33" t="n"/>
      <c r="H38" s="33" t="n"/>
      <c r="I38" s="135">
        <f>D38*15</f>
        <v/>
      </c>
      <c r="J38" s="33" t="n"/>
      <c r="L38" s="33">
        <f>D38*35</f>
        <v/>
      </c>
    </row>
    <row r="39">
      <c r="A39" s="141" t="n"/>
      <c r="B39" s="189" t="inlineStr">
        <is>
          <t>DD-VEO-006-005_Jelly_Moon_EN_06s</t>
        </is>
      </c>
      <c r="C39" s="181" t="n">
        <v>0.3</v>
      </c>
      <c r="D39" s="181">
        <f>C39*9</f>
        <v/>
      </c>
      <c r="E39" s="1">
        <f>D39*5</f>
        <v/>
      </c>
      <c r="F39" s="33" t="n"/>
      <c r="G39" s="33" t="n"/>
      <c r="H39" s="33" t="n"/>
      <c r="I39" s="135">
        <f>D39*15</f>
        <v/>
      </c>
      <c r="J39" s="33" t="n"/>
      <c r="L39" s="33">
        <f>D39*35</f>
        <v/>
      </c>
    </row>
    <row r="40">
      <c r="A40" s="141" t="n"/>
      <c r="B40" s="189" t="inlineStr">
        <is>
          <t xml:space="preserve">DD-VEO-054-001_DollsClaw_EN_05s </t>
        </is>
      </c>
      <c r="C40" s="181" t="n">
        <v>0.3</v>
      </c>
      <c r="D40" s="181">
        <f>C40*9</f>
        <v/>
      </c>
      <c r="E40" s="1">
        <f>D40*5</f>
        <v/>
      </c>
      <c r="F40" s="33" t="n"/>
      <c r="G40" s="33">
        <f>D40*15</f>
        <v/>
      </c>
      <c r="H40" s="33" t="n"/>
      <c r="I40" s="135" t="n"/>
      <c r="J40" s="33" t="n"/>
      <c r="L40" s="33">
        <f>D40*35</f>
        <v/>
      </c>
    </row>
    <row r="41">
      <c r="A41" s="141" t="n"/>
      <c r="B41" s="189" t="inlineStr">
        <is>
          <t>DD-V-034-043_AttackFeature_DD-VEO-026-001_EN_30s - Add size 1200X628</t>
        </is>
      </c>
      <c r="C41" s="181" t="n">
        <v>0.1</v>
      </c>
      <c r="D41" s="181">
        <f>C41*9</f>
        <v/>
      </c>
      <c r="E41" s="1">
        <f>D41*5</f>
        <v/>
      </c>
      <c r="F41" s="33" t="n"/>
      <c r="G41" s="33" t="n"/>
      <c r="H41" s="33" t="n"/>
      <c r="I41" s="33" t="n"/>
      <c r="J41" s="33">
        <f>D41*15</f>
        <v/>
      </c>
      <c r="L41" s="33">
        <f>D41*35</f>
        <v/>
      </c>
    </row>
    <row r="42">
      <c r="A42" s="141" t="n"/>
      <c r="B42" s="189" t="inlineStr">
        <is>
          <t xml:space="preserve">DD-V-229-032_Coins&amp;Coins_DD-H-288-001_EN_30s - Add size 1200X628  </t>
        </is>
      </c>
      <c r="C42" s="181" t="n">
        <v>0.1</v>
      </c>
      <c r="D42" s="181">
        <f>C42*9</f>
        <v/>
      </c>
      <c r="E42" s="1">
        <f>D42*5</f>
        <v/>
      </c>
      <c r="F42" s="33" t="n"/>
      <c r="G42" s="33" t="n"/>
      <c r="H42" s="33" t="n"/>
      <c r="I42" s="33" t="n"/>
      <c r="J42" s="33">
        <f>D42*15</f>
        <v/>
      </c>
      <c r="L42" s="33">
        <f>D42*35</f>
        <v/>
      </c>
    </row>
    <row r="43">
      <c r="A43" s="141" t="n"/>
      <c r="B43" s="189" t="inlineStr">
        <is>
          <t xml:space="preserve">DD-V-315-002_BossWheel_EN_60s - Add size 1200X628  </t>
        </is>
      </c>
      <c r="C43" s="181" t="n">
        <v>0.1</v>
      </c>
      <c r="D43" s="181">
        <f>C43*9</f>
        <v/>
      </c>
      <c r="E43" s="1">
        <f>D43*5</f>
        <v/>
      </c>
      <c r="F43" s="33" t="n"/>
      <c r="G43" s="33" t="n"/>
      <c r="H43" s="33" t="n"/>
      <c r="I43" s="33" t="n"/>
      <c r="J43" s="33">
        <f>D43*15</f>
        <v/>
      </c>
      <c r="L43" s="33">
        <f>D43*35</f>
        <v/>
      </c>
    </row>
    <row r="44">
      <c r="A44" s="141" t="n"/>
      <c r="B44" s="189" t="inlineStr">
        <is>
          <t xml:space="preserve">DD-VEO-051-001_MyCoins_EN_30s - Add size 1200X628  </t>
        </is>
      </c>
      <c r="C44" s="181" t="n">
        <v>0.1</v>
      </c>
      <c r="D44" s="181">
        <f>C44*9</f>
        <v/>
      </c>
      <c r="E44" s="1">
        <f>D44*5</f>
        <v/>
      </c>
      <c r="F44" s="33" t="n"/>
      <c r="G44" s="33" t="n"/>
      <c r="H44" s="33" t="n"/>
      <c r="I44" s="33" t="n"/>
      <c r="J44" s="33">
        <f>D44*15</f>
        <v/>
      </c>
      <c r="L44" s="33">
        <f>D44*35</f>
        <v/>
      </c>
    </row>
    <row r="45">
      <c r="A45" s="118" t="inlineStr">
        <is>
          <t>total</t>
        </is>
      </c>
      <c r="B45" s="57" t="n"/>
      <c r="C45" s="11">
        <f>SUM(C3:C44)</f>
        <v/>
      </c>
      <c r="D45" s="11">
        <f>SUM(D3:D44)</f>
        <v/>
      </c>
      <c r="E45" s="59">
        <f>SUM(E3:E44)</f>
        <v/>
      </c>
      <c r="F45" s="59">
        <f>SUM(F3:F44)</f>
        <v/>
      </c>
      <c r="G45" s="59">
        <f>SUM(G3:G44)</f>
        <v/>
      </c>
      <c r="H45" s="59">
        <f>SUM(H3:H44)</f>
        <v/>
      </c>
      <c r="I45" s="59">
        <f>SUM(I3:I44)</f>
        <v/>
      </c>
      <c r="J45" s="59">
        <f>SUM(J3:J44)</f>
        <v/>
      </c>
      <c r="K45" s="59">
        <f>SUM(E45:J45)</f>
        <v/>
      </c>
      <c r="L45" s="60">
        <f>SUM(L3:L44)</f>
        <v/>
      </c>
      <c r="M45" s="39" t="n"/>
      <c r="N45" s="29" t="inlineStr">
        <is>
          <t>UAH</t>
        </is>
      </c>
      <c r="O45" s="16" t="inlineStr">
        <is>
          <t>USD</t>
        </is>
      </c>
    </row>
    <row r="46">
      <c r="E46" s="164">
        <f>E45*44.46</f>
        <v/>
      </c>
      <c r="F46" s="164">
        <f>F45*44.46</f>
        <v/>
      </c>
      <c r="G46" s="164">
        <f>G45*44.46</f>
        <v/>
      </c>
      <c r="H46" s="164">
        <f>H45*44.46</f>
        <v/>
      </c>
      <c r="I46" s="164">
        <f>I45*44.46</f>
        <v/>
      </c>
      <c r="J46" s="164">
        <f>J45*44.46</f>
        <v/>
      </c>
      <c r="K46" s="7">
        <f>K45*44.46</f>
        <v/>
      </c>
      <c r="L46" s="7">
        <f>L45*44.46</f>
        <v/>
      </c>
      <c r="M46" s="5" t="inlineStr">
        <is>
          <t>CLIENT IN</t>
        </is>
      </c>
      <c r="N46" s="7">
        <f>O46*44.6</f>
        <v/>
      </c>
      <c r="O46" s="8">
        <f>L45</f>
        <v/>
      </c>
      <c r="T46" s="4" t="n"/>
    </row>
    <row r="47">
      <c r="G47" s="33" t="n"/>
      <c r="H47" s="123" t="n"/>
      <c r="I47" s="123" t="n"/>
      <c r="J47" s="199" t="n"/>
      <c r="M47" s="5" t="inlineStr">
        <is>
          <t>STUDIO (TAX)</t>
        </is>
      </c>
      <c r="N47" s="7">
        <f>O47*44.6</f>
        <v/>
      </c>
      <c r="O47" s="8">
        <f>O46-O46*0.05</f>
        <v/>
      </c>
    </row>
    <row r="48">
      <c r="B48" s="1" t="n"/>
      <c r="E48" s="21" t="n"/>
      <c r="G48" s="33" t="n"/>
      <c r="M48" s="5" t="inlineStr">
        <is>
          <t>EMPL</t>
        </is>
      </c>
      <c r="N48" s="7">
        <f>O48*44.6</f>
        <v/>
      </c>
      <c r="O48" s="8">
        <f>K45</f>
        <v/>
      </c>
    </row>
    <row r="49">
      <c r="B49" s="1" t="n"/>
      <c r="M49" s="37" t="inlineStr">
        <is>
          <t>STUDIO</t>
        </is>
      </c>
      <c r="N49" s="7">
        <f>O49*44.6</f>
        <v/>
      </c>
      <c r="O49" s="8">
        <f>O47-O48</f>
        <v/>
      </c>
    </row>
    <row r="50">
      <c r="B50" s="1" t="n"/>
      <c r="I50" s="198" t="n"/>
    </row>
    <row r="51">
      <c r="B51" s="169" t="n"/>
      <c r="C51" s="166" t="n"/>
      <c r="D51" s="176" t="n"/>
      <c r="I51" s="169" t="n"/>
      <c r="J51" s="169" t="n"/>
      <c r="K51" s="166" t="n"/>
      <c r="L51" s="176" t="n"/>
    </row>
    <row r="52">
      <c r="B52" s="169" t="n"/>
      <c r="C52" s="166" t="n"/>
      <c r="D52" s="176" t="n"/>
      <c r="I52" s="144" t="n"/>
      <c r="J52" s="144" t="n"/>
      <c r="K52" s="166" t="n"/>
      <c r="L52" s="176" t="n"/>
    </row>
    <row r="53">
      <c r="B53" s="169" t="n"/>
      <c r="C53" s="171" t="n"/>
      <c r="D53" s="176" t="n"/>
      <c r="G53" s="192" t="n"/>
      <c r="I53" s="167" t="n"/>
      <c r="J53" s="167" t="n"/>
      <c r="K53" s="166" t="n"/>
      <c r="L53" s="176" t="n"/>
    </row>
    <row r="54">
      <c r="B54" s="169" t="n"/>
      <c r="C54" s="192" t="n"/>
      <c r="D54" s="192" t="n"/>
      <c r="E54" s="192" t="n"/>
      <c r="F54" s="192" t="n"/>
      <c r="G54" s="192" t="n"/>
      <c r="I54" s="169" t="n"/>
      <c r="J54" s="169" t="n"/>
      <c r="K54" s="166" t="n"/>
      <c r="L54" s="176" t="n"/>
    </row>
    <row r="55">
      <c r="B55" s="176" t="n"/>
      <c r="C55" s="191" t="n"/>
      <c r="D55" s="191" t="n"/>
      <c r="E55" s="191" t="n"/>
      <c r="G55" s="192" t="n"/>
      <c r="I55" s="169" t="n"/>
      <c r="J55" s="169" t="n"/>
      <c r="K55" s="166" t="n"/>
      <c r="L55" s="176" t="n"/>
    </row>
    <row r="56">
      <c r="B56" s="169" t="n"/>
      <c r="C56" s="191" t="n"/>
      <c r="D56" s="191" t="n"/>
      <c r="E56" s="191" t="n"/>
      <c r="G56" s="192" t="n"/>
      <c r="I56" s="169" t="n"/>
      <c r="J56" s="169" t="n"/>
      <c r="K56" s="166" t="n"/>
      <c r="L56" s="176" t="n"/>
    </row>
    <row r="57">
      <c r="B57" s="169" t="n"/>
      <c r="C57" s="192" t="n"/>
      <c r="D57" s="192" t="n"/>
      <c r="E57" s="192" t="n"/>
      <c r="F57" s="192" t="n"/>
      <c r="G57" s="192" t="n"/>
      <c r="I57" s="169" t="n"/>
      <c r="J57" s="169" t="n"/>
      <c r="K57" s="166" t="n"/>
      <c r="L57" s="176" t="n"/>
    </row>
    <row r="58">
      <c r="B58" s="176" t="n"/>
      <c r="C58" s="191" t="n"/>
      <c r="D58" s="191" t="n"/>
      <c r="E58" s="191" t="n"/>
      <c r="G58" s="192" t="n"/>
      <c r="I58" s="169" t="n"/>
      <c r="J58" s="169" t="n"/>
      <c r="K58" s="171" t="n"/>
      <c r="L58" s="176" t="n"/>
    </row>
    <row r="59">
      <c r="C59" s="191" t="n"/>
      <c r="D59" s="191" t="n"/>
      <c r="E59" s="191" t="n"/>
      <c r="G59" s="192" t="n"/>
      <c r="I59" s="169" t="n"/>
      <c r="J59" s="169" t="n"/>
      <c r="K59" s="171" t="n"/>
      <c r="L59" s="176" t="n"/>
    </row>
    <row r="60">
      <c r="B60" s="169" t="n"/>
      <c r="C60" s="192" t="n"/>
      <c r="D60" s="192" t="n"/>
      <c r="E60" s="192" t="n"/>
      <c r="F60" s="192" t="n"/>
      <c r="G60" s="192" t="n"/>
      <c r="I60" s="169" t="n"/>
      <c r="J60" s="169" t="n"/>
      <c r="K60" s="171" t="n"/>
      <c r="L60" s="176" t="n"/>
    </row>
    <row r="61">
      <c r="B61" s="176" t="n"/>
      <c r="C61" s="191" t="n"/>
      <c r="D61" s="191" t="n"/>
      <c r="E61" s="191" t="n"/>
      <c r="G61" s="192" t="n"/>
      <c r="H61" s="21" t="n"/>
      <c r="I61" s="169" t="n"/>
      <c r="J61" s="169" t="n"/>
      <c r="K61" s="166" t="n"/>
      <c r="L61" s="176" t="n"/>
    </row>
    <row r="62">
      <c r="C62" s="191" t="n"/>
      <c r="D62" s="191" t="n"/>
      <c r="E62" s="191" t="n"/>
      <c r="G62" s="192" t="n"/>
    </row>
    <row r="63">
      <c r="B63" s="169" t="n"/>
      <c r="C63" s="192" t="n"/>
      <c r="D63" s="192" t="n"/>
      <c r="E63" s="192" t="n"/>
      <c r="F63" s="192" t="n"/>
      <c r="G63" s="192" t="n"/>
    </row>
    <row r="64">
      <c r="B64" s="176" t="n"/>
      <c r="C64" s="191" t="n"/>
      <c r="D64" s="191" t="n"/>
      <c r="E64" s="191" t="n"/>
      <c r="G64" s="192" t="n"/>
    </row>
    <row r="65">
      <c r="C65" s="191" t="n"/>
      <c r="D65" s="191" t="n"/>
      <c r="E65" s="191" t="n"/>
      <c r="G65" s="192" t="n"/>
    </row>
    <row r="66">
      <c r="B66" s="169" t="n"/>
      <c r="C66" s="192" t="n"/>
      <c r="D66" s="192" t="n"/>
      <c r="E66" s="192" t="n"/>
      <c r="F66" s="192" t="n"/>
      <c r="G66" s="192" t="n"/>
    </row>
    <row r="67">
      <c r="B67" s="176" t="n"/>
      <c r="C67" s="191" t="n"/>
      <c r="D67" s="191" t="n"/>
      <c r="E67" s="191" t="n"/>
      <c r="G67" s="192" t="n"/>
    </row>
    <row r="68">
      <c r="C68" s="191" t="n"/>
      <c r="D68" s="191" t="n"/>
      <c r="E68" s="191" t="n"/>
      <c r="G68" s="192" t="n"/>
    </row>
    <row r="69">
      <c r="C69" s="191" t="n"/>
      <c r="D69" s="191" t="n"/>
      <c r="E69" s="191" t="n"/>
      <c r="G69" s="192" t="n"/>
    </row>
    <row r="70">
      <c r="G70" s="192" t="n"/>
    </row>
    <row r="71">
      <c r="G71" s="192" t="n"/>
    </row>
    <row r="72">
      <c r="G72" s="192" t="n"/>
    </row>
  </sheetData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5"/>
  <sheetViews>
    <sheetView zoomScale="80" zoomScaleNormal="80" workbookViewId="0">
      <pane ySplit="2" topLeftCell="A12" activePane="bottomLeft" state="frozen"/>
      <selection pane="bottomLeft" activeCell="C89" sqref="C89"/>
    </sheetView>
  </sheetViews>
  <sheetFormatPr baseColWidth="10" defaultRowHeight="16"/>
  <cols>
    <col width="9.33203125" customWidth="1" style="1" min="1" max="1"/>
    <col width="45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98" t="inlineStr">
        <is>
          <t>EMPL 1</t>
        </is>
      </c>
      <c r="G3" s="110" t="inlineStr">
        <is>
          <t>EMPL 2</t>
        </is>
      </c>
      <c r="H3" s="110" t="inlineStr">
        <is>
          <t>EMPL 3</t>
        </is>
      </c>
      <c r="I3" s="98" t="inlineStr">
        <is>
          <t>EMPL 4</t>
        </is>
      </c>
      <c r="J3" s="98" t="inlineStr">
        <is>
          <t>EMPL 5</t>
        </is>
      </c>
      <c r="K3" s="31" t="inlineStr">
        <is>
          <t>Total EMPL</t>
        </is>
      </c>
      <c r="L3" s="39" t="inlineStr">
        <is>
          <t>STUDIO</t>
        </is>
      </c>
    </row>
    <row r="4">
      <c r="A4" s="141" t="n"/>
      <c r="B4" s="185" t="inlineStr">
        <is>
          <t>DX-V-051-013</t>
        </is>
      </c>
      <c r="C4" s="181" t="n">
        <v>0.3</v>
      </c>
      <c r="D4" s="181">
        <f>C4*9</f>
        <v/>
      </c>
      <c r="E4" s="1">
        <f>D4*5</f>
        <v/>
      </c>
      <c r="F4" s="33" t="n"/>
      <c r="G4" s="33">
        <f>D4*15</f>
        <v/>
      </c>
      <c r="H4" s="33" t="n"/>
      <c r="I4" s="33" t="n"/>
      <c r="J4" s="33" t="n"/>
      <c r="L4" s="33">
        <f>D4*35</f>
        <v/>
      </c>
      <c r="Q4" s="33" t="n"/>
    </row>
    <row r="5">
      <c r="A5" s="141" t="n"/>
      <c r="B5" s="185" t="inlineStr">
        <is>
          <t>DX-V-051-014</t>
        </is>
      </c>
      <c r="C5" s="181" t="n">
        <v>0.3</v>
      </c>
      <c r="D5" s="181">
        <f>C5*9</f>
        <v/>
      </c>
      <c r="E5" s="1">
        <f>D5*5</f>
        <v/>
      </c>
      <c r="G5" s="33">
        <f>D5*15</f>
        <v/>
      </c>
      <c r="H5" s="33" t="n"/>
      <c r="I5" s="33" t="n"/>
      <c r="J5" s="33" t="n"/>
      <c r="L5" s="33">
        <f>D5*35</f>
        <v/>
      </c>
      <c r="Q5" s="33" t="n"/>
    </row>
    <row r="6">
      <c r="A6" s="141" t="n"/>
      <c r="B6" s="185" t="inlineStr">
        <is>
          <t>DX-V-135-021</t>
        </is>
      </c>
      <c r="C6" s="181" t="n">
        <v>0.3</v>
      </c>
      <c r="D6" s="181">
        <f>C6*9</f>
        <v/>
      </c>
      <c r="E6" s="1">
        <f>D6*5</f>
        <v/>
      </c>
      <c r="F6" s="33" t="n"/>
      <c r="G6" s="33">
        <f>D6*15</f>
        <v/>
      </c>
      <c r="H6" s="33" t="n"/>
      <c r="I6" s="33" t="n"/>
      <c r="J6" s="33" t="n"/>
      <c r="L6" s="33">
        <f>D6*35</f>
        <v/>
      </c>
      <c r="Q6" s="33" t="n"/>
    </row>
    <row r="7">
      <c r="A7" s="141" t="n"/>
      <c r="B7" s="185" t="inlineStr">
        <is>
          <t>DX-V-135-022</t>
        </is>
      </c>
      <c r="C7" s="181" t="n">
        <v>0.3</v>
      </c>
      <c r="D7" s="181">
        <f>C7*9</f>
        <v/>
      </c>
      <c r="E7" s="1">
        <f>D7*5</f>
        <v/>
      </c>
      <c r="F7" s="33" t="n"/>
      <c r="G7" s="33">
        <f>D7*15</f>
        <v/>
      </c>
      <c r="H7" s="33" t="n"/>
      <c r="I7" s="33" t="n"/>
      <c r="J7" s="33" t="n"/>
      <c r="L7" s="33">
        <f>D7*35</f>
        <v/>
      </c>
      <c r="Q7" s="33" t="n"/>
    </row>
    <row r="8">
      <c r="A8" s="141" t="n"/>
      <c r="B8" s="185" t="inlineStr">
        <is>
          <t>DX-VEO-041-001</t>
        </is>
      </c>
      <c r="C8" s="181" t="n">
        <v>0.5</v>
      </c>
      <c r="D8" s="181">
        <f>C8*9</f>
        <v/>
      </c>
      <c r="E8" s="1">
        <f>D8*5</f>
        <v/>
      </c>
      <c r="F8" s="33" t="n"/>
      <c r="G8" s="33" t="n"/>
      <c r="H8" s="33" t="n"/>
      <c r="I8" s="33" t="n"/>
      <c r="J8" s="33">
        <f>D8*15</f>
        <v/>
      </c>
      <c r="L8" s="33">
        <f>D8*35</f>
        <v/>
      </c>
      <c r="Q8" s="33" t="n"/>
    </row>
    <row r="9">
      <c r="A9" s="141" t="n"/>
      <c r="B9" s="185" t="inlineStr">
        <is>
          <t>DX-VEO-042-001</t>
        </is>
      </c>
      <c r="C9" s="181" t="n">
        <v>0.8</v>
      </c>
      <c r="D9" s="181">
        <f>C9*9</f>
        <v/>
      </c>
      <c r="E9" s="1">
        <f>D9*5</f>
        <v/>
      </c>
      <c r="F9" s="33">
        <f>D9*15</f>
        <v/>
      </c>
      <c r="G9" s="33" t="n"/>
      <c r="H9" s="33" t="n"/>
      <c r="I9" s="33" t="n"/>
      <c r="J9" s="33" t="n"/>
      <c r="L9" s="33">
        <f>D9*35</f>
        <v/>
      </c>
      <c r="Q9" s="33" t="n"/>
    </row>
    <row r="10">
      <c r="A10" s="141" t="n"/>
      <c r="B10" s="185" t="inlineStr">
        <is>
          <t>DX-VEO-043-001</t>
        </is>
      </c>
      <c r="C10" s="181" t="n">
        <v>0.5</v>
      </c>
      <c r="D10" s="181">
        <f>C10*9</f>
        <v/>
      </c>
      <c r="E10" s="1">
        <f>D10*5</f>
        <v/>
      </c>
      <c r="F10" s="33" t="n"/>
      <c r="G10" s="33" t="n"/>
      <c r="H10" s="33" t="n"/>
      <c r="I10" s="33" t="n"/>
      <c r="J10" s="33">
        <f>D10*15</f>
        <v/>
      </c>
      <c r="L10" s="33">
        <f>D10*35</f>
        <v/>
      </c>
      <c r="Q10" s="33" t="n"/>
    </row>
    <row r="11">
      <c r="A11" s="141" t="n"/>
      <c r="B11" s="185" t="inlineStr">
        <is>
          <t>DX-V-112-011</t>
        </is>
      </c>
      <c r="C11" s="181" t="n">
        <v>0.3</v>
      </c>
      <c r="D11" s="181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J11" s="33" t="n"/>
      <c r="L11" s="33">
        <f>D11*35</f>
        <v/>
      </c>
      <c r="Q11" s="33" t="n"/>
    </row>
    <row r="12">
      <c r="A12" s="141" t="n"/>
      <c r="B12" s="185" t="inlineStr">
        <is>
          <t>DX-V-112-012</t>
        </is>
      </c>
      <c r="C12" s="181" t="n">
        <v>0.3</v>
      </c>
      <c r="D12" s="181">
        <f>C12*9</f>
        <v/>
      </c>
      <c r="E12" s="1">
        <f>D12*5</f>
        <v/>
      </c>
      <c r="F12" s="33">
        <f>D12*15</f>
        <v/>
      </c>
      <c r="G12" s="33" t="n"/>
      <c r="H12" s="33" t="n"/>
      <c r="I12" s="33" t="n"/>
      <c r="J12" s="33" t="n"/>
      <c r="L12" s="33">
        <f>D12*35</f>
        <v/>
      </c>
      <c r="Q12" s="33" t="n"/>
    </row>
    <row r="13">
      <c r="A13" s="141" t="n"/>
      <c r="B13" s="185" t="inlineStr">
        <is>
          <t>DX-V-112-013</t>
        </is>
      </c>
      <c r="C13" s="181" t="n">
        <v>0.3</v>
      </c>
      <c r="D13" s="181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J13" s="33" t="n"/>
      <c r="L13" s="33">
        <f>D13*35</f>
        <v/>
      </c>
      <c r="Q13" s="33" t="n"/>
    </row>
    <row r="14">
      <c r="A14" s="141" t="n"/>
      <c r="B14" s="185" t="inlineStr">
        <is>
          <t>DX-V-LOC - 152-001</t>
        </is>
      </c>
      <c r="C14" s="181" t="n">
        <v>0.5</v>
      </c>
      <c r="D14" s="181">
        <f>C14*9</f>
        <v/>
      </c>
      <c r="E14" s="1">
        <f>D14*5</f>
        <v/>
      </c>
      <c r="F14" s="33" t="n"/>
      <c r="G14" s="33" t="n"/>
      <c r="H14" s="33" t="n"/>
      <c r="I14" s="33">
        <f>D14*15</f>
        <v/>
      </c>
      <c r="J14" s="33" t="n"/>
      <c r="L14" s="33">
        <f>D14*35</f>
        <v/>
      </c>
      <c r="Q14" s="33" t="n"/>
    </row>
    <row r="15">
      <c r="A15" s="141" t="n"/>
      <c r="B15" s="185" t="inlineStr">
        <is>
          <t>DX-VEO-044-001</t>
        </is>
      </c>
      <c r="C15" s="181" t="n">
        <v>0.5</v>
      </c>
      <c r="D15" s="181">
        <f>C15*9</f>
        <v/>
      </c>
      <c r="E15" s="1">
        <f>D15*5</f>
        <v/>
      </c>
      <c r="F15" s="33" t="n"/>
      <c r="G15" s="33" t="n"/>
      <c r="H15" s="33" t="n"/>
      <c r="I15" s="33">
        <f>D15*15</f>
        <v/>
      </c>
      <c r="J15" s="33" t="n"/>
      <c r="L15" s="33">
        <f>D15*35</f>
        <v/>
      </c>
      <c r="Q15" s="33" t="n"/>
    </row>
    <row r="16">
      <c r="A16" s="141" t="n"/>
      <c r="B16" s="185" t="inlineStr">
        <is>
          <t>DX-V-119-016</t>
        </is>
      </c>
      <c r="C16" s="181" t="n">
        <v>0.3</v>
      </c>
      <c r="D16" s="181">
        <f>C16*9</f>
        <v/>
      </c>
      <c r="E16" s="1">
        <f>D16*5</f>
        <v/>
      </c>
      <c r="F16" s="33" t="n"/>
      <c r="G16" s="33" t="n"/>
      <c r="H16" s="33" t="n"/>
      <c r="I16" s="33">
        <f>D16*15</f>
        <v/>
      </c>
      <c r="J16" s="33" t="n"/>
      <c r="L16" s="33">
        <f>D16*35</f>
        <v/>
      </c>
      <c r="Q16" s="33" t="n"/>
    </row>
    <row r="17">
      <c r="A17" s="141" t="n"/>
      <c r="B17" s="185" t="inlineStr">
        <is>
          <t>DX-V-118-010</t>
        </is>
      </c>
      <c r="C17" s="181" t="n">
        <v>0.3</v>
      </c>
      <c r="D17" s="181">
        <f>C17*9</f>
        <v/>
      </c>
      <c r="E17" s="1">
        <f>D17*5</f>
        <v/>
      </c>
      <c r="F17" s="33" t="n"/>
      <c r="G17" s="33" t="n"/>
      <c r="H17" s="33" t="n"/>
      <c r="I17" s="33">
        <f>D17*15</f>
        <v/>
      </c>
      <c r="J17" s="33" t="n"/>
      <c r="L17" s="33">
        <f>D17*35</f>
        <v/>
      </c>
      <c r="Q17" s="33" t="n"/>
    </row>
    <row r="18">
      <c r="A18" s="141" t="n"/>
      <c r="B18" s="185" t="inlineStr">
        <is>
          <t>DX-V-145-014</t>
        </is>
      </c>
      <c r="C18" s="181" t="n">
        <v>0.3</v>
      </c>
      <c r="D18" s="181">
        <f>C18*9</f>
        <v/>
      </c>
      <c r="E18" s="1">
        <f>D18*5</f>
        <v/>
      </c>
      <c r="F18" s="33" t="n"/>
      <c r="G18" s="33" t="n"/>
      <c r="H18" s="33" t="n"/>
      <c r="I18" s="33">
        <f>D18*15</f>
        <v/>
      </c>
      <c r="J18" s="33" t="n"/>
      <c r="L18" s="33">
        <f>D18*35</f>
        <v/>
      </c>
      <c r="Q18" s="33" t="n"/>
    </row>
    <row r="19">
      <c r="A19" s="141" t="n"/>
      <c r="B19" s="185" t="inlineStr">
        <is>
          <t>DX-V-153-002</t>
        </is>
      </c>
      <c r="C19" s="181" t="n">
        <v>0.3</v>
      </c>
      <c r="D19" s="181">
        <f>C19*9</f>
        <v/>
      </c>
      <c r="E19" s="1">
        <f>D19*5</f>
        <v/>
      </c>
      <c r="F19" s="33" t="n"/>
      <c r="G19" s="33" t="n"/>
      <c r="H19" s="33" t="n"/>
      <c r="I19" s="33" t="n"/>
      <c r="J19" s="33">
        <f>D19*15</f>
        <v/>
      </c>
      <c r="L19" s="33">
        <f>D19*35</f>
        <v/>
      </c>
      <c r="Q19" s="33" t="n"/>
    </row>
    <row r="20">
      <c r="A20" s="141" t="n"/>
      <c r="B20" s="185" t="inlineStr">
        <is>
          <t>DX-HC EN 30s - DX-VEO-035-001_DeepFried</t>
        </is>
      </c>
      <c r="C20" s="181" t="n">
        <v>0.3</v>
      </c>
      <c r="D20" s="181">
        <f>C20*9</f>
        <v/>
      </c>
      <c r="E20" s="1">
        <f>D20*5</f>
        <v/>
      </c>
      <c r="F20" s="33" t="n"/>
      <c r="G20" s="33" t="n"/>
      <c r="H20" s="33" t="n"/>
      <c r="I20" s="33" t="n"/>
      <c r="J20" s="33">
        <f>D20*15</f>
        <v/>
      </c>
      <c r="L20" s="33">
        <f>D20*35</f>
        <v/>
      </c>
      <c r="Q20" s="33" t="n"/>
    </row>
    <row r="21">
      <c r="A21" s="141" t="n"/>
      <c r="B21" s="185" t="inlineStr">
        <is>
          <t xml:space="preserve">DX VEO3 General Request #1 </t>
        </is>
      </c>
      <c r="C21" s="181" t="n">
        <v>0.5</v>
      </c>
      <c r="D21" s="181">
        <f>C21*9</f>
        <v/>
      </c>
      <c r="E21" s="1">
        <f>D21*5</f>
        <v/>
      </c>
      <c r="F21" s="33" t="n"/>
      <c r="G21" s="33" t="n"/>
      <c r="H21" s="33">
        <f>D21*15</f>
        <v/>
      </c>
      <c r="I21" s="33" t="n"/>
      <c r="J21" s="33" t="n"/>
      <c r="L21" s="33">
        <f>D21*35</f>
        <v/>
      </c>
      <c r="Q21" s="33" t="n"/>
    </row>
    <row r="22">
      <c r="A22" s="141" t="n"/>
      <c r="B22" s="185" t="inlineStr">
        <is>
          <t>DX-VEO-045-001</t>
        </is>
      </c>
      <c r="C22" s="181" t="n">
        <v>0.5</v>
      </c>
      <c r="D22" s="181">
        <f>C22*9</f>
        <v/>
      </c>
      <c r="E22" s="1">
        <f>D22*5</f>
        <v/>
      </c>
      <c r="F22" s="33" t="n"/>
      <c r="G22" s="33" t="n"/>
      <c r="H22" s="33">
        <f>D22*15</f>
        <v/>
      </c>
      <c r="I22" s="33" t="n"/>
      <c r="J22" s="33" t="n"/>
      <c r="L22" s="33">
        <f>D22*35</f>
        <v/>
      </c>
      <c r="Q22" s="33" t="n"/>
    </row>
    <row r="23" ht="25" customHeight="1">
      <c r="A23" s="125" t="inlineStr">
        <is>
          <t>DD</t>
        </is>
      </c>
      <c r="B23" s="125" t="inlineStr">
        <is>
          <t>MGX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</row>
    <row r="24">
      <c r="A24" s="141" t="n"/>
      <c r="B24" s="189" t="inlineStr">
        <is>
          <t>DD-V-034-043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>
        <f>D24*15</f>
        <v/>
      </c>
      <c r="H24" s="33" t="n"/>
      <c r="I24" s="33" t="n"/>
      <c r="J24" s="33" t="n"/>
      <c r="L24" s="33">
        <f>D24*35</f>
        <v/>
      </c>
    </row>
    <row r="25">
      <c r="A25" s="141" t="n"/>
      <c r="B25" s="189" t="inlineStr">
        <is>
          <t>DD-V-034-044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>
        <f>D25*15</f>
        <v/>
      </c>
      <c r="H25" s="33" t="n"/>
      <c r="I25" s="33" t="n"/>
      <c r="J25" s="33" t="n"/>
      <c r="L25" s="33">
        <f>D25*35</f>
        <v/>
      </c>
    </row>
    <row r="26">
      <c r="A26" s="141" t="n"/>
      <c r="B26" s="189" t="inlineStr">
        <is>
          <t>DD-V-034-045</t>
        </is>
      </c>
      <c r="C26" s="181" t="n">
        <v>0.3</v>
      </c>
      <c r="D26" s="181">
        <f>C26*9</f>
        <v/>
      </c>
      <c r="E26" s="1">
        <f>D26*5</f>
        <v/>
      </c>
      <c r="F26" s="33" t="n"/>
      <c r="G26" s="33" t="n"/>
      <c r="H26" s="33" t="n"/>
      <c r="I26" s="33" t="n"/>
      <c r="J26" s="33">
        <f>D26*15</f>
        <v/>
      </c>
      <c r="L26" s="33">
        <f>D26*35</f>
        <v/>
      </c>
    </row>
    <row r="27">
      <c r="A27" s="141" t="n"/>
      <c r="B27" s="189" t="inlineStr">
        <is>
          <t>DD-V-241-005_2024StoreVid</t>
        </is>
      </c>
      <c r="C27" s="181" t="n">
        <v>0.5</v>
      </c>
      <c r="D27" s="181">
        <f>C27*9</f>
        <v/>
      </c>
      <c r="E27" s="1">
        <f>D27*5</f>
        <v/>
      </c>
      <c r="F27" s="33" t="n"/>
      <c r="G27" s="33" t="n"/>
      <c r="H27" s="33" t="n"/>
      <c r="I27" s="33" t="n"/>
      <c r="J27" s="33">
        <f>D27*15</f>
        <v/>
      </c>
      <c r="L27" s="33">
        <f>D27*35</f>
        <v/>
      </c>
    </row>
    <row r="28">
      <c r="A28" s="141" t="n"/>
      <c r="B28" s="189" t="inlineStr">
        <is>
          <t>DD-VEO-046-001_Payback</t>
        </is>
      </c>
      <c r="C28" s="181" t="n">
        <v>0.5</v>
      </c>
      <c r="D28" s="181">
        <f>C28*9</f>
        <v/>
      </c>
      <c r="E28" s="1">
        <f>D28*5</f>
        <v/>
      </c>
      <c r="F28" s="33">
        <f>D28*15</f>
        <v/>
      </c>
      <c r="G28" s="33" t="n"/>
      <c r="H28" s="33" t="n"/>
      <c r="I28" s="33" t="n"/>
      <c r="J28" s="33" t="n"/>
      <c r="L28" s="33">
        <f>D28*35</f>
        <v/>
      </c>
    </row>
    <row r="29">
      <c r="A29" s="141" t="n"/>
      <c r="B29" s="189" t="inlineStr">
        <is>
          <t>DD-VEO-047-001</t>
        </is>
      </c>
      <c r="C29" s="181" t="n">
        <v>0.3</v>
      </c>
      <c r="D29" s="181">
        <f>C29*9</f>
        <v/>
      </c>
      <c r="E29" s="1">
        <f>D29*5</f>
        <v/>
      </c>
      <c r="F29" s="33">
        <f>D29*15</f>
        <v/>
      </c>
      <c r="G29" s="33" t="n"/>
      <c r="H29" s="33" t="n"/>
      <c r="I29" s="33" t="n"/>
      <c r="J29" s="33" t="n"/>
      <c r="L29" s="33">
        <f>D29*35</f>
        <v/>
      </c>
    </row>
    <row r="30">
      <c r="A30" s="141" t="n"/>
      <c r="B30" s="189" t="inlineStr">
        <is>
          <t>DD-V-292-036</t>
        </is>
      </c>
      <c r="C30" s="181" t="n">
        <v>1.5</v>
      </c>
      <c r="D30" s="181">
        <f>C30*9</f>
        <v/>
      </c>
      <c r="E30" s="1">
        <f>D30*5</f>
        <v/>
      </c>
      <c r="F30" s="33" t="n"/>
      <c r="G30" s="33" t="n"/>
      <c r="H30" s="33">
        <f>D30*15</f>
        <v/>
      </c>
      <c r="I30" s="33" t="n"/>
      <c r="J30" s="33" t="n"/>
      <c r="L30" s="33">
        <f>D30*35</f>
        <v/>
      </c>
    </row>
    <row r="31">
      <c r="A31" s="141" t="n"/>
      <c r="B31" s="188" t="inlineStr">
        <is>
          <t>DD-V-229-038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>
        <f>D31*15</f>
        <v/>
      </c>
      <c r="H31" s="33" t="n"/>
      <c r="I31" s="33" t="n"/>
      <c r="J31" s="33" t="n"/>
      <c r="L31" s="33">
        <f>D31*35</f>
        <v/>
      </c>
    </row>
    <row r="32">
      <c r="A32" s="141" t="n"/>
      <c r="B32" s="188" t="inlineStr">
        <is>
          <t>DD-V-229-039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>
        <f>D32*15</f>
        <v/>
      </c>
      <c r="H32" s="33" t="n"/>
      <c r="I32" s="33" t="n"/>
      <c r="J32" s="33" t="n"/>
      <c r="L32" s="33">
        <f>D32*35</f>
        <v/>
      </c>
    </row>
    <row r="33">
      <c r="A33" s="141" t="n"/>
      <c r="B33" s="189" t="inlineStr">
        <is>
          <t>DD-V-229-040</t>
        </is>
      </c>
      <c r="C33" s="181" t="n">
        <v>0.3</v>
      </c>
      <c r="D33" s="181">
        <f>C33*9</f>
        <v/>
      </c>
      <c r="E33" s="1">
        <f>D33*5</f>
        <v/>
      </c>
      <c r="F33" s="33" t="n"/>
      <c r="G33" s="33">
        <f>D33*15</f>
        <v/>
      </c>
      <c r="H33" s="33" t="n"/>
      <c r="I33" s="33" t="n"/>
      <c r="J33" s="33" t="n"/>
      <c r="L33" s="33">
        <f>D33*35</f>
        <v/>
      </c>
    </row>
    <row r="34">
      <c r="A34" s="141" t="n"/>
      <c r="B34" s="189" t="inlineStr">
        <is>
          <t>DD-VEO-048-001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 t="n"/>
      <c r="H34" s="33" t="n"/>
      <c r="I34" s="33" t="n"/>
      <c r="J34" s="33">
        <f>D34*15</f>
        <v/>
      </c>
      <c r="L34" s="33">
        <f>D34*35</f>
        <v/>
      </c>
    </row>
    <row r="35">
      <c r="A35" s="141" t="n"/>
      <c r="B35" s="189" t="inlineStr">
        <is>
          <t>DD-V-144-040</t>
        </is>
      </c>
      <c r="C35" s="181" t="n">
        <v>0.3</v>
      </c>
      <c r="D35" s="181">
        <f>C35*9</f>
        <v/>
      </c>
      <c r="E35" s="1">
        <f>D35*5</f>
        <v/>
      </c>
      <c r="F35" s="33" t="n"/>
      <c r="G35" s="33" t="n"/>
      <c r="H35" s="33">
        <f>D35*15</f>
        <v/>
      </c>
      <c r="I35" s="33" t="n"/>
      <c r="J35" s="33" t="n"/>
      <c r="L35" s="33">
        <f>D35*35</f>
        <v/>
      </c>
    </row>
    <row r="36">
      <c r="A36" s="141" t="n"/>
      <c r="B36" s="189" t="inlineStr">
        <is>
          <t>DD-V-157-002</t>
        </is>
      </c>
      <c r="C36" s="181" t="n">
        <v>0.3</v>
      </c>
      <c r="D36" s="181">
        <f>C36*9</f>
        <v/>
      </c>
      <c r="E36" s="1">
        <f>D36*5</f>
        <v/>
      </c>
      <c r="F36" s="33" t="n"/>
      <c r="G36" s="33" t="n"/>
      <c r="H36" s="33">
        <f>D36*15</f>
        <v/>
      </c>
      <c r="I36" s="33" t="n"/>
      <c r="J36" s="33" t="n"/>
      <c r="L36" s="33">
        <f>D36*35</f>
        <v/>
      </c>
    </row>
    <row r="37">
      <c r="A37" s="141" t="n"/>
      <c r="B37" s="189" t="inlineStr">
        <is>
          <t>DD-V-186-004</t>
        </is>
      </c>
      <c r="C37" s="181" t="n">
        <v>0.3</v>
      </c>
      <c r="D37" s="181">
        <f>C37*9</f>
        <v/>
      </c>
      <c r="E37" s="1">
        <f>D37*5</f>
        <v/>
      </c>
      <c r="F37" s="33">
        <f>D37*15</f>
        <v/>
      </c>
      <c r="G37" s="33" t="n"/>
      <c r="H37" s="33" t="n"/>
      <c r="I37" s="33" t="n"/>
      <c r="J37" s="33" t="n"/>
      <c r="L37" s="33">
        <f>D37*35</f>
        <v/>
      </c>
    </row>
    <row r="38">
      <c r="A38" s="141" t="n"/>
      <c r="B38" s="189" t="inlineStr">
        <is>
          <t>DD-V-211-008</t>
        </is>
      </c>
      <c r="C38" s="181" t="n">
        <v>0.3</v>
      </c>
      <c r="D38" s="181">
        <f>C38*9</f>
        <v/>
      </c>
      <c r="E38" s="1">
        <f>D38*5</f>
        <v/>
      </c>
      <c r="F38" s="33">
        <f>D38*15</f>
        <v/>
      </c>
      <c r="G38" s="33" t="n"/>
      <c r="H38" s="33" t="n"/>
      <c r="I38" s="33" t="n"/>
      <c r="J38" s="33" t="n"/>
      <c r="L38" s="33">
        <f>D38*35</f>
        <v/>
      </c>
    </row>
    <row r="39">
      <c r="A39" s="141" t="n"/>
      <c r="B39" s="189" t="inlineStr">
        <is>
          <t>DD-V-337-001</t>
        </is>
      </c>
      <c r="C39" s="181" t="n">
        <v>0.5</v>
      </c>
      <c r="D39" s="181">
        <f>C39*9</f>
        <v/>
      </c>
      <c r="E39" s="1">
        <f>D39*5</f>
        <v/>
      </c>
      <c r="F39" s="33" t="n"/>
      <c r="G39" s="33" t="n"/>
      <c r="H39" s="33" t="n"/>
      <c r="I39" s="33">
        <f>D39*15</f>
        <v/>
      </c>
      <c r="J39" s="33" t="n"/>
      <c r="L39" s="33">
        <f>D39*35</f>
        <v/>
      </c>
    </row>
    <row r="40">
      <c r="A40" s="141" t="n"/>
      <c r="B40" s="189" t="inlineStr">
        <is>
          <t>DD-VEO-049-001</t>
        </is>
      </c>
      <c r="C40" s="181" t="n">
        <v>0.5</v>
      </c>
      <c r="D40" s="181">
        <f>C40*9</f>
        <v/>
      </c>
      <c r="E40" s="1">
        <f>D40*5</f>
        <v/>
      </c>
      <c r="F40" s="33" t="n"/>
      <c r="G40" s="33" t="n"/>
      <c r="H40" s="33" t="n"/>
      <c r="I40" s="33" t="n"/>
      <c r="J40" s="33">
        <f>D40*15</f>
        <v/>
      </c>
      <c r="L40" s="33">
        <f>D40*35</f>
        <v/>
      </c>
    </row>
    <row r="41">
      <c r="A41" s="141" t="n"/>
      <c r="B41" s="189" t="inlineStr">
        <is>
          <t>DD-V-093-006</t>
        </is>
      </c>
      <c r="C41" s="181" t="n">
        <v>0.3</v>
      </c>
      <c r="D41" s="181">
        <f>C41*9</f>
        <v/>
      </c>
      <c r="E41" s="1">
        <f>D41*5</f>
        <v/>
      </c>
      <c r="F41" s="33" t="n"/>
      <c r="G41" s="33" t="n"/>
      <c r="H41" s="33" t="n"/>
      <c r="I41" s="33">
        <f>D41*15</f>
        <v/>
      </c>
      <c r="J41" s="33" t="n"/>
      <c r="L41" s="33">
        <f>D41*35</f>
        <v/>
      </c>
    </row>
    <row r="42">
      <c r="A42" s="141" t="n"/>
      <c r="B42" s="189" t="inlineStr">
        <is>
          <t>DD-V-102-002</t>
        </is>
      </c>
      <c r="C42" s="181" t="n">
        <v>0.3</v>
      </c>
      <c r="D42" s="181">
        <f>C42*9</f>
        <v/>
      </c>
      <c r="E42" s="1">
        <f>D42*5</f>
        <v/>
      </c>
      <c r="F42" s="33" t="n"/>
      <c r="G42" s="33">
        <f>D42*15</f>
        <v/>
      </c>
      <c r="H42" s="33" t="n"/>
      <c r="I42" s="33" t="n"/>
      <c r="J42" s="33" t="n"/>
      <c r="L42" s="33">
        <f>D42*35</f>
        <v/>
      </c>
    </row>
    <row r="43">
      <c r="A43" s="141" t="n"/>
      <c r="B43" s="189" t="inlineStr">
        <is>
          <t>DD-HC EN 30s - DD-VEO-029-001_ToiletSteal</t>
        </is>
      </c>
      <c r="C43" s="181" t="n">
        <v>0.3</v>
      </c>
      <c r="D43" s="181">
        <f>C43*9</f>
        <v/>
      </c>
      <c r="E43" s="1">
        <f>D43*5</f>
        <v/>
      </c>
      <c r="F43" s="33" t="n"/>
      <c r="G43" s="33">
        <f>D43*15</f>
        <v/>
      </c>
      <c r="H43" s="33" t="n"/>
      <c r="I43" s="33" t="n"/>
      <c r="J43" s="33" t="n"/>
      <c r="L43" s="33">
        <f>D43*35</f>
        <v/>
      </c>
    </row>
    <row r="44">
      <c r="A44" s="141" t="n"/>
      <c r="B44" s="189" t="inlineStr">
        <is>
          <t>DD-V-144-040</t>
        </is>
      </c>
      <c r="C44" s="181" t="n">
        <v>0.3</v>
      </c>
      <c r="D44" s="181">
        <f>C44*9</f>
        <v/>
      </c>
      <c r="E44" s="1">
        <f>D44*5</f>
        <v/>
      </c>
      <c r="F44" s="33" t="n"/>
      <c r="G44" s="33" t="n"/>
      <c r="H44" s="33" t="n"/>
      <c r="I44" s="33" t="n"/>
      <c r="J44" s="33">
        <f>D44*15</f>
        <v/>
      </c>
      <c r="L44" s="33">
        <f>D44*35</f>
        <v/>
      </c>
    </row>
    <row r="45">
      <c r="A45" s="141" t="n"/>
      <c r="B45" s="189" t="inlineStr">
        <is>
          <t>DD-V-310-005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 t="n"/>
      <c r="H45" s="33" t="n"/>
      <c r="I45" s="33">
        <f>D45*15</f>
        <v/>
      </c>
      <c r="J45" s="33" t="n"/>
      <c r="L45" s="33">
        <f>D45*35</f>
        <v/>
      </c>
    </row>
    <row r="46">
      <c r="A46" s="141" t="n"/>
      <c r="B46" s="189" t="inlineStr">
        <is>
          <t>DD-V-310-006</t>
        </is>
      </c>
      <c r="C46" s="181" t="n">
        <v>0.3</v>
      </c>
      <c r="D46" s="181">
        <f>C46*9</f>
        <v/>
      </c>
      <c r="E46" s="1">
        <f>D46*5</f>
        <v/>
      </c>
      <c r="F46" s="33" t="n"/>
      <c r="G46" s="33" t="n"/>
      <c r="H46" s="33" t="n"/>
      <c r="I46" s="33">
        <f>D46*15</f>
        <v/>
      </c>
      <c r="J46" s="33" t="n"/>
      <c r="L46" s="33">
        <f>D46*35</f>
        <v/>
      </c>
    </row>
    <row r="47">
      <c r="A47" s="141" t="n"/>
      <c r="B47" s="189" t="inlineStr">
        <is>
          <t>DD-V-281-011</t>
        </is>
      </c>
      <c r="C47" s="181" t="n">
        <v>0.3</v>
      </c>
      <c r="D47" s="181">
        <f>C47*9</f>
        <v/>
      </c>
      <c r="E47" s="1">
        <f>D47*5</f>
        <v/>
      </c>
      <c r="F47" s="33">
        <f>D47*15</f>
        <v/>
      </c>
      <c r="G47" s="33" t="n"/>
      <c r="H47" s="33" t="n"/>
      <c r="I47" s="33" t="n"/>
      <c r="J47" s="33" t="n"/>
      <c r="L47" s="33">
        <f>D47*35</f>
        <v/>
      </c>
    </row>
    <row r="48">
      <c r="A48" s="141" t="n"/>
      <c r="B48" s="189" t="inlineStr">
        <is>
          <t>DD-V-079-035</t>
        </is>
      </c>
      <c r="C48" s="181" t="n">
        <v>0.3</v>
      </c>
      <c r="D48" s="181">
        <f>C48*9</f>
        <v/>
      </c>
      <c r="E48" s="1">
        <f>D48*5</f>
        <v/>
      </c>
      <c r="F48" s="33" t="n"/>
      <c r="G48" s="33">
        <f>D48*15</f>
        <v/>
      </c>
      <c r="H48" s="33" t="n"/>
      <c r="I48" s="33" t="n"/>
      <c r="J48" s="33" t="n"/>
      <c r="L48" s="33">
        <f>D48*35</f>
        <v/>
      </c>
    </row>
    <row r="49">
      <c r="A49" s="141" t="n"/>
      <c r="B49" s="189" t="inlineStr">
        <is>
          <t>DD-VEO-050-001</t>
        </is>
      </c>
      <c r="C49" s="181" t="n">
        <v>0.5</v>
      </c>
      <c r="D49" s="181">
        <f>C49*9</f>
        <v/>
      </c>
      <c r="E49" s="1">
        <f>D49*5</f>
        <v/>
      </c>
      <c r="F49" s="33" t="n"/>
      <c r="G49" s="33" t="n"/>
      <c r="H49" s="33">
        <f>D49*15</f>
        <v/>
      </c>
      <c r="I49" s="33" t="n"/>
      <c r="J49" s="33" t="n"/>
      <c r="L49" s="33">
        <f>D49*35</f>
        <v/>
      </c>
    </row>
    <row r="50">
      <c r="A50" s="141" t="n"/>
      <c r="B50" s="189" t="inlineStr">
        <is>
          <t>DD-VEO-051-001</t>
        </is>
      </c>
      <c r="C50" s="181" t="n">
        <v>0.7</v>
      </c>
      <c r="D50" s="181">
        <f>C50*9</f>
        <v/>
      </c>
      <c r="E50" s="1">
        <f>D50*5</f>
        <v/>
      </c>
      <c r="F50" s="33" t="n"/>
      <c r="G50" s="33" t="n"/>
      <c r="H50" s="33">
        <f>D50*15</f>
        <v/>
      </c>
      <c r="I50" s="33" t="n"/>
      <c r="J50" s="33" t="n"/>
      <c r="L50" s="33">
        <f>D50*35</f>
        <v/>
      </c>
    </row>
    <row r="51">
      <c r="A51" s="141" t="n"/>
      <c r="B51" s="189" t="inlineStr">
        <is>
          <t>DD-HC-New EN DD-VEO-043-001 DD-V-144-042</t>
        </is>
      </c>
      <c r="C51" s="181" t="n">
        <v>0.3</v>
      </c>
      <c r="D51" s="181">
        <f>C51*9</f>
        <v/>
      </c>
      <c r="E51" s="1">
        <f>D51*5</f>
        <v/>
      </c>
      <c r="F51" s="33" t="n"/>
      <c r="G51" s="33">
        <f>D51*15</f>
        <v/>
      </c>
      <c r="H51" s="33" t="n"/>
      <c r="I51" s="33" t="n"/>
      <c r="J51" s="33" t="n"/>
      <c r="L51" s="33">
        <f>D51*35</f>
        <v/>
      </c>
    </row>
    <row r="52">
      <c r="A52" s="141" t="n"/>
      <c r="B52" s="189" t="inlineStr">
        <is>
          <t>DD-HC-New EN DD-VEO-035-001 DD-V-034-050</t>
        </is>
      </c>
      <c r="C52" s="181" t="n">
        <v>0.3</v>
      </c>
      <c r="D52" s="181">
        <f>C52*9</f>
        <v/>
      </c>
      <c r="E52" s="1">
        <f>D52*5</f>
        <v/>
      </c>
      <c r="F52" s="33" t="n"/>
      <c r="G52" s="33">
        <f>D52*15</f>
        <v/>
      </c>
      <c r="H52" s="33" t="n"/>
      <c r="I52" s="33" t="n"/>
      <c r="J52" s="33" t="n"/>
      <c r="L52" s="33">
        <f>D52*35</f>
        <v/>
      </c>
    </row>
    <row r="53">
      <c r="A53" s="141" t="n"/>
      <c r="B53" s="189" t="inlineStr">
        <is>
          <t>DD-HC-New EN DD-VEO-047-001 DD-V-049-084</t>
        </is>
      </c>
      <c r="C53" s="181" t="n">
        <v>0.3</v>
      </c>
      <c r="D53" s="181">
        <f>C53*9</f>
        <v/>
      </c>
      <c r="E53" s="1">
        <f>D53*5</f>
        <v/>
      </c>
      <c r="F53" s="33" t="n"/>
      <c r="G53" s="33">
        <f>D53*15</f>
        <v/>
      </c>
      <c r="H53" s="33" t="n"/>
      <c r="I53" s="33" t="n"/>
      <c r="J53" s="33" t="n"/>
      <c r="L53" s="33">
        <f>D53*35</f>
        <v/>
      </c>
    </row>
    <row r="54">
      <c r="A54" s="141" t="n"/>
      <c r="B54" s="189" t="inlineStr">
        <is>
          <t>DD-V-034-048</t>
        </is>
      </c>
      <c r="C54" s="181" t="n">
        <v>0.3</v>
      </c>
      <c r="D54" s="181">
        <f>C54*9</f>
        <v/>
      </c>
      <c r="E54" s="1">
        <f>D54*5</f>
        <v/>
      </c>
      <c r="F54" s="33" t="n"/>
      <c r="G54" s="33" t="n"/>
      <c r="H54" s="33" t="n"/>
      <c r="I54" s="33">
        <f>D54*15</f>
        <v/>
      </c>
      <c r="J54" s="33" t="n"/>
      <c r="L54" s="33">
        <f>D54*35</f>
        <v/>
      </c>
    </row>
    <row r="55">
      <c r="A55" s="141" t="n"/>
      <c r="B55" s="189" t="inlineStr">
        <is>
          <t>DD-V-034-049</t>
        </is>
      </c>
      <c r="C55" s="181" t="n">
        <v>0.3</v>
      </c>
      <c r="D55" s="181">
        <f>C55*9</f>
        <v/>
      </c>
      <c r="E55" s="1">
        <f>D55*5</f>
        <v/>
      </c>
      <c r="F55" s="33" t="n"/>
      <c r="G55" s="33" t="n"/>
      <c r="H55" s="33" t="n"/>
      <c r="I55" s="33">
        <f>D55*15</f>
        <v/>
      </c>
      <c r="J55" s="33" t="n"/>
      <c r="L55" s="33">
        <f>D55*35</f>
        <v/>
      </c>
    </row>
    <row r="56">
      <c r="A56" s="141" t="n"/>
      <c r="B56" s="189" t="inlineStr">
        <is>
          <t>DD-V-034-051</t>
        </is>
      </c>
      <c r="C56" s="181" t="n">
        <v>0.3</v>
      </c>
      <c r="D56" s="181">
        <f>C56*9</f>
        <v/>
      </c>
      <c r="E56" s="1">
        <f>D56*5</f>
        <v/>
      </c>
      <c r="F56" s="33" t="n"/>
      <c r="G56" s="33" t="n"/>
      <c r="H56" s="33" t="n"/>
      <c r="I56" s="33">
        <f>D56*15</f>
        <v/>
      </c>
      <c r="J56" s="33" t="n"/>
      <c r="L56" s="33">
        <f>D56*35</f>
        <v/>
      </c>
    </row>
    <row r="57">
      <c r="A57" s="141" t="n"/>
      <c r="B57" s="189" t="inlineStr">
        <is>
          <t>DD-V-034-052</t>
        </is>
      </c>
      <c r="C57" s="181" t="n">
        <v>0.3</v>
      </c>
      <c r="D57" s="181">
        <f>C57*9</f>
        <v/>
      </c>
      <c r="E57" s="1">
        <f>D57*5</f>
        <v/>
      </c>
      <c r="F57" s="33" t="n"/>
      <c r="G57" s="33">
        <f>D57*15</f>
        <v/>
      </c>
      <c r="H57" s="33" t="n"/>
      <c r="I57" s="33" t="n"/>
      <c r="J57" s="33" t="n"/>
      <c r="L57" s="33">
        <f>D57*35</f>
        <v/>
      </c>
    </row>
    <row r="58">
      <c r="A58" s="141" t="n"/>
      <c r="B58" s="189" t="inlineStr">
        <is>
          <t>DD-V-034-053</t>
        </is>
      </c>
      <c r="C58" s="181" t="n">
        <v>0.3</v>
      </c>
      <c r="D58" s="181">
        <f>C58*9</f>
        <v/>
      </c>
      <c r="E58" s="1">
        <f>D58*5</f>
        <v/>
      </c>
      <c r="F58" s="33" t="n"/>
      <c r="G58" s="33" t="n"/>
      <c r="H58" s="33" t="n"/>
      <c r="I58" s="33" t="n"/>
      <c r="J58" s="33">
        <f>D58*15</f>
        <v/>
      </c>
      <c r="L58" s="33">
        <f>D58*35</f>
        <v/>
      </c>
    </row>
    <row r="59">
      <c r="A59" s="141" t="n"/>
      <c r="B59" s="189" t="inlineStr">
        <is>
          <t>DD-V-034-054</t>
        </is>
      </c>
      <c r="C59" s="181" t="n">
        <v>0.3</v>
      </c>
      <c r="D59" s="181">
        <f>C59*9</f>
        <v/>
      </c>
      <c r="E59" s="1">
        <f>D59*5</f>
        <v/>
      </c>
      <c r="F59" s="33" t="n"/>
      <c r="G59" s="33" t="n"/>
      <c r="H59" s="33" t="n"/>
      <c r="I59" s="33">
        <f>D59*15</f>
        <v/>
      </c>
      <c r="J59" s="33" t="n"/>
      <c r="L59" s="33">
        <f>D59*35</f>
        <v/>
      </c>
    </row>
    <row r="60">
      <c r="A60" s="141" t="n"/>
      <c r="B60" s="189" t="inlineStr">
        <is>
          <t>DD-V-144-043</t>
        </is>
      </c>
      <c r="C60" s="181" t="n">
        <v>0.3</v>
      </c>
      <c r="D60" s="181">
        <f>C60*9</f>
        <v/>
      </c>
      <c r="E60" s="1">
        <f>D60*5</f>
        <v/>
      </c>
      <c r="F60" s="33" t="n"/>
      <c r="G60" s="33" t="n"/>
      <c r="H60" s="33" t="n"/>
      <c r="I60" s="33" t="n"/>
      <c r="J60" s="33">
        <f>D60*15</f>
        <v/>
      </c>
      <c r="L60" s="33">
        <f>D60*35</f>
        <v/>
      </c>
    </row>
    <row r="61">
      <c r="A61" s="141" t="n"/>
      <c r="B61" s="189" t="inlineStr">
        <is>
          <t>DD-V-229-041</t>
        </is>
      </c>
      <c r="C61" s="181" t="n">
        <v>0.3</v>
      </c>
      <c r="D61" s="181">
        <f>C61*9</f>
        <v/>
      </c>
      <c r="E61" s="1">
        <f>D61*5</f>
        <v/>
      </c>
      <c r="F61" s="33">
        <f>D61*15</f>
        <v/>
      </c>
      <c r="G61" s="33" t="n"/>
      <c r="H61" s="33" t="n"/>
      <c r="I61" s="33" t="n"/>
      <c r="J61" s="33">
        <f>D61*15</f>
        <v/>
      </c>
      <c r="L61" s="33">
        <f>D61*35</f>
        <v/>
      </c>
    </row>
    <row r="62">
      <c r="A62" s="141" t="n"/>
      <c r="B62" s="189" t="inlineStr">
        <is>
          <t>DD-V-281-012</t>
        </is>
      </c>
      <c r="C62" s="181" t="n">
        <v>0.3</v>
      </c>
      <c r="D62" s="181">
        <f>C62*9</f>
        <v/>
      </c>
      <c r="E62" s="1">
        <f>D62*5</f>
        <v/>
      </c>
      <c r="F62" s="33">
        <f>D62*15</f>
        <v/>
      </c>
      <c r="G62" s="33" t="n"/>
      <c r="H62" s="33" t="n"/>
      <c r="I62" s="33" t="n"/>
      <c r="J62" s="33" t="n"/>
      <c r="L62" s="33">
        <f>D62*35</f>
        <v/>
      </c>
    </row>
    <row r="63">
      <c r="A63" s="141" t="n"/>
      <c r="B63" s="189" t="inlineStr">
        <is>
          <t>DD-V-281-013</t>
        </is>
      </c>
      <c r="C63" s="181" t="n">
        <v>0.3</v>
      </c>
      <c r="D63" s="181">
        <f>C63*9</f>
        <v/>
      </c>
      <c r="E63" s="1">
        <f>D63*5</f>
        <v/>
      </c>
      <c r="F63" s="33">
        <f>D63*15</f>
        <v/>
      </c>
      <c r="G63" s="33" t="n"/>
      <c r="H63" s="33" t="n"/>
      <c r="I63" s="33" t="n"/>
      <c r="J63" s="33" t="n"/>
      <c r="L63" s="33">
        <f>D63*35</f>
        <v/>
      </c>
    </row>
    <row r="64">
      <c r="A64" s="141" t="n"/>
      <c r="B64" s="189" t="inlineStr">
        <is>
          <t>DD-V-281-014</t>
        </is>
      </c>
      <c r="C64" s="181" t="n">
        <v>0.3</v>
      </c>
      <c r="D64" s="181">
        <f>C64*9</f>
        <v/>
      </c>
      <c r="E64" s="1">
        <f>D64*5</f>
        <v/>
      </c>
      <c r="F64" s="33" t="n"/>
      <c r="G64" s="33">
        <f>D64*15</f>
        <v/>
      </c>
      <c r="H64" s="33" t="n"/>
      <c r="I64" s="33" t="n"/>
      <c r="J64" s="33" t="n"/>
      <c r="L64" s="33">
        <f>D64*35</f>
        <v/>
      </c>
    </row>
    <row r="65">
      <c r="A65" s="141" t="n"/>
      <c r="B65" s="189" t="inlineStr">
        <is>
          <t>DD-V-281-015</t>
        </is>
      </c>
      <c r="C65" s="181" t="n">
        <v>0.3</v>
      </c>
      <c r="D65" s="181">
        <f>C65*9</f>
        <v/>
      </c>
      <c r="E65" s="1">
        <f>D65*5</f>
        <v/>
      </c>
      <c r="F65" s="33" t="n"/>
      <c r="G65" s="33">
        <f>D65*15</f>
        <v/>
      </c>
      <c r="H65" s="33" t="n"/>
      <c r="I65" s="33" t="n"/>
      <c r="J65" s="33" t="n"/>
      <c r="L65" s="33">
        <f>D65*35</f>
        <v/>
      </c>
    </row>
    <row r="66">
      <c r="A66" s="141" t="n"/>
      <c r="B66" s="189" t="inlineStr">
        <is>
          <t>DD-V-310-007</t>
        </is>
      </c>
      <c r="C66" s="181" t="n">
        <v>0.3</v>
      </c>
      <c r="D66" s="181">
        <f>C66*9</f>
        <v/>
      </c>
      <c r="E66" s="1">
        <f>D66*5</f>
        <v/>
      </c>
      <c r="F66" s="33" t="n"/>
      <c r="G66" s="33" t="n"/>
      <c r="H66" s="33" t="n"/>
      <c r="I66" s="33" t="n"/>
      <c r="J66" s="33" t="n"/>
      <c r="L66" s="33">
        <f>D66*35</f>
        <v/>
      </c>
    </row>
    <row r="67">
      <c r="A67" s="141" t="n"/>
      <c r="B67" s="189" t="inlineStr">
        <is>
          <t>DD-V-316-002</t>
        </is>
      </c>
      <c r="C67" s="181" t="n">
        <v>0.3</v>
      </c>
      <c r="D67" s="181">
        <f>C67*9</f>
        <v/>
      </c>
      <c r="E67" s="1">
        <f>D67*5</f>
        <v/>
      </c>
      <c r="F67" s="33" t="n"/>
      <c r="G67" s="33" t="n"/>
      <c r="H67" s="33" t="n"/>
      <c r="I67" s="33">
        <f>D67*15</f>
        <v/>
      </c>
      <c r="J67" s="33" t="n"/>
      <c r="L67" s="33">
        <f>D67*35</f>
        <v/>
      </c>
    </row>
    <row r="68">
      <c r="A68" s="141" t="n"/>
      <c r="B68" s="189" t="inlineStr">
        <is>
          <t>DD-HC-New EN DD-H-274-001 DD-V-319-003</t>
        </is>
      </c>
      <c r="C68" s="181" t="n">
        <v>0.3</v>
      </c>
      <c r="D68" s="181">
        <f>C68*9</f>
        <v/>
      </c>
      <c r="E68" s="1">
        <f>D68*5</f>
        <v/>
      </c>
      <c r="F68" s="33" t="n"/>
      <c r="G68" s="33" t="n"/>
      <c r="H68" s="33" t="n"/>
      <c r="I68" s="33">
        <f>D68*15</f>
        <v/>
      </c>
      <c r="J68" s="33" t="n"/>
      <c r="L68" s="33">
        <f>D68*35</f>
        <v/>
      </c>
    </row>
    <row r="69">
      <c r="A69" s="141" t="n"/>
      <c r="B69" s="189" t="inlineStr">
        <is>
          <t>DD-V-319-004</t>
        </is>
      </c>
      <c r="C69" s="181" t="n">
        <v>0.4</v>
      </c>
      <c r="D69" s="181">
        <f>C69*9</f>
        <v/>
      </c>
      <c r="E69" s="1">
        <f>D69*5</f>
        <v/>
      </c>
      <c r="F69" s="33" t="n"/>
      <c r="G69" s="33" t="n"/>
      <c r="H69" s="33" t="n"/>
      <c r="I69" s="33">
        <f>D69*15</f>
        <v/>
      </c>
      <c r="J69" s="33" t="n"/>
      <c r="L69" s="33">
        <f>D69*35</f>
        <v/>
      </c>
    </row>
    <row r="70">
      <c r="A70" s="141" t="n"/>
      <c r="B70" s="189" t="inlineStr">
        <is>
          <t>DD-V-325-002</t>
        </is>
      </c>
      <c r="C70" s="181" t="n">
        <v>0.4</v>
      </c>
      <c r="D70" s="181">
        <f>C70*9</f>
        <v/>
      </c>
      <c r="E70" s="1">
        <f>D70*5</f>
        <v/>
      </c>
      <c r="F70" s="33" t="n"/>
      <c r="G70" s="33" t="n"/>
      <c r="H70" s="33" t="n"/>
      <c r="I70" s="33" t="n"/>
      <c r="J70" s="33">
        <f>D70*15</f>
        <v/>
      </c>
      <c r="L70" s="33">
        <f>D70*35</f>
        <v/>
      </c>
    </row>
    <row r="71">
      <c r="A71" s="141" t="n"/>
      <c r="B71" s="189" t="inlineStr">
        <is>
          <t>DD-V-ITR EN - DD-V-325-001 DD-V-325-003</t>
        </is>
      </c>
      <c r="C71" s="181" t="n">
        <v>0.4</v>
      </c>
      <c r="D71" s="181">
        <f>C71*9</f>
        <v/>
      </c>
      <c r="E71" s="1">
        <f>D71*5</f>
        <v/>
      </c>
      <c r="F71" s="33" t="n"/>
      <c r="G71" s="33" t="n"/>
      <c r="H71" s="33" t="n"/>
      <c r="I71" s="33" t="n"/>
      <c r="J71" s="33">
        <f>D71*15</f>
        <v/>
      </c>
      <c r="L71" s="33">
        <f>D71*35</f>
        <v/>
      </c>
    </row>
    <row r="72">
      <c r="A72" s="141" t="n"/>
      <c r="B72" s="189" t="inlineStr">
        <is>
          <t>DD-V-034-055_AttackFeature_D-H-052-001_EN_30s</t>
        </is>
      </c>
      <c r="C72" s="181" t="n">
        <v>0.5</v>
      </c>
      <c r="D72" s="181">
        <f>C72*9</f>
        <v/>
      </c>
      <c r="E72" s="1">
        <f>D72*5</f>
        <v/>
      </c>
      <c r="F72" s="33" t="n"/>
      <c r="G72" s="33" t="n"/>
      <c r="H72" s="33">
        <f>D72*15</f>
        <v/>
      </c>
      <c r="I72" s="33" t="n"/>
      <c r="J72" s="33" t="n"/>
      <c r="L72" s="33">
        <f>D72*35</f>
        <v/>
      </c>
    </row>
    <row r="73">
      <c r="A73" s="141" t="n"/>
      <c r="B73" s="189" t="inlineStr">
        <is>
          <t>DD-V-034-056_AttackFeature_D-H-052-002_EN_06s</t>
        </is>
      </c>
      <c r="C73" s="181" t="n">
        <v>0.5</v>
      </c>
      <c r="D73" s="181">
        <f>C73*9</f>
        <v/>
      </c>
      <c r="E73" s="1">
        <f>D73*5</f>
        <v/>
      </c>
      <c r="F73" s="33" t="n"/>
      <c r="G73" s="33" t="n"/>
      <c r="H73" s="33">
        <f>D73*15</f>
        <v/>
      </c>
      <c r="I73" s="33" t="n"/>
      <c r="J73" s="33" t="n"/>
      <c r="L73" s="33">
        <f>D73*35</f>
        <v/>
      </c>
    </row>
    <row r="74">
      <c r="A74" s="141" t="n"/>
      <c r="B74" s="189" t="inlineStr">
        <is>
          <t>DD-V-034-057_AttackFeature_D-H-052-003_EN_30s</t>
        </is>
      </c>
      <c r="C74" s="181" t="n">
        <v>0.5</v>
      </c>
      <c r="D74" s="181">
        <f>C74*9</f>
        <v/>
      </c>
      <c r="E74" s="1">
        <f>D74*5</f>
        <v/>
      </c>
      <c r="F74" s="33" t="n"/>
      <c r="G74" s="33" t="n"/>
      <c r="H74" s="33">
        <f>D74*15</f>
        <v/>
      </c>
      <c r="I74" s="33" t="n"/>
      <c r="J74" s="33" t="n"/>
      <c r="L74" s="33">
        <f>D74*35</f>
        <v/>
      </c>
    </row>
    <row r="75">
      <c r="A75" s="141" t="n"/>
      <c r="B75" s="189" t="inlineStr">
        <is>
          <t>DD-V-034-058_AttackFeature_D-H-052-004_EN_30s</t>
        </is>
      </c>
      <c r="C75" s="181" t="n">
        <v>0.5</v>
      </c>
      <c r="D75" s="181">
        <f>C75*9</f>
        <v/>
      </c>
      <c r="E75" s="1">
        <f>D75*5</f>
        <v/>
      </c>
      <c r="F75" s="33" t="n"/>
      <c r="G75" s="33" t="n"/>
      <c r="H75" s="33">
        <f>D75*15</f>
        <v/>
      </c>
      <c r="I75" s="33" t="n"/>
      <c r="J75" s="33" t="n"/>
      <c r="L75" s="33">
        <f>D75*35</f>
        <v/>
      </c>
    </row>
    <row r="76">
      <c r="A76" s="141" t="n"/>
      <c r="B76" s="189" t="inlineStr">
        <is>
          <t>DD-V-034-059_AttackFeature_D-H-052-005_EN_30s</t>
        </is>
      </c>
      <c r="C76" s="181" t="n">
        <v>0.5</v>
      </c>
      <c r="D76" s="181">
        <f>C76*9</f>
        <v/>
      </c>
      <c r="E76" s="1">
        <f>D76*5</f>
        <v/>
      </c>
      <c r="F76" s="33" t="n"/>
      <c r="G76" s="33" t="n"/>
      <c r="H76" s="33">
        <f>D76*15</f>
        <v/>
      </c>
      <c r="I76" s="33" t="n"/>
      <c r="J76" s="33" t="n"/>
      <c r="L76" s="33">
        <f>D76*35</f>
        <v/>
      </c>
    </row>
    <row r="77">
      <c r="A77" s="141" t="n"/>
      <c r="B77" s="189" t="inlineStr">
        <is>
          <t>DD-V-034-060_AttackFeature_D-H-052-006_EN_30s</t>
        </is>
      </c>
      <c r="C77" s="181" t="n">
        <v>0.5</v>
      </c>
      <c r="D77" s="181">
        <f>C77*9</f>
        <v/>
      </c>
      <c r="E77" s="1">
        <f>D77*5</f>
        <v/>
      </c>
      <c r="F77" s="33" t="n"/>
      <c r="G77" s="33" t="n"/>
      <c r="H77" s="33">
        <f>D77*15</f>
        <v/>
      </c>
      <c r="I77" s="33" t="n"/>
      <c r="J77" s="33" t="n"/>
      <c r="L77" s="33">
        <f>D77*35</f>
        <v/>
      </c>
    </row>
    <row r="78">
      <c r="A78" s="118" t="inlineStr">
        <is>
          <t>total</t>
        </is>
      </c>
      <c r="B78" s="57" t="n"/>
      <c r="C78" s="11">
        <f>SUM(C4:C77)</f>
        <v/>
      </c>
      <c r="D78" s="11">
        <f>SUM(D4:D77)</f>
        <v/>
      </c>
      <c r="E78" s="59">
        <f>SUM(E4:E77)</f>
        <v/>
      </c>
      <c r="F78" s="59">
        <f>SUM(F4:F77)</f>
        <v/>
      </c>
      <c r="G78" s="59">
        <f>SUM(G4:G77)</f>
        <v/>
      </c>
      <c r="H78" s="59">
        <f>SUM(H4:H77)</f>
        <v/>
      </c>
      <c r="I78" s="59">
        <f>SUM(I4:I77)</f>
        <v/>
      </c>
      <c r="J78" s="59">
        <f>SUM(J4:J77)</f>
        <v/>
      </c>
      <c r="K78" s="59">
        <f>SUM(E78:J78)</f>
        <v/>
      </c>
      <c r="L78" s="60">
        <f>SUM(L4:L77)</f>
        <v/>
      </c>
      <c r="M78" s="39" t="n"/>
      <c r="N78" s="29" t="inlineStr">
        <is>
          <t>UAH</t>
        </is>
      </c>
      <c r="O78" s="16" t="inlineStr">
        <is>
          <t>USD</t>
        </is>
      </c>
    </row>
    <row r="79">
      <c r="E79" s="7">
        <f>E78*44.5</f>
        <v/>
      </c>
      <c r="F79" s="7">
        <f>F78*44.5</f>
        <v/>
      </c>
      <c r="G79" s="7">
        <f>G78*44.5</f>
        <v/>
      </c>
      <c r="H79" s="7">
        <f>H78*44.5</f>
        <v/>
      </c>
      <c r="I79" s="7">
        <f>I78*44.5</f>
        <v/>
      </c>
      <c r="J79" s="7">
        <f>J78*44.5</f>
        <v/>
      </c>
      <c r="K79" s="7">
        <f>K78*44.5</f>
        <v/>
      </c>
      <c r="L79" s="7">
        <f>L78*44.5</f>
        <v/>
      </c>
      <c r="M79" s="5" t="inlineStr">
        <is>
          <t>CLIENT IN</t>
        </is>
      </c>
      <c r="N79" s="7">
        <f>O79*44.6</f>
        <v/>
      </c>
      <c r="O79" s="8">
        <f>L78</f>
        <v/>
      </c>
      <c r="T79" s="4" t="n"/>
    </row>
    <row r="80">
      <c r="G80" s="33" t="n"/>
      <c r="H80" s="123" t="n"/>
      <c r="I80" s="123" t="n"/>
      <c r="J80" s="199" t="n"/>
      <c r="M80" s="5" t="inlineStr">
        <is>
          <t>STUDIO (TAX)</t>
        </is>
      </c>
      <c r="N80" s="7">
        <f>O80*44.6</f>
        <v/>
      </c>
      <c r="O80" s="8">
        <f>O79-O79*0.05</f>
        <v/>
      </c>
    </row>
    <row r="81">
      <c r="B81" s="1" t="n"/>
      <c r="E81" s="21" t="n"/>
      <c r="G81" s="33" t="n"/>
      <c r="M81" s="5" t="inlineStr">
        <is>
          <t>EMPL</t>
        </is>
      </c>
      <c r="N81" s="7">
        <f>O81*44.6</f>
        <v/>
      </c>
      <c r="O81" s="8">
        <f>K78</f>
        <v/>
      </c>
    </row>
    <row r="82">
      <c r="B82" s="1" t="n"/>
      <c r="M82" s="37" t="inlineStr">
        <is>
          <t>STUDIO</t>
        </is>
      </c>
      <c r="N82" s="7">
        <f>O82*44.6</f>
        <v/>
      </c>
      <c r="O82" s="8">
        <f>O80-O81</f>
        <v/>
      </c>
    </row>
    <row r="83">
      <c r="B83" s="1" t="n"/>
      <c r="I83" s="198" t="n"/>
    </row>
    <row r="84">
      <c r="B84" s="169" t="n"/>
      <c r="C84" s="166" t="n"/>
      <c r="D84" s="176" t="n"/>
      <c r="I84" s="169" t="n"/>
      <c r="J84" s="169" t="n"/>
      <c r="K84" s="166" t="n"/>
      <c r="L84" s="176" t="n"/>
    </row>
    <row r="85">
      <c r="B85" s="169" t="n"/>
      <c r="C85" s="166" t="n"/>
      <c r="D85" s="176" t="n"/>
      <c r="I85" s="144" t="n"/>
      <c r="J85" s="144" t="n"/>
      <c r="K85" s="166" t="n"/>
      <c r="L85" s="176" t="n"/>
    </row>
    <row r="86">
      <c r="B86" s="169" t="n"/>
      <c r="C86" s="171" t="n"/>
      <c r="D86" s="176" t="n"/>
      <c r="G86" s="192" t="n"/>
      <c r="I86" s="167" t="n"/>
      <c r="J86" s="167" t="n"/>
      <c r="K86" s="166" t="n"/>
      <c r="L86" s="176" t="n"/>
    </row>
    <row r="87">
      <c r="B87" s="169" t="n"/>
      <c r="C87" s="192" t="n"/>
      <c r="D87" s="192" t="n"/>
      <c r="E87" s="192" t="n"/>
      <c r="F87" s="192" t="n"/>
      <c r="G87" s="192" t="n"/>
      <c r="I87" s="169" t="n"/>
      <c r="J87" s="169" t="n"/>
      <c r="K87" s="166" t="n"/>
      <c r="L87" s="176" t="n"/>
    </row>
    <row r="88">
      <c r="B88" s="176" t="n"/>
      <c r="C88" s="191" t="n"/>
      <c r="D88" s="191" t="n"/>
      <c r="E88" s="191" t="n"/>
      <c r="G88" s="192" t="n"/>
      <c r="I88" s="169" t="n"/>
      <c r="J88" s="169" t="n"/>
      <c r="K88" s="166" t="n"/>
      <c r="L88" s="176" t="n"/>
    </row>
    <row r="89">
      <c r="B89" s="169" t="n"/>
      <c r="C89" s="191" t="n"/>
      <c r="D89" s="191" t="n"/>
      <c r="E89" s="191" t="n"/>
      <c r="G89" s="192" t="n"/>
      <c r="I89" s="169" t="n"/>
      <c r="J89" s="169" t="n"/>
      <c r="K89" s="166" t="n"/>
      <c r="L89" s="176" t="n"/>
    </row>
    <row r="90">
      <c r="B90" s="169" t="n"/>
      <c r="C90" s="192" t="n"/>
      <c r="D90" s="192" t="n"/>
      <c r="E90" s="192" t="n"/>
      <c r="F90" s="192" t="n"/>
      <c r="G90" s="192" t="n"/>
      <c r="I90" s="169" t="n"/>
      <c r="J90" s="169" t="n"/>
      <c r="K90" s="166" t="n"/>
      <c r="L90" s="176" t="n"/>
    </row>
    <row r="91">
      <c r="B91" s="176" t="n"/>
      <c r="C91" s="191" t="n"/>
      <c r="D91" s="191" t="n"/>
      <c r="E91" s="191" t="n"/>
      <c r="G91" s="192" t="n"/>
      <c r="I91" s="169" t="n"/>
      <c r="J91" s="169" t="n"/>
      <c r="K91" s="171" t="n"/>
      <c r="L91" s="176" t="n"/>
    </row>
    <row r="92">
      <c r="C92" s="191" t="n"/>
      <c r="D92" s="191" t="n"/>
      <c r="E92" s="191" t="n"/>
      <c r="G92" s="192" t="n"/>
      <c r="I92" s="169" t="n"/>
      <c r="J92" s="169" t="n"/>
      <c r="K92" s="171" t="n"/>
      <c r="L92" s="176" t="n"/>
    </row>
    <row r="93">
      <c r="B93" s="169" t="n"/>
      <c r="C93" s="192" t="n"/>
      <c r="D93" s="192" t="n"/>
      <c r="E93" s="192" t="n"/>
      <c r="F93" s="192" t="n"/>
      <c r="G93" s="192" t="n"/>
      <c r="I93" s="169" t="n"/>
      <c r="J93" s="169" t="n"/>
      <c r="K93" s="171" t="n"/>
      <c r="L93" s="176" t="n"/>
    </row>
    <row r="94">
      <c r="B94" s="176" t="n"/>
      <c r="C94" s="191" t="n"/>
      <c r="D94" s="191" t="n"/>
      <c r="E94" s="191" t="n"/>
      <c r="G94" s="192" t="n"/>
      <c r="H94" s="21" t="n"/>
      <c r="I94" s="169" t="n"/>
      <c r="J94" s="169" t="n"/>
      <c r="K94" s="166" t="n"/>
      <c r="L94" s="176" t="n"/>
    </row>
    <row r="95">
      <c r="C95" s="191" t="n"/>
      <c r="D95" s="191" t="n"/>
      <c r="E95" s="191" t="n"/>
      <c r="G95" s="192" t="n"/>
    </row>
    <row r="96">
      <c r="B96" s="169" t="n"/>
      <c r="C96" s="192" t="n"/>
      <c r="D96" s="192" t="n"/>
      <c r="E96" s="192" t="n"/>
      <c r="F96" s="192" t="n"/>
      <c r="G96" s="192" t="n"/>
    </row>
    <row r="97">
      <c r="B97" s="176" t="n"/>
      <c r="C97" s="191" t="n"/>
      <c r="D97" s="191" t="n"/>
      <c r="E97" s="191" t="n"/>
      <c r="G97" s="192" t="n"/>
    </row>
    <row r="98">
      <c r="C98" s="191" t="n"/>
      <c r="D98" s="191" t="n"/>
      <c r="E98" s="191" t="n"/>
      <c r="G98" s="192" t="n"/>
    </row>
    <row r="99">
      <c r="B99" s="169" t="n"/>
      <c r="C99" s="192" t="n"/>
      <c r="D99" s="192" t="n"/>
      <c r="E99" s="192" t="n"/>
      <c r="F99" s="192" t="n"/>
      <c r="G99" s="192" t="n"/>
    </row>
    <row r="100">
      <c r="B100" s="176" t="n"/>
      <c r="C100" s="191" t="n"/>
      <c r="D100" s="191" t="n"/>
      <c r="E100" s="191" t="n"/>
      <c r="G100" s="192" t="n"/>
    </row>
    <row r="101">
      <c r="C101" s="191" t="n"/>
      <c r="D101" s="191" t="n"/>
      <c r="E101" s="191" t="n"/>
      <c r="G101" s="192" t="n"/>
    </row>
    <row r="102">
      <c r="C102" s="191" t="n"/>
      <c r="D102" s="191" t="n"/>
      <c r="E102" s="191" t="n"/>
      <c r="G102" s="192" t="n"/>
    </row>
    <row r="103">
      <c r="G103" s="192" t="n"/>
    </row>
    <row r="104">
      <c r="G104" s="192" t="n"/>
    </row>
    <row r="105">
      <c r="G105" s="192" t="n"/>
    </row>
  </sheetData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88"/>
  <sheetViews>
    <sheetView zoomScale="98" zoomScaleNormal="98" workbookViewId="0">
      <pane ySplit="2" topLeftCell="A6" activePane="bottomLeft" state="frozen"/>
      <selection pane="bottomLeft" activeCell="J62" sqref="J6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98" t="inlineStr">
        <is>
          <t>EMPL 1</t>
        </is>
      </c>
      <c r="G3" s="110" t="inlineStr">
        <is>
          <t>EMPL 2</t>
        </is>
      </c>
      <c r="H3" s="110" t="inlineStr">
        <is>
          <t>EMPL 3</t>
        </is>
      </c>
      <c r="I3" s="98" t="inlineStr">
        <is>
          <t>EMPL 4</t>
        </is>
      </c>
      <c r="J3" s="98" t="inlineStr">
        <is>
          <t>EMPL 5</t>
        </is>
      </c>
      <c r="K3" s="31" t="inlineStr">
        <is>
          <t>Total EMPL</t>
        </is>
      </c>
      <c r="L3" s="39" t="inlineStr">
        <is>
          <t>STUDIO</t>
        </is>
      </c>
    </row>
    <row r="4">
      <c r="A4" s="141" t="n"/>
      <c r="B4" s="185" t="inlineStr">
        <is>
          <t>DX-VEO-028-001</t>
        </is>
      </c>
      <c r="C4" s="181" t="n">
        <v>0.5</v>
      </c>
      <c r="D4" s="181">
        <f>C4*9</f>
        <v/>
      </c>
      <c r="E4" s="1">
        <f>D4*5</f>
        <v/>
      </c>
      <c r="F4" s="33">
        <f>D4*15</f>
        <v/>
      </c>
      <c r="G4" s="33" t="n"/>
      <c r="H4" s="33" t="n"/>
      <c r="I4" s="33" t="n"/>
      <c r="J4" s="33" t="n"/>
      <c r="L4" s="33">
        <f>D4*35</f>
        <v/>
      </c>
      <c r="Q4" s="33" t="n"/>
    </row>
    <row r="5">
      <c r="A5" s="141" t="n"/>
      <c r="B5" s="185" t="inlineStr">
        <is>
          <t>DX-VEO-029-001</t>
        </is>
      </c>
      <c r="C5" s="181" t="n">
        <v>2</v>
      </c>
      <c r="D5" s="181">
        <f>C5*9</f>
        <v/>
      </c>
      <c r="E5" s="1">
        <f>D5*5</f>
        <v/>
      </c>
      <c r="G5" s="33" t="n"/>
      <c r="H5" s="33" t="n"/>
      <c r="I5" s="33">
        <f>D5*15</f>
        <v/>
      </c>
      <c r="J5" s="33" t="n"/>
      <c r="L5" s="33">
        <f>D5*35</f>
        <v/>
      </c>
      <c r="Q5" s="33" t="n"/>
    </row>
    <row r="6">
      <c r="A6" s="141" t="n"/>
      <c r="B6" s="185" t="inlineStr">
        <is>
          <t>DX-VEO-030-001</t>
        </is>
      </c>
      <c r="C6" s="181" t="n">
        <v>0.5</v>
      </c>
      <c r="D6" s="181">
        <f>C6*9</f>
        <v/>
      </c>
      <c r="E6" s="1">
        <f>D6*5</f>
        <v/>
      </c>
      <c r="F6" s="33" t="n"/>
      <c r="G6" s="33">
        <f>D6*15</f>
        <v/>
      </c>
      <c r="H6" s="33" t="n"/>
      <c r="I6" s="33" t="n"/>
      <c r="J6" s="33" t="n"/>
      <c r="L6" s="33">
        <f>D6*35</f>
        <v/>
      </c>
      <c r="Q6" s="33" t="n"/>
    </row>
    <row r="7">
      <c r="A7" s="141" t="n"/>
      <c r="B7" s="185" t="inlineStr">
        <is>
          <t>DX-VEO-031-001</t>
        </is>
      </c>
      <c r="C7" s="181" t="n">
        <v>0.5</v>
      </c>
      <c r="D7" s="18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J7" s="33" t="n"/>
      <c r="L7" s="33">
        <f>D7*35</f>
        <v/>
      </c>
      <c r="Q7" s="33" t="n"/>
    </row>
    <row r="8">
      <c r="A8" s="141" t="n"/>
      <c r="B8" s="185" t="inlineStr">
        <is>
          <t>DX-VEO-032-001</t>
        </is>
      </c>
      <c r="C8" s="181" t="n">
        <v>0.5</v>
      </c>
      <c r="D8" s="181">
        <f>C8*9</f>
        <v/>
      </c>
      <c r="E8" s="1">
        <f>D8*5</f>
        <v/>
      </c>
      <c r="F8" s="33" t="n"/>
      <c r="G8" s="33" t="n"/>
      <c r="H8" s="33">
        <f>D8*15</f>
        <v/>
      </c>
      <c r="I8" s="33" t="n"/>
      <c r="J8" s="33" t="n"/>
      <c r="L8" s="33">
        <f>D8*35</f>
        <v/>
      </c>
      <c r="Q8" s="33" t="n"/>
    </row>
    <row r="9">
      <c r="A9" s="141" t="n"/>
      <c r="B9" s="185" t="inlineStr">
        <is>
          <t>DX-VEO-033-001</t>
        </is>
      </c>
      <c r="C9" s="181" t="n">
        <v>0.5</v>
      </c>
      <c r="D9" s="181">
        <f>C9*9</f>
        <v/>
      </c>
      <c r="E9" s="1">
        <f>D9*5</f>
        <v/>
      </c>
      <c r="F9" s="33" t="n"/>
      <c r="G9" s="33" t="n"/>
      <c r="H9" s="33" t="n"/>
      <c r="I9" s="33">
        <f>D9*15</f>
        <v/>
      </c>
      <c r="J9" s="33" t="n"/>
      <c r="L9" s="33">
        <f>D9*35</f>
        <v/>
      </c>
      <c r="Q9" s="33" t="n"/>
    </row>
    <row r="10">
      <c r="A10" s="141" t="n"/>
      <c r="B10" s="185" t="inlineStr">
        <is>
          <t>DX-V-162-001</t>
        </is>
      </c>
      <c r="C10" s="181" t="n">
        <v>1</v>
      </c>
      <c r="D10" s="181">
        <f>C10*9</f>
        <v/>
      </c>
      <c r="E10" s="1">
        <f>D10*5</f>
        <v/>
      </c>
      <c r="F10" s="33" t="n"/>
      <c r="G10" s="33" t="n"/>
      <c r="H10" s="33" t="n"/>
      <c r="I10" s="33">
        <f>D10*15</f>
        <v/>
      </c>
      <c r="J10" s="33" t="n"/>
      <c r="L10" s="33">
        <f>D10*35</f>
        <v/>
      </c>
      <c r="Q10" s="33" t="n"/>
    </row>
    <row r="11">
      <c r="A11" s="141" t="n"/>
      <c r="B11" s="185" t="inlineStr">
        <is>
          <t>DX-V-154-002</t>
        </is>
      </c>
      <c r="C11" s="181" t="n">
        <v>0.3</v>
      </c>
      <c r="D11" s="181">
        <f>C11*9</f>
        <v/>
      </c>
      <c r="E11" s="1">
        <f>D11*5</f>
        <v/>
      </c>
      <c r="F11" s="33" t="n"/>
      <c r="G11" s="33">
        <f>D11*15</f>
        <v/>
      </c>
      <c r="H11" s="33" t="n"/>
      <c r="I11" s="33" t="n"/>
      <c r="J11" s="33" t="n"/>
      <c r="L11" s="33">
        <f>D11*35</f>
        <v/>
      </c>
      <c r="Q11" s="33" t="n"/>
    </row>
    <row r="12">
      <c r="A12" s="141" t="n"/>
      <c r="B12" s="185" t="inlineStr">
        <is>
          <t>DX-VEO-034-001</t>
        </is>
      </c>
      <c r="C12" s="181" t="n">
        <v>2.5</v>
      </c>
      <c r="D12" s="181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J12" s="33" t="n"/>
      <c r="L12" s="33">
        <f>D12*35</f>
        <v/>
      </c>
      <c r="Q12" s="33" t="n"/>
    </row>
    <row r="13">
      <c r="A13" s="141" t="n"/>
      <c r="B13" s="185" t="inlineStr">
        <is>
          <t>DX-VEO-034-002</t>
        </is>
      </c>
      <c r="C13" s="181" t="n">
        <v>2.5</v>
      </c>
      <c r="D13" s="181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J13" s="33" t="n"/>
      <c r="L13" s="33">
        <f>D13*35</f>
        <v/>
      </c>
      <c r="Q13" s="33" t="n"/>
    </row>
    <row r="14">
      <c r="A14" s="141" t="n"/>
      <c r="B14" s="185" t="inlineStr">
        <is>
          <t>DX-VEO-035-001</t>
        </is>
      </c>
      <c r="C14" s="181" t="n">
        <v>0.5</v>
      </c>
      <c r="D14" s="181">
        <f>C14*9</f>
        <v/>
      </c>
      <c r="E14" s="1">
        <f>D14*5</f>
        <v/>
      </c>
      <c r="F14" s="33" t="n"/>
      <c r="G14" s="33">
        <f>D14*15</f>
        <v/>
      </c>
      <c r="H14" s="33" t="n"/>
      <c r="I14" s="33" t="n"/>
      <c r="J14" s="33" t="n"/>
      <c r="L14" s="33">
        <f>D14*35</f>
        <v/>
      </c>
      <c r="Q14" s="33" t="n"/>
    </row>
    <row r="15">
      <c r="A15" s="141" t="n"/>
      <c r="B15" s="185" t="inlineStr">
        <is>
          <t>DX-VEO-036-001</t>
        </is>
      </c>
      <c r="C15" s="181" t="n">
        <v>0.5</v>
      </c>
      <c r="D15" s="181">
        <f>C15*9</f>
        <v/>
      </c>
      <c r="E15" s="1">
        <f>D15*5</f>
        <v/>
      </c>
      <c r="F15" s="33" t="n"/>
      <c r="G15" s="33">
        <f>D15*15</f>
        <v/>
      </c>
      <c r="H15" s="33" t="n"/>
      <c r="I15" s="33" t="n"/>
      <c r="J15" s="33" t="n"/>
      <c r="L15" s="33">
        <f>D15*35</f>
        <v/>
      </c>
      <c r="Q15" s="33" t="n"/>
    </row>
    <row r="16">
      <c r="A16" s="141" t="n"/>
      <c r="B16" s="185" t="inlineStr">
        <is>
          <t>DX-VEO-037-001</t>
        </is>
      </c>
      <c r="C16" s="181" t="n">
        <v>0.5</v>
      </c>
      <c r="D16" s="181">
        <f>C16*9</f>
        <v/>
      </c>
      <c r="E16" s="1">
        <f>D16*5</f>
        <v/>
      </c>
      <c r="F16" s="33">
        <f>D16*15</f>
        <v/>
      </c>
      <c r="G16" s="33" t="n"/>
      <c r="H16" s="33" t="n"/>
      <c r="I16" s="33" t="n"/>
      <c r="J16" s="33" t="n"/>
      <c r="L16" s="33">
        <f>D16*35</f>
        <v/>
      </c>
      <c r="Q16" s="33" t="n"/>
    </row>
    <row r="17">
      <c r="A17" s="141" t="n"/>
      <c r="B17" s="185" t="inlineStr">
        <is>
          <t>DX-VEO-038-001</t>
        </is>
      </c>
      <c r="C17" s="181" t="n">
        <v>0.5</v>
      </c>
      <c r="D17" s="181">
        <f>C17*9</f>
        <v/>
      </c>
      <c r="E17" s="1">
        <f>D17*5</f>
        <v/>
      </c>
      <c r="F17" s="33" t="n"/>
      <c r="G17" s="33">
        <f>D17*15</f>
        <v/>
      </c>
      <c r="H17" s="33" t="n"/>
      <c r="I17" s="33" t="n"/>
      <c r="J17" s="33" t="n"/>
      <c r="L17" s="33">
        <f>D17*35</f>
        <v/>
      </c>
      <c r="Q17" s="33" t="n"/>
    </row>
    <row r="18">
      <c r="A18" s="187" t="n"/>
      <c r="B18" s="197" t="inlineStr">
        <is>
          <t>DX-B-007-006</t>
        </is>
      </c>
      <c r="C18" s="181" t="n">
        <v>0.5</v>
      </c>
      <c r="D18" s="181">
        <f>C18*9</f>
        <v/>
      </c>
      <c r="F18" s="33">
        <f>D18*15</f>
        <v/>
      </c>
      <c r="G18" s="33" t="n"/>
      <c r="H18" s="33" t="n"/>
      <c r="I18" s="33" t="n"/>
      <c r="J18" s="33" t="n"/>
      <c r="L18" s="33">
        <f>D18*35</f>
        <v/>
      </c>
      <c r="Q18" s="33" t="n"/>
    </row>
    <row r="19">
      <c r="A19" s="141" t="n"/>
      <c r="B19" s="197" t="inlineStr">
        <is>
          <t>DX-VEO-039-001</t>
        </is>
      </c>
      <c r="C19" s="181" t="n">
        <v>2.5</v>
      </c>
      <c r="D19" s="181">
        <f>C19*9</f>
        <v/>
      </c>
      <c r="F19" s="33" t="n"/>
      <c r="G19" s="33" t="n"/>
      <c r="H19" s="33">
        <f>D19*15</f>
        <v/>
      </c>
      <c r="I19" s="33" t="n"/>
      <c r="J19" s="33" t="n"/>
      <c r="L19" s="33">
        <f>D19*35</f>
        <v/>
      </c>
      <c r="Q19" s="33" t="n"/>
    </row>
    <row r="20">
      <c r="A20" s="141" t="n"/>
      <c r="B20" s="197" t="inlineStr">
        <is>
          <t>DX-VEO-040-001</t>
        </is>
      </c>
      <c r="C20" s="181" t="n">
        <v>0.5</v>
      </c>
      <c r="D20" s="181">
        <f>C20*9</f>
        <v/>
      </c>
      <c r="F20" s="33" t="n"/>
      <c r="G20" s="33">
        <f>D20*15</f>
        <v/>
      </c>
      <c r="H20" s="33" t="n"/>
      <c r="I20" s="33" t="n"/>
      <c r="J20" s="33" t="n"/>
      <c r="L20" s="33">
        <f>D20*35</f>
        <v/>
      </c>
      <c r="Q20" s="33" t="n"/>
    </row>
    <row r="21">
      <c r="A21" s="196" t="n"/>
      <c r="B21" s="185" t="inlineStr">
        <is>
          <t>DX-V-135-019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>
        <f>D21*15</f>
        <v/>
      </c>
      <c r="H21" s="33" t="n"/>
      <c r="I21" s="33" t="n"/>
      <c r="J21" s="33" t="n"/>
      <c r="L21" s="33">
        <f>D21*35</f>
        <v/>
      </c>
      <c r="Q21" s="33" t="n"/>
    </row>
    <row r="22">
      <c r="A22" s="141" t="n"/>
      <c r="B22" s="185" t="inlineStr">
        <is>
          <t>DX-V-135-020</t>
        </is>
      </c>
      <c r="C22" s="181" t="n">
        <v>0.3</v>
      </c>
      <c r="D22" s="181">
        <f>C22*9</f>
        <v/>
      </c>
      <c r="E22" s="1">
        <f>D22*5</f>
        <v/>
      </c>
      <c r="F22" s="33" t="n"/>
      <c r="G22" s="33">
        <f>D22*15</f>
        <v/>
      </c>
      <c r="H22" s="33" t="n"/>
      <c r="I22" s="33" t="n"/>
      <c r="J22" s="33" t="n"/>
      <c r="L22" s="33">
        <f>D22*35</f>
        <v/>
      </c>
      <c r="Q22" s="33" t="n"/>
    </row>
    <row r="23">
      <c r="A23" s="141" t="n"/>
      <c r="B23" s="185" t="inlineStr">
        <is>
          <t>DX-V-151-002</t>
        </is>
      </c>
      <c r="C23" s="181" t="n">
        <v>0.3</v>
      </c>
      <c r="D23" s="181">
        <f>C23*9</f>
        <v/>
      </c>
      <c r="E23" s="1">
        <f>D23*5</f>
        <v/>
      </c>
      <c r="F23" s="33">
        <f>D23*15</f>
        <v/>
      </c>
      <c r="G23" s="33" t="n"/>
      <c r="H23" s="33" t="n"/>
      <c r="I23" s="33" t="n"/>
      <c r="J23" s="33" t="n"/>
      <c r="L23" s="33">
        <f>D23*35</f>
        <v/>
      </c>
      <c r="Q23" s="33" t="n"/>
    </row>
    <row r="24">
      <c r="A24" s="141" t="n"/>
      <c r="B24" s="185" t="inlineStr">
        <is>
          <t>DX-V-151-003</t>
        </is>
      </c>
      <c r="C24" s="181" t="n">
        <v>0.3</v>
      </c>
      <c r="D24" s="181">
        <f>C24*9</f>
        <v/>
      </c>
      <c r="E24" s="1">
        <f>D24*5</f>
        <v/>
      </c>
      <c r="F24" s="33">
        <f>D24*15</f>
        <v/>
      </c>
      <c r="G24" s="33" t="n"/>
      <c r="H24" s="33" t="n"/>
      <c r="I24" s="33" t="n"/>
      <c r="J24" s="33" t="n"/>
      <c r="L24" s="33">
        <f>D24*35</f>
        <v/>
      </c>
      <c r="Q24" s="33" t="n"/>
    </row>
    <row r="25">
      <c r="A25" s="141" t="n"/>
      <c r="B25" s="185" t="inlineStr">
        <is>
          <t>DX-UGC-100-004_TheOnlyGame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 t="n"/>
      <c r="H25" s="33" t="n"/>
      <c r="I25" s="33" t="n"/>
      <c r="J25" s="33">
        <f>D25*15</f>
        <v/>
      </c>
      <c r="L25" s="33">
        <f>D25*35</f>
        <v/>
      </c>
      <c r="Q25" s="33" t="n"/>
    </row>
    <row r="26">
      <c r="A26" s="196" t="n"/>
      <c r="B26" s="185" t="inlineStr">
        <is>
          <t>DX-UGC-100-005_TheOnlyGame</t>
        </is>
      </c>
      <c r="C26" s="181" t="n">
        <v>0.3</v>
      </c>
      <c r="D26" s="181">
        <f>C26*9</f>
        <v/>
      </c>
      <c r="E26" s="1">
        <f>D26*5</f>
        <v/>
      </c>
      <c r="F26" s="33" t="n"/>
      <c r="G26" s="33" t="n"/>
      <c r="H26" s="33" t="n"/>
      <c r="I26" s="33" t="n"/>
      <c r="J26" s="33">
        <f>D26*15</f>
        <v/>
      </c>
      <c r="L26" s="33">
        <f>D26*35</f>
        <v/>
      </c>
      <c r="Q26" s="33" t="n"/>
    </row>
    <row r="27" ht="25" customHeight="1">
      <c r="A27" s="125" t="inlineStr">
        <is>
          <t>DD</t>
        </is>
      </c>
      <c r="B27" s="125" t="inlineStr">
        <is>
          <t>MGX</t>
        </is>
      </c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</row>
    <row r="28">
      <c r="A28" s="141" t="n"/>
      <c r="B28" s="189" t="inlineStr">
        <is>
          <t>DD-H-274-002</t>
        </is>
      </c>
      <c r="C28" s="181" t="n">
        <v>1.5</v>
      </c>
      <c r="D28" s="181">
        <f>C28*9</f>
        <v/>
      </c>
      <c r="E28" s="1">
        <f>D28*5</f>
        <v/>
      </c>
      <c r="F28" s="33" t="n"/>
      <c r="G28" s="33" t="n"/>
      <c r="H28" s="33">
        <f>D28*15</f>
        <v/>
      </c>
      <c r="I28" s="33" t="n"/>
      <c r="J28" s="33" t="n"/>
      <c r="L28" s="33">
        <f>D28*35</f>
        <v/>
      </c>
    </row>
    <row r="29">
      <c r="A29" s="141" t="n"/>
      <c r="B29" s="189" t="inlineStr">
        <is>
          <t>DD-VEO-034-001</t>
        </is>
      </c>
      <c r="C29" s="181" t="n">
        <v>0.3</v>
      </c>
      <c r="D29" s="181">
        <f>C29*9</f>
        <v/>
      </c>
      <c r="E29" s="1">
        <f>D29*5</f>
        <v/>
      </c>
      <c r="F29" s="33" t="n"/>
      <c r="G29" s="33">
        <f>D29*15</f>
        <v/>
      </c>
      <c r="H29" s="33" t="n"/>
      <c r="I29" s="33" t="n"/>
      <c r="J29" s="33" t="n"/>
      <c r="L29" s="33">
        <f>D29*35</f>
        <v/>
      </c>
    </row>
    <row r="30">
      <c r="A30" s="141" t="n"/>
      <c r="B30" s="189" t="inlineStr">
        <is>
          <t>DD-V-331-003</t>
        </is>
      </c>
      <c r="C30" s="181" t="n">
        <v>1</v>
      </c>
      <c r="D30" s="181">
        <f>C30*9</f>
        <v/>
      </c>
      <c r="E30" s="1">
        <f>D30*5</f>
        <v/>
      </c>
      <c r="F30" s="33">
        <f>D30*15</f>
        <v/>
      </c>
      <c r="G30" s="33" t="n"/>
      <c r="H30" s="33" t="n"/>
      <c r="I30" s="33" t="n"/>
      <c r="J30" s="33" t="n"/>
      <c r="L30" s="33">
        <f>D30*35</f>
        <v/>
      </c>
    </row>
    <row r="31">
      <c r="A31" s="141" t="n"/>
      <c r="B31" s="189" t="inlineStr">
        <is>
          <t>DD-P-045-001</t>
        </is>
      </c>
      <c r="C31" s="181" t="n">
        <v>1</v>
      </c>
      <c r="D31" s="181">
        <f>C31*9</f>
        <v/>
      </c>
      <c r="E31" s="1">
        <f>D31*5</f>
        <v/>
      </c>
      <c r="F31" s="33" t="n"/>
      <c r="G31" s="33" t="n"/>
      <c r="H31" s="33" t="n"/>
      <c r="I31" s="33" t="n"/>
      <c r="J31" s="33" t="n"/>
      <c r="L31" s="33">
        <f>D31*35</f>
        <v/>
      </c>
    </row>
    <row r="32">
      <c r="A32" s="141" t="n"/>
      <c r="B32" s="189" t="inlineStr">
        <is>
          <t>DD-VEO-032-001</t>
        </is>
      </c>
      <c r="C32" s="181" t="n">
        <v>0.3</v>
      </c>
      <c r="D32" s="181">
        <f>C32*9</f>
        <v/>
      </c>
      <c r="E32" s="1">
        <f>D32*5</f>
        <v/>
      </c>
      <c r="F32" s="33">
        <f>D32*15</f>
        <v/>
      </c>
      <c r="G32" s="33" t="n"/>
      <c r="H32" s="33" t="n"/>
      <c r="I32" s="33" t="n"/>
      <c r="J32" s="33" t="n"/>
      <c r="L32" s="33">
        <f>D32*35</f>
        <v/>
      </c>
    </row>
    <row r="33">
      <c r="A33" s="141" t="n"/>
      <c r="B33" s="189" t="inlineStr">
        <is>
          <t>DD-VEO-035-001</t>
        </is>
      </c>
      <c r="C33" s="181" t="n">
        <v>0.3</v>
      </c>
      <c r="D33" s="181">
        <f>C33*9</f>
        <v/>
      </c>
      <c r="E33" s="1">
        <f>D33*5</f>
        <v/>
      </c>
      <c r="F33" s="33">
        <f>D33*15</f>
        <v/>
      </c>
      <c r="G33" s="33" t="n"/>
      <c r="H33" s="33" t="n"/>
      <c r="I33" s="33" t="n"/>
      <c r="J33" s="33" t="n"/>
      <c r="L33" s="33">
        <f>D33*35</f>
        <v/>
      </c>
    </row>
    <row r="34">
      <c r="A34" s="141" t="n"/>
      <c r="B34" s="189" t="inlineStr">
        <is>
          <t>DD-VEO-036-001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 t="n"/>
      <c r="H34" s="33" t="n"/>
      <c r="I34" s="33" t="n"/>
      <c r="J34" s="33">
        <f>D34*15</f>
        <v/>
      </c>
      <c r="L34" s="33">
        <f>D34*35</f>
        <v/>
      </c>
    </row>
    <row r="35">
      <c r="A35" s="141" t="n"/>
      <c r="B35" s="189" t="inlineStr">
        <is>
          <t>DD-V-271-003</t>
        </is>
      </c>
      <c r="C35" s="181" t="n">
        <v>1.5</v>
      </c>
      <c r="D35" s="181">
        <f>C35*9</f>
        <v/>
      </c>
      <c r="E35" s="1">
        <f>D35*5</f>
        <v/>
      </c>
      <c r="F35" s="33" t="n"/>
      <c r="G35" s="33" t="n"/>
      <c r="H35" s="33" t="n"/>
      <c r="I35" s="33" t="n"/>
      <c r="J35" s="33">
        <f>D35*15</f>
        <v/>
      </c>
      <c r="L35" s="33">
        <f>D35*35</f>
        <v/>
      </c>
    </row>
    <row r="36">
      <c r="A36" s="141" t="n"/>
      <c r="B36" s="189" t="inlineStr">
        <is>
          <t>DD-V-297-002</t>
        </is>
      </c>
      <c r="C36" s="181" t="n">
        <v>1</v>
      </c>
      <c r="D36" s="181">
        <f>C36*9</f>
        <v/>
      </c>
      <c r="E36" s="1">
        <f>D36*5</f>
        <v/>
      </c>
      <c r="F36" s="33" t="n"/>
      <c r="G36" s="33" t="n"/>
      <c r="H36" s="33" t="n"/>
      <c r="I36" s="33" t="n"/>
      <c r="J36" s="33">
        <f>D36*15</f>
        <v/>
      </c>
      <c r="L36" s="33">
        <f>D36*35</f>
        <v/>
      </c>
    </row>
    <row r="37">
      <c r="A37" s="141" t="n"/>
      <c r="B37" s="189" t="inlineStr">
        <is>
          <t>DD-VEO-037-001</t>
        </is>
      </c>
      <c r="C37" s="181" t="n">
        <v>0.3</v>
      </c>
      <c r="D37" s="181">
        <f>C37*9</f>
        <v/>
      </c>
      <c r="E37" s="1">
        <f>D37*5</f>
        <v/>
      </c>
      <c r="F37" s="33" t="n"/>
      <c r="G37" s="33">
        <f>D37*15</f>
        <v/>
      </c>
      <c r="H37" s="33" t="n"/>
      <c r="I37" s="33" t="n"/>
      <c r="J37" s="33" t="n"/>
      <c r="L37" s="33">
        <f>D37*35</f>
        <v/>
      </c>
    </row>
    <row r="38">
      <c r="A38" s="141" t="n"/>
      <c r="B38" s="189" t="inlineStr">
        <is>
          <t>DD-VEO-038-001</t>
        </is>
      </c>
      <c r="C38" s="181" t="n">
        <v>0.3</v>
      </c>
      <c r="D38" s="181">
        <f>C38*9</f>
        <v/>
      </c>
      <c r="E38" s="1">
        <f>D38*5</f>
        <v/>
      </c>
      <c r="F38" s="33" t="n"/>
      <c r="G38" s="33">
        <f>D38*15</f>
        <v/>
      </c>
      <c r="H38" s="33" t="n"/>
      <c r="I38" s="33" t="n"/>
      <c r="J38" s="33" t="n"/>
      <c r="L38" s="33">
        <f>D38*35</f>
        <v/>
      </c>
    </row>
    <row r="39">
      <c r="A39" s="141" t="n"/>
      <c r="B39" s="189" t="inlineStr">
        <is>
          <t>DD-VEO-039-001</t>
        </is>
      </c>
      <c r="C39" s="181" t="n">
        <v>0.3</v>
      </c>
      <c r="D39" s="181" t="n">
        <v>2.7</v>
      </c>
      <c r="E39" s="1">
        <f>D39*5</f>
        <v/>
      </c>
      <c r="F39" s="33">
        <f>D39*15</f>
        <v/>
      </c>
      <c r="G39" s="33" t="n"/>
      <c r="H39" s="33" t="n"/>
      <c r="I39" s="33" t="n"/>
      <c r="J39" s="33" t="n"/>
      <c r="L39" s="33">
        <f>D39*35</f>
        <v/>
      </c>
    </row>
    <row r="40">
      <c r="A40" s="141" t="n"/>
      <c r="B40" s="189" t="inlineStr">
        <is>
          <t>DD-V-323-001_MissU</t>
        </is>
      </c>
      <c r="C40" s="181" t="n">
        <v>1</v>
      </c>
      <c r="D40" s="181">
        <f>C40*9</f>
        <v/>
      </c>
      <c r="E40" s="1">
        <f>D40*5</f>
        <v/>
      </c>
      <c r="F40" s="33" t="n"/>
      <c r="G40" s="33" t="n"/>
      <c r="H40" s="33" t="n"/>
      <c r="I40" s="33" t="n"/>
      <c r="J40" s="33">
        <f>D40*15</f>
        <v/>
      </c>
      <c r="L40" s="33">
        <f>D40*35</f>
        <v/>
      </c>
    </row>
    <row r="41">
      <c r="A41" s="141" t="n"/>
      <c r="B41" s="195" t="inlineStr">
        <is>
          <t>DD-VEO-040-001</t>
        </is>
      </c>
      <c r="C41" s="181" t="n">
        <v>0.3</v>
      </c>
      <c r="D41" s="181">
        <f>C41*9</f>
        <v/>
      </c>
      <c r="F41" s="33" t="n"/>
      <c r="G41" s="33" t="n"/>
      <c r="H41" s="33" t="n"/>
      <c r="I41" s="33" t="n"/>
      <c r="J41" s="33">
        <f>D41*15</f>
        <v/>
      </c>
      <c r="L41" s="33">
        <f>D41*35</f>
        <v/>
      </c>
    </row>
    <row r="42">
      <c r="A42" s="141" t="n"/>
      <c r="B42" s="195" t="inlineStr">
        <is>
          <t>DD-V-324-001</t>
        </is>
      </c>
      <c r="C42" s="181" t="n">
        <v>1.5</v>
      </c>
      <c r="D42" s="181">
        <f>C42*9</f>
        <v/>
      </c>
      <c r="F42" s="33" t="n"/>
      <c r="G42" s="33" t="n"/>
      <c r="H42" s="33">
        <f>D42*15</f>
        <v/>
      </c>
      <c r="I42" s="33" t="n"/>
      <c r="J42" s="33" t="n"/>
      <c r="L42" s="33">
        <f>D42*35</f>
        <v/>
      </c>
    </row>
    <row r="43">
      <c r="A43" s="141" t="n"/>
      <c r="B43" s="195" t="inlineStr">
        <is>
          <t>DD-VEO-041-001</t>
        </is>
      </c>
      <c r="C43" s="181" t="n">
        <v>0.3</v>
      </c>
      <c r="D43" s="181">
        <f>C43*9</f>
        <v/>
      </c>
      <c r="F43" s="33" t="n"/>
      <c r="G43" s="33">
        <f>D43*15</f>
        <v/>
      </c>
      <c r="H43" s="33" t="n"/>
      <c r="I43" s="33" t="n"/>
      <c r="J43" s="33" t="n"/>
      <c r="L43" s="33">
        <f>D43*35</f>
        <v/>
      </c>
    </row>
    <row r="44">
      <c r="A44" s="196" t="n"/>
      <c r="B44" s="195" t="inlineStr">
        <is>
          <t>DD-VEO-042-001</t>
        </is>
      </c>
      <c r="C44" s="181" t="n">
        <v>0.5</v>
      </c>
      <c r="D44" s="181">
        <f>C44*9</f>
        <v/>
      </c>
      <c r="F44" s="33" t="n"/>
      <c r="G44" s="33" t="n"/>
      <c r="H44" s="33" t="n"/>
      <c r="I44" s="33" t="n"/>
      <c r="J44" s="33">
        <f>D44*15</f>
        <v/>
      </c>
      <c r="L44" s="33">
        <f>D44*35</f>
        <v/>
      </c>
    </row>
    <row r="45">
      <c r="A45" s="141" t="n"/>
      <c r="B45" s="189" t="inlineStr">
        <is>
          <t>DD-V-297-003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 t="n"/>
      <c r="H45" s="33" t="n"/>
      <c r="I45" s="33" t="n"/>
      <c r="J45" s="33">
        <f>D45*15</f>
        <v/>
      </c>
      <c r="L45" s="33">
        <f>D45*35</f>
        <v/>
      </c>
    </row>
    <row r="46">
      <c r="A46" s="141" t="n"/>
      <c r="B46" s="189" t="inlineStr">
        <is>
          <t>DD-V-297-004</t>
        </is>
      </c>
      <c r="C46" s="181" t="n">
        <v>0.3</v>
      </c>
      <c r="D46" s="181">
        <f>C46*9</f>
        <v/>
      </c>
      <c r="E46" s="1">
        <f>D46*5</f>
        <v/>
      </c>
      <c r="F46" s="33" t="n"/>
      <c r="G46" s="33" t="n"/>
      <c r="H46" s="33" t="n"/>
      <c r="I46" s="33" t="n"/>
      <c r="J46" s="33">
        <f>D46*15</f>
        <v/>
      </c>
      <c r="L46" s="33">
        <f>D46*35</f>
        <v/>
      </c>
    </row>
    <row r="47">
      <c r="A47" s="141" t="n"/>
      <c r="B47" s="189" t="inlineStr">
        <is>
          <t>DD-V-297-005</t>
        </is>
      </c>
      <c r="C47" s="181" t="n">
        <v>0.3</v>
      </c>
      <c r="D47" s="181">
        <f>C47*9</f>
        <v/>
      </c>
      <c r="E47" s="1">
        <f>D47*5</f>
        <v/>
      </c>
      <c r="F47" s="33" t="n"/>
      <c r="G47" s="33" t="n"/>
      <c r="H47" s="33" t="n"/>
      <c r="I47" s="33" t="n"/>
      <c r="J47" s="33">
        <f>D47*15</f>
        <v/>
      </c>
      <c r="L47" s="33">
        <f>D47*35</f>
        <v/>
      </c>
    </row>
    <row r="48">
      <c r="A48" s="141" t="n"/>
      <c r="B48" s="189" t="inlineStr">
        <is>
          <t>DD-V-156-003</t>
        </is>
      </c>
      <c r="C48" s="181" t="n">
        <v>0.3</v>
      </c>
      <c r="D48" s="181">
        <f>C48*9</f>
        <v/>
      </c>
      <c r="E48" s="1">
        <f>D48*5</f>
        <v/>
      </c>
      <c r="F48" s="33" t="n"/>
      <c r="G48" s="33">
        <f>D48*15</f>
        <v/>
      </c>
      <c r="H48" s="33" t="n"/>
      <c r="I48" s="33" t="n"/>
      <c r="J48" s="33" t="n"/>
      <c r="L48" s="33">
        <f>D48*35</f>
        <v/>
      </c>
    </row>
    <row r="49">
      <c r="A49" s="141" t="n"/>
      <c r="B49" s="189" t="inlineStr">
        <is>
          <t>DD-V-156-004</t>
        </is>
      </c>
      <c r="C49" s="181" t="n">
        <v>0.3</v>
      </c>
      <c r="D49" s="181">
        <f>C49*9</f>
        <v/>
      </c>
      <c r="E49" s="1">
        <f>D49*5</f>
        <v/>
      </c>
      <c r="F49" s="33" t="n"/>
      <c r="G49" s="33">
        <f>D49*15</f>
        <v/>
      </c>
      <c r="H49" s="33" t="n"/>
      <c r="I49" s="33" t="n"/>
      <c r="J49" s="33" t="n"/>
      <c r="L49" s="33">
        <f>D49*35</f>
        <v/>
      </c>
    </row>
    <row r="50">
      <c r="A50" s="141" t="n"/>
      <c r="B50" s="189" t="inlineStr">
        <is>
          <t>DD-V-156-005</t>
        </is>
      </c>
      <c r="C50" s="181" t="n">
        <v>0.3</v>
      </c>
      <c r="D50" s="181">
        <f>C50*9</f>
        <v/>
      </c>
      <c r="E50" s="1">
        <f>D50*5</f>
        <v/>
      </c>
      <c r="F50" s="33" t="n"/>
      <c r="G50" s="33">
        <f>D50*15</f>
        <v/>
      </c>
      <c r="H50" s="33" t="n"/>
      <c r="I50" s="33" t="n"/>
      <c r="J50" s="33" t="n"/>
      <c r="L50" s="33">
        <f>D50*35</f>
        <v/>
      </c>
    </row>
    <row r="51">
      <c r="A51" s="141" t="n"/>
      <c r="B51" s="189" t="inlineStr">
        <is>
          <t>DD-V-156-006</t>
        </is>
      </c>
      <c r="C51" s="181" t="n">
        <v>0.3</v>
      </c>
      <c r="D51" s="181">
        <f>C51*9</f>
        <v/>
      </c>
      <c r="E51" s="1">
        <f>D51*5</f>
        <v/>
      </c>
      <c r="F51" s="33" t="n"/>
      <c r="G51" s="33">
        <f>D51*15</f>
        <v/>
      </c>
      <c r="H51" s="33" t="n"/>
      <c r="I51" s="33" t="n"/>
      <c r="J51" s="33" t="n"/>
      <c r="L51" s="33">
        <f>D51*35</f>
        <v/>
      </c>
    </row>
    <row r="52">
      <c r="A52" s="141" t="n"/>
      <c r="B52" s="189" t="inlineStr">
        <is>
          <t>DD-UGC-300-005_RoyalMatch</t>
        </is>
      </c>
      <c r="C52" s="181" t="n">
        <v>0.3</v>
      </c>
      <c r="D52" s="181">
        <f>C52*9</f>
        <v/>
      </c>
      <c r="E52" s="1">
        <f>D52*5</f>
        <v/>
      </c>
      <c r="F52" s="33" t="n"/>
      <c r="G52" s="33">
        <f>D52*15</f>
        <v/>
      </c>
      <c r="H52" s="33" t="n"/>
      <c r="I52" s="33" t="n"/>
      <c r="J52" s="33" t="n"/>
      <c r="L52" s="33">
        <f>D52*35</f>
        <v/>
      </c>
    </row>
    <row r="53">
      <c r="A53" s="141" t="n"/>
      <c r="B53" s="189" t="inlineStr">
        <is>
          <t>DD-UGC-300-006_RoyalMatch</t>
        </is>
      </c>
      <c r="C53" s="181" t="n">
        <v>0.3</v>
      </c>
      <c r="D53" s="181">
        <f>C53*9</f>
        <v/>
      </c>
      <c r="E53" s="1">
        <f>D53*5</f>
        <v/>
      </c>
      <c r="F53" s="33" t="n"/>
      <c r="G53" s="33">
        <f>D53*15</f>
        <v/>
      </c>
      <c r="H53" s="33" t="n"/>
      <c r="I53" s="33" t="n"/>
      <c r="J53" s="33" t="n"/>
      <c r="L53" s="33">
        <f>D53*35</f>
        <v/>
      </c>
    </row>
    <row r="54">
      <c r="A54" s="141" t="n"/>
      <c r="B54" s="189" t="inlineStr">
        <is>
          <t>DD-UGC-300-007_Specific_Ripping</t>
        </is>
      </c>
      <c r="C54" s="181" t="n">
        <v>0.3</v>
      </c>
      <c r="D54" s="181">
        <f>C54*9</f>
        <v/>
      </c>
      <c r="E54" s="1">
        <f>D54*5</f>
        <v/>
      </c>
      <c r="F54" s="33">
        <f>D54*15</f>
        <v/>
      </c>
      <c r="G54" s="33" t="n"/>
      <c r="H54" s="33" t="n"/>
      <c r="I54" s="33" t="n"/>
      <c r="J54" s="33" t="n"/>
      <c r="L54" s="33">
        <f>D54*35</f>
        <v/>
      </c>
    </row>
    <row r="55">
      <c r="A55" s="141" t="n"/>
      <c r="B55" s="189" t="inlineStr">
        <is>
          <t>DD-UGC-300-008_Specific_Ripping</t>
        </is>
      </c>
      <c r="C55" s="181" t="n">
        <v>0.3</v>
      </c>
      <c r="D55" s="181">
        <f>C55*9</f>
        <v/>
      </c>
      <c r="E55" s="1">
        <f>D55*5</f>
        <v/>
      </c>
      <c r="F55" s="33">
        <f>D55*15</f>
        <v/>
      </c>
      <c r="G55" s="33" t="n"/>
      <c r="H55" s="33" t="n"/>
      <c r="I55" s="33" t="n"/>
      <c r="J55" s="33" t="n"/>
      <c r="L55" s="33">
        <f>D55*35</f>
        <v/>
      </c>
    </row>
    <row r="56">
      <c r="A56" s="141" t="n"/>
      <c r="B56" s="189" t="inlineStr">
        <is>
          <t>DD-UGC-300-005_AccidentalCollision</t>
        </is>
      </c>
      <c r="C56" s="181" t="n">
        <v>0.3</v>
      </c>
      <c r="D56" s="181">
        <f>C56*9</f>
        <v/>
      </c>
      <c r="E56" s="1">
        <f>D56*5</f>
        <v/>
      </c>
      <c r="F56" s="33" t="n"/>
      <c r="G56" s="33">
        <f>D56*15</f>
        <v/>
      </c>
      <c r="H56" s="33" t="n"/>
      <c r="I56" s="33" t="n"/>
      <c r="J56" s="33" t="n"/>
      <c r="L56" s="33">
        <f>D56*35</f>
        <v/>
      </c>
    </row>
    <row r="57">
      <c r="A57" s="141" t="n"/>
      <c r="B57" s="189" t="inlineStr">
        <is>
          <t>DD-UGC-300-006_AccidentalCollision</t>
        </is>
      </c>
      <c r="C57" s="181" t="n">
        <v>0.3</v>
      </c>
      <c r="D57" s="181">
        <f>C57*9</f>
        <v/>
      </c>
      <c r="E57" s="1">
        <f>D57*5</f>
        <v/>
      </c>
      <c r="F57" s="33" t="n"/>
      <c r="G57" s="33">
        <f>D57*15</f>
        <v/>
      </c>
      <c r="H57" s="33" t="n"/>
      <c r="I57" s="33" t="n"/>
      <c r="J57" s="33" t="n"/>
      <c r="L57" s="33">
        <f>D57*35</f>
        <v/>
      </c>
    </row>
    <row r="58">
      <c r="A58" s="141" t="n"/>
      <c r="B58" s="189" t="inlineStr">
        <is>
          <t>DD-VEO-043-001</t>
        </is>
      </c>
      <c r="C58" s="181" t="n">
        <v>0.3</v>
      </c>
      <c r="D58" s="181">
        <f>C58*9</f>
        <v/>
      </c>
      <c r="E58" s="1">
        <f>D58*5</f>
        <v/>
      </c>
      <c r="F58" s="33" t="n"/>
      <c r="G58" s="33" t="n"/>
      <c r="H58" s="33" t="n"/>
      <c r="I58" s="33" t="n"/>
      <c r="J58" s="135" t="inlineStr">
        <is>
          <t>$41</t>
        </is>
      </c>
      <c r="L58" s="33">
        <f>D58*35</f>
        <v/>
      </c>
    </row>
    <row r="59">
      <c r="A59" s="141" t="n"/>
      <c r="B59" s="189" t="inlineStr">
        <is>
          <t>DD-VEO-044-001</t>
        </is>
      </c>
      <c r="C59" s="181" t="n">
        <v>0.3</v>
      </c>
      <c r="D59" s="181">
        <f>C59*9</f>
        <v/>
      </c>
      <c r="E59" s="1">
        <f>D59*5</f>
        <v/>
      </c>
      <c r="F59" s="33" t="n"/>
      <c r="G59" s="33">
        <f>D59*15</f>
        <v/>
      </c>
      <c r="H59" s="33" t="n"/>
      <c r="I59" s="33" t="n"/>
      <c r="J59" s="33" t="n"/>
      <c r="L59" s="33">
        <f>D59*35</f>
        <v/>
      </c>
    </row>
    <row r="60">
      <c r="A60" s="141" t="n"/>
      <c r="B60" s="189" t="inlineStr">
        <is>
          <t>DD-VEO-045-001</t>
        </is>
      </c>
      <c r="C60" s="181" t="n">
        <v>0.3</v>
      </c>
      <c r="D60" s="181" t="n">
        <v>2.7</v>
      </c>
      <c r="E60" s="1">
        <f>D60*5</f>
        <v/>
      </c>
      <c r="F60" s="33" t="n"/>
      <c r="G60" s="33">
        <f>D60*15</f>
        <v/>
      </c>
      <c r="H60" s="33" t="n"/>
      <c r="I60" s="33" t="n"/>
      <c r="J60" s="33" t="n"/>
      <c r="L60" s="33">
        <f>D60*35</f>
        <v/>
      </c>
    </row>
    <row r="61">
      <c r="A61" s="118" t="inlineStr">
        <is>
          <t>total</t>
        </is>
      </c>
      <c r="B61" s="57" t="n"/>
      <c r="C61" s="11">
        <f>SUM(C4:C60)</f>
        <v/>
      </c>
      <c r="D61" s="11">
        <f>SUM(D4:D60)</f>
        <v/>
      </c>
      <c r="E61" s="59">
        <f>SUM(E4:E60)</f>
        <v/>
      </c>
      <c r="F61" s="59">
        <f>SUM(F4:F60)</f>
        <v/>
      </c>
      <c r="G61" s="59">
        <f>SUM(G4:G60)</f>
        <v/>
      </c>
      <c r="H61" s="59">
        <f>SUM(H4:H60)</f>
        <v/>
      </c>
      <c r="I61" s="59">
        <f>SUM(I4:I60)</f>
        <v/>
      </c>
      <c r="J61" s="59">
        <f>SUM(J4:J60)</f>
        <v/>
      </c>
      <c r="K61" s="59">
        <f>SUM(E61:J61)</f>
        <v/>
      </c>
      <c r="L61" s="60">
        <f>SUM(L4:L60)</f>
        <v/>
      </c>
      <c r="M61" s="39" t="n"/>
      <c r="N61" s="29" t="inlineStr">
        <is>
          <t>UAH</t>
        </is>
      </c>
      <c r="O61" s="16" t="inlineStr">
        <is>
          <t>USD</t>
        </is>
      </c>
    </row>
    <row r="62">
      <c r="E62" s="142">
        <f>E61*44.6</f>
        <v/>
      </c>
      <c r="F62" s="142">
        <f>F61*43.86</f>
        <v/>
      </c>
      <c r="G62" s="142">
        <f>G61*43.86</f>
        <v/>
      </c>
      <c r="H62" s="142">
        <f>H61*43.86</f>
        <v/>
      </c>
      <c r="I62" s="142">
        <f>I61*43.86</f>
        <v/>
      </c>
      <c r="J62" s="142">
        <f>J61*43.86</f>
        <v/>
      </c>
      <c r="K62" s="7">
        <f>K61*43.86</f>
        <v/>
      </c>
      <c r="L62" s="7">
        <f>L61*44.6</f>
        <v/>
      </c>
      <c r="M62" s="5" t="inlineStr">
        <is>
          <t>CLIENT IN</t>
        </is>
      </c>
      <c r="N62" s="7">
        <f>O62*44.6</f>
        <v/>
      </c>
      <c r="O62" s="8">
        <f>L61</f>
        <v/>
      </c>
      <c r="T62" s="4" t="n"/>
    </row>
    <row r="63">
      <c r="G63" s="33" t="n"/>
      <c r="H63" s="123" t="n"/>
      <c r="I63" s="123" t="n"/>
      <c r="J63" s="123" t="n"/>
      <c r="M63" s="5" t="inlineStr">
        <is>
          <t>STUDIO (TAX)</t>
        </is>
      </c>
      <c r="N63" s="7">
        <f>O63*44.6</f>
        <v/>
      </c>
      <c r="O63" s="8">
        <f>O62-O62*0.05</f>
        <v/>
      </c>
    </row>
    <row r="64">
      <c r="B64" s="1" t="n"/>
      <c r="E64" s="21" t="n"/>
      <c r="G64" s="33" t="n"/>
      <c r="M64" s="5" t="inlineStr">
        <is>
          <t>EMPL</t>
        </is>
      </c>
      <c r="N64" s="7">
        <f>O64*44.6</f>
        <v/>
      </c>
      <c r="O64" s="8">
        <f>K61</f>
        <v/>
      </c>
    </row>
    <row r="65">
      <c r="B65" s="1" t="n"/>
      <c r="M65" s="37" t="inlineStr">
        <is>
          <t>STUDIO</t>
        </is>
      </c>
      <c r="N65" s="7">
        <f>O65*44.6</f>
        <v/>
      </c>
      <c r="O65" s="8">
        <f>O63-O64</f>
        <v/>
      </c>
    </row>
    <row r="66">
      <c r="B66" s="1" t="n"/>
      <c r="I66" s="198" t="n">
        <v>478030</v>
      </c>
    </row>
    <row r="67">
      <c r="B67" s="169" t="n"/>
      <c r="C67" s="166" t="n"/>
      <c r="D67" s="176" t="n"/>
      <c r="I67" s="169" t="n"/>
      <c r="J67" s="169" t="n"/>
      <c r="K67" s="166" t="n"/>
      <c r="L67" s="176" t="n"/>
    </row>
    <row r="68">
      <c r="B68" s="169" t="n"/>
      <c r="C68" s="166" t="n"/>
      <c r="D68" s="176" t="n"/>
      <c r="I68" s="144" t="n"/>
      <c r="J68" s="144" t="n"/>
      <c r="K68" s="166" t="n"/>
      <c r="L68" s="176" t="n"/>
    </row>
    <row r="69">
      <c r="B69" s="169" t="n"/>
      <c r="C69" s="171" t="n"/>
      <c r="D69" s="176" t="n"/>
      <c r="G69" s="192" t="n"/>
      <c r="I69" s="167" t="n"/>
      <c r="J69" s="167" t="n"/>
      <c r="K69" s="166" t="n"/>
      <c r="L69" s="176" t="n"/>
    </row>
    <row r="70">
      <c r="B70" s="169" t="n"/>
      <c r="C70" s="192" t="n"/>
      <c r="D70" s="192" t="n"/>
      <c r="E70" s="192" t="n"/>
      <c r="F70" s="192" t="n"/>
      <c r="G70" s="192" t="n"/>
      <c r="I70" s="169" t="n"/>
      <c r="J70" s="169" t="n"/>
      <c r="K70" s="166" t="n"/>
      <c r="L70" s="176" t="n"/>
    </row>
    <row r="71">
      <c r="B71" s="176" t="n"/>
      <c r="C71" s="191" t="n"/>
      <c r="D71" s="191" t="n"/>
      <c r="E71" s="191" t="n"/>
      <c r="G71" s="192" t="n"/>
      <c r="I71" s="169" t="n"/>
      <c r="J71" s="169" t="n"/>
      <c r="K71" s="166" t="n"/>
      <c r="L71" s="176" t="n"/>
    </row>
    <row r="72">
      <c r="B72" s="169" t="n"/>
      <c r="C72" s="191" t="n"/>
      <c r="D72" s="191" t="n"/>
      <c r="E72" s="191" t="n"/>
      <c r="G72" s="192" t="n"/>
      <c r="I72" s="169" t="n"/>
      <c r="J72" s="169" t="n"/>
      <c r="K72" s="166" t="n"/>
      <c r="L72" s="176" t="n"/>
    </row>
    <row r="73">
      <c r="B73" s="169" t="n"/>
      <c r="C73" s="192" t="n"/>
      <c r="D73" s="192" t="n"/>
      <c r="E73" s="192" t="n"/>
      <c r="F73" s="192" t="n"/>
      <c r="G73" s="192" t="n"/>
      <c r="I73" s="169" t="n"/>
      <c r="J73" s="169" t="n"/>
      <c r="K73" s="166" t="n"/>
      <c r="L73" s="176" t="n"/>
    </row>
    <row r="74">
      <c r="B74" s="176" t="n"/>
      <c r="C74" s="191" t="n"/>
      <c r="D74" s="191" t="n"/>
      <c r="E74" s="191" t="n"/>
      <c r="G74" s="192" t="n"/>
      <c r="I74" s="169" t="n"/>
      <c r="J74" s="169" t="n"/>
      <c r="K74" s="171" t="n"/>
      <c r="L74" s="176" t="n"/>
    </row>
    <row r="75">
      <c r="C75" s="191" t="n"/>
      <c r="D75" s="191" t="n"/>
      <c r="E75" s="191" t="n"/>
      <c r="G75" s="192" t="n"/>
      <c r="I75" s="169" t="n"/>
      <c r="J75" s="169" t="n"/>
      <c r="K75" s="171" t="n"/>
      <c r="L75" s="176" t="n"/>
    </row>
    <row r="76">
      <c r="B76" s="169" t="n"/>
      <c r="C76" s="192" t="n"/>
      <c r="D76" s="192" t="n"/>
      <c r="E76" s="192" t="n"/>
      <c r="F76" s="192" t="n"/>
      <c r="G76" s="192" t="n"/>
      <c r="I76" s="169" t="n"/>
      <c r="J76" s="169" t="n"/>
      <c r="K76" s="171" t="n"/>
      <c r="L76" s="176" t="n"/>
    </row>
    <row r="77">
      <c r="B77" s="176" t="n"/>
      <c r="C77" s="191" t="n"/>
      <c r="D77" s="191" t="n"/>
      <c r="E77" s="191" t="n"/>
      <c r="G77" s="192" t="n"/>
      <c r="H77" s="21" t="n"/>
      <c r="I77" s="169" t="n"/>
      <c r="J77" s="169" t="n"/>
      <c r="K77" s="166" t="n"/>
      <c r="L77" s="176" t="n"/>
    </row>
    <row r="78">
      <c r="C78" s="191" t="n"/>
      <c r="D78" s="191" t="n"/>
      <c r="E78" s="191" t="n"/>
      <c r="G78" s="192" t="n"/>
    </row>
    <row r="79">
      <c r="B79" s="169" t="n"/>
      <c r="C79" s="192" t="n"/>
      <c r="D79" s="192" t="n"/>
      <c r="E79" s="192" t="n"/>
      <c r="F79" s="192" t="n"/>
      <c r="G79" s="192" t="n"/>
    </row>
    <row r="80">
      <c r="B80" s="176" t="n"/>
      <c r="C80" s="191" t="n"/>
      <c r="D80" s="191" t="n"/>
      <c r="E80" s="191" t="n"/>
      <c r="G80" s="192" t="n"/>
    </row>
    <row r="81">
      <c r="C81" s="191" t="n"/>
      <c r="D81" s="191" t="n"/>
      <c r="E81" s="191" t="n"/>
      <c r="G81" s="192" t="n"/>
    </row>
    <row r="82">
      <c r="B82" s="169" t="n"/>
      <c r="C82" s="192" t="n"/>
      <c r="D82" s="192" t="n"/>
      <c r="E82" s="192" t="n"/>
      <c r="F82" s="192" t="n"/>
      <c r="G82" s="192" t="n"/>
    </row>
    <row r="83">
      <c r="B83" s="176" t="n"/>
      <c r="C83" s="191" t="n"/>
      <c r="D83" s="191" t="n"/>
      <c r="E83" s="191" t="n"/>
      <c r="G83" s="192" t="n"/>
    </row>
    <row r="84">
      <c r="C84" s="191" t="n"/>
      <c r="D84" s="191" t="n"/>
      <c r="E84" s="191" t="n"/>
      <c r="G84" s="192" t="n"/>
    </row>
    <row r="85">
      <c r="C85" s="191" t="n"/>
      <c r="D85" s="191" t="n"/>
      <c r="E85" s="191" t="n"/>
      <c r="G85" s="192" t="n"/>
    </row>
    <row r="86">
      <c r="G86" s="192" t="n"/>
    </row>
    <row r="87">
      <c r="G87" s="192" t="n"/>
    </row>
    <row r="88">
      <c r="G88" s="192" t="n"/>
    </row>
  </sheetData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05"/>
  <sheetViews>
    <sheetView topLeftCell="B1" zoomScale="98" zoomScaleNormal="98" workbookViewId="0">
      <pane ySplit="2" topLeftCell="A25" activePane="bottomLeft" state="frozen"/>
      <selection pane="bottomLeft" activeCell="J79" sqref="J79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98" t="inlineStr">
        <is>
          <t>EMPL 1</t>
        </is>
      </c>
      <c r="G3" s="110" t="inlineStr">
        <is>
          <t>EMPL 2</t>
        </is>
      </c>
      <c r="H3" s="110" t="inlineStr">
        <is>
          <t>EMPL 3</t>
        </is>
      </c>
      <c r="I3" s="98" t="inlineStr">
        <is>
          <t>EMPL 4</t>
        </is>
      </c>
      <c r="J3" s="98" t="inlineStr">
        <is>
          <t>EMPL 5</t>
        </is>
      </c>
      <c r="K3" s="31" t="inlineStr">
        <is>
          <t>Total EMPL</t>
        </is>
      </c>
      <c r="L3" s="39" t="inlineStr">
        <is>
          <t>STUDIO</t>
        </is>
      </c>
    </row>
    <row r="4">
      <c r="A4" s="141" t="n"/>
      <c r="B4" s="185" t="inlineStr">
        <is>
          <t>DX-V-135-012_ES-LA</t>
        </is>
      </c>
      <c r="C4" s="181" t="n">
        <v>0.3</v>
      </c>
      <c r="D4" s="181">
        <f>C4*9</f>
        <v/>
      </c>
      <c r="E4" s="1">
        <f>D4*5</f>
        <v/>
      </c>
      <c r="F4" s="33">
        <f>D4*15</f>
        <v/>
      </c>
      <c r="G4" s="33" t="n"/>
      <c r="H4" s="33" t="n"/>
      <c r="I4" s="33" t="n"/>
      <c r="J4" s="33" t="n"/>
      <c r="L4" s="33">
        <f>D4*40</f>
        <v/>
      </c>
      <c r="Q4" s="33" t="n"/>
    </row>
    <row r="5">
      <c r="A5" s="141" t="n"/>
      <c r="B5" s="185" t="inlineStr">
        <is>
          <t>DX-V-135-013_ES-LA</t>
        </is>
      </c>
      <c r="C5" s="181" t="n">
        <v>0.3</v>
      </c>
      <c r="D5" s="181">
        <f>C5*9</f>
        <v/>
      </c>
      <c r="E5" s="1">
        <f>D5*5</f>
        <v/>
      </c>
      <c r="F5" s="33">
        <f>D5*15</f>
        <v/>
      </c>
      <c r="G5" s="33" t="n"/>
      <c r="H5" s="33" t="n"/>
      <c r="I5" s="33" t="n"/>
      <c r="J5" s="33" t="n"/>
      <c r="L5" s="33">
        <f>D5*40</f>
        <v/>
      </c>
      <c r="Q5" s="33" t="n"/>
    </row>
    <row r="6">
      <c r="A6" s="141" t="n"/>
      <c r="B6" s="185" t="inlineStr">
        <is>
          <t>DX-V-135-014</t>
        </is>
      </c>
      <c r="C6" s="181" t="n">
        <v>0.3</v>
      </c>
      <c r="D6" s="181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J6" s="33" t="n"/>
      <c r="L6" s="33">
        <f>D6*40</f>
        <v/>
      </c>
      <c r="Q6" s="33" t="n"/>
    </row>
    <row r="7">
      <c r="A7" s="141" t="n"/>
      <c r="B7" s="185" t="inlineStr">
        <is>
          <t>DX-V-135-015</t>
        </is>
      </c>
      <c r="C7" s="181" t="n">
        <v>0.3</v>
      </c>
      <c r="D7" s="18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J7" s="33" t="n"/>
      <c r="L7" s="33">
        <f>D7*40</f>
        <v/>
      </c>
      <c r="Q7" s="33" t="n"/>
    </row>
    <row r="8">
      <c r="A8" s="141" t="n"/>
      <c r="B8" s="185" t="inlineStr">
        <is>
          <t>DX-V-135-016</t>
        </is>
      </c>
      <c r="C8" s="181" t="n">
        <v>0.3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J8" s="33" t="n"/>
      <c r="L8" s="33">
        <f>D8*40</f>
        <v/>
      </c>
      <c r="Q8" s="33" t="n"/>
    </row>
    <row r="9">
      <c r="A9" s="141" t="n"/>
      <c r="B9" s="185" t="inlineStr">
        <is>
          <t>DX-AIV-0267-002</t>
        </is>
      </c>
      <c r="C9" s="181" t="n">
        <v>0.3</v>
      </c>
      <c r="D9" s="181">
        <f>C9*9</f>
        <v/>
      </c>
      <c r="E9" s="1">
        <f>D9*5</f>
        <v/>
      </c>
      <c r="F9" s="33" t="n"/>
      <c r="G9" s="33">
        <f>D9*15</f>
        <v/>
      </c>
      <c r="H9" s="33" t="n"/>
      <c r="I9" s="33" t="n"/>
      <c r="J9" s="33" t="n"/>
      <c r="L9" s="33">
        <f>D9*40</f>
        <v/>
      </c>
      <c r="Q9" s="33" t="n"/>
    </row>
    <row r="10">
      <c r="A10" s="141" t="n"/>
      <c r="B10" s="185" t="inlineStr">
        <is>
          <t>DX-AIV-0267-003</t>
        </is>
      </c>
      <c r="C10" s="181" t="n">
        <v>0.3</v>
      </c>
      <c r="D10" s="181">
        <f>C10*9</f>
        <v/>
      </c>
      <c r="E10" s="1">
        <f>D10*5</f>
        <v/>
      </c>
      <c r="F10" s="33" t="n"/>
      <c r="G10" s="33">
        <f>D10*15</f>
        <v/>
      </c>
      <c r="H10" s="33" t="n"/>
      <c r="I10" s="33" t="n"/>
      <c r="J10" s="33" t="n"/>
      <c r="L10" s="33">
        <f>D10*40</f>
        <v/>
      </c>
      <c r="Q10" s="33" t="n"/>
    </row>
    <row r="11">
      <c r="A11" s="141" t="n"/>
      <c r="B11" s="185" t="inlineStr">
        <is>
          <t>DX-V-051-011</t>
        </is>
      </c>
      <c r="C11" s="181" t="n">
        <v>0.3</v>
      </c>
      <c r="D11" s="181">
        <f>C11*9</f>
        <v/>
      </c>
      <c r="E11" s="1">
        <f>D11*5</f>
        <v/>
      </c>
      <c r="F11" s="33" t="n"/>
      <c r="G11" s="33" t="n"/>
      <c r="H11" s="33" t="n"/>
      <c r="I11" s="33" t="n"/>
      <c r="J11" s="33">
        <f>D11*15</f>
        <v/>
      </c>
      <c r="L11" s="33">
        <f>D11*40</f>
        <v/>
      </c>
      <c r="Q11" s="33" t="n"/>
    </row>
    <row r="12">
      <c r="A12" s="141" t="n"/>
      <c r="B12" s="185" t="inlineStr">
        <is>
          <t>DX-V-051-012</t>
        </is>
      </c>
      <c r="C12" s="181" t="n">
        <v>0.3</v>
      </c>
      <c r="D12" s="181">
        <f>C12*9</f>
        <v/>
      </c>
      <c r="E12" s="1">
        <f>D12*5</f>
        <v/>
      </c>
      <c r="F12" s="33" t="n"/>
      <c r="G12" s="33" t="n"/>
      <c r="H12" s="33" t="n"/>
      <c r="I12" s="33" t="n"/>
      <c r="J12" s="33">
        <f>D12*15</f>
        <v/>
      </c>
      <c r="L12" s="33">
        <f>D12*40</f>
        <v/>
      </c>
      <c r="Q12" s="33" t="n"/>
    </row>
    <row r="13">
      <c r="A13" s="141" t="n"/>
      <c r="B13" s="185" t="inlineStr">
        <is>
          <t>DX-V-145-011</t>
        </is>
      </c>
      <c r="C13" s="181" t="n">
        <v>0.5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J13" s="33" t="n"/>
      <c r="L13" s="33">
        <f>D13*40</f>
        <v/>
      </c>
      <c r="Q13" s="33" t="n"/>
    </row>
    <row r="14">
      <c r="A14" s="141" t="n"/>
      <c r="B14" s="185" t="inlineStr">
        <is>
          <t>DX-V-145-012</t>
        </is>
      </c>
      <c r="C14" s="181" t="n">
        <v>0.3</v>
      </c>
      <c r="D14" s="181">
        <f>C14*9</f>
        <v/>
      </c>
      <c r="E14" s="1">
        <f>D14*5</f>
        <v/>
      </c>
      <c r="F14" s="33">
        <f>D14*15</f>
        <v/>
      </c>
      <c r="G14" s="33" t="n"/>
      <c r="H14" s="33" t="n"/>
      <c r="I14" s="33" t="n"/>
      <c r="J14" s="33" t="n"/>
      <c r="L14" s="33">
        <f>D14*40</f>
        <v/>
      </c>
      <c r="Q14" s="33" t="n"/>
    </row>
    <row r="15">
      <c r="A15" s="141" t="n"/>
      <c r="B15" s="185" t="inlineStr">
        <is>
          <t>DX-VEO-026-001</t>
        </is>
      </c>
      <c r="C15" s="181" t="n">
        <v>0.5</v>
      </c>
      <c r="D15" s="181">
        <f>C15*9</f>
        <v/>
      </c>
      <c r="E15" s="1">
        <f>D15*5</f>
        <v/>
      </c>
      <c r="F15" s="33" t="n"/>
      <c r="G15" s="33" t="n"/>
      <c r="H15" s="33" t="n"/>
      <c r="I15" s="33" t="n"/>
      <c r="J15" s="33">
        <f>D15*15</f>
        <v/>
      </c>
      <c r="L15" s="33">
        <f>D15*40</f>
        <v/>
      </c>
      <c r="Q15" s="33" t="n"/>
    </row>
    <row r="16">
      <c r="A16" s="141" t="n"/>
      <c r="B16" s="185" t="inlineStr">
        <is>
          <t>DX-VEO-027-001</t>
        </is>
      </c>
      <c r="C16" s="181" t="n">
        <v>0.5</v>
      </c>
      <c r="D16" s="181">
        <f>C16*9</f>
        <v/>
      </c>
      <c r="E16" s="1">
        <f>D16*5</f>
        <v/>
      </c>
      <c r="F16" s="33" t="n"/>
      <c r="G16" s="33" t="n"/>
      <c r="H16" s="33" t="n"/>
      <c r="I16" s="33">
        <f>D16*15</f>
        <v/>
      </c>
      <c r="J16" s="33" t="n"/>
      <c r="L16" s="33">
        <f>D16*40</f>
        <v/>
      </c>
      <c r="Q16" s="33" t="n"/>
    </row>
    <row r="17" ht="25" customHeight="1">
      <c r="A17" s="125" t="inlineStr">
        <is>
          <t>DD</t>
        </is>
      </c>
      <c r="B17" s="125" t="inlineStr">
        <is>
          <t>MGX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</row>
    <row r="18">
      <c r="A18" s="141" t="n"/>
      <c r="B18" s="185" t="inlineStr">
        <is>
          <t>DD-V-126-047</t>
        </is>
      </c>
      <c r="C18" s="181" t="n">
        <v>0.3</v>
      </c>
      <c r="D18" s="181">
        <f>C18*9</f>
        <v/>
      </c>
      <c r="E18" s="1">
        <f>D18*5</f>
        <v/>
      </c>
      <c r="F18" s="33" t="n"/>
      <c r="G18" s="33">
        <f>D18*15</f>
        <v/>
      </c>
      <c r="H18" s="33" t="n"/>
      <c r="I18" s="33" t="n"/>
      <c r="J18" s="33" t="n"/>
      <c r="L18" s="33">
        <f>D18*35</f>
        <v/>
      </c>
    </row>
    <row r="19">
      <c r="A19" s="141" t="n"/>
      <c r="B19" s="185" t="inlineStr">
        <is>
          <t>DD-V-137-069</t>
        </is>
      </c>
      <c r="C19" s="181" t="n">
        <v>1</v>
      </c>
      <c r="D19" s="181">
        <f>C19*9</f>
        <v/>
      </c>
      <c r="E19" s="1">
        <f>D19*5</f>
        <v/>
      </c>
      <c r="F19" s="33" t="n"/>
      <c r="G19" s="33" t="n"/>
      <c r="H19" s="33">
        <f>D19*15</f>
        <v/>
      </c>
      <c r="I19" s="33" t="n"/>
      <c r="J19" s="33" t="n"/>
      <c r="L19" s="33">
        <f>D19*35</f>
        <v/>
      </c>
    </row>
    <row r="20">
      <c r="A20" s="141" t="n"/>
      <c r="B20" s="188" t="inlineStr">
        <is>
          <t>DD-V-249-004</t>
        </is>
      </c>
      <c r="C20" s="181" t="n">
        <v>0.5</v>
      </c>
      <c r="D20" s="181">
        <f>C20*9</f>
        <v/>
      </c>
      <c r="E20" s="1">
        <f>D20*5</f>
        <v/>
      </c>
      <c r="F20" s="33" t="n"/>
      <c r="G20" s="33" t="n"/>
      <c r="H20" s="33" t="n"/>
      <c r="I20" s="33">
        <f>D20*15</f>
        <v/>
      </c>
      <c r="J20" s="33" t="n"/>
      <c r="L20" s="33">
        <f>D20*35</f>
        <v/>
      </c>
    </row>
    <row r="21">
      <c r="A21" s="141" t="n"/>
      <c r="B21" s="188" t="inlineStr">
        <is>
          <t>DD-VEO-027-001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>
        <f>D21*15</f>
        <v/>
      </c>
      <c r="H21" s="33" t="n"/>
      <c r="I21" s="33" t="n"/>
      <c r="J21" s="33" t="n"/>
      <c r="L21" s="33">
        <f>D21*35</f>
        <v/>
      </c>
    </row>
    <row r="22">
      <c r="A22" s="141" t="n"/>
      <c r="B22" s="189" t="inlineStr">
        <is>
          <t>DD-VEO-028-001</t>
        </is>
      </c>
      <c r="C22" s="181" t="n">
        <v>0.3</v>
      </c>
      <c r="D22" s="181">
        <f>C22*9</f>
        <v/>
      </c>
      <c r="E22" s="1">
        <f>D22*5</f>
        <v/>
      </c>
      <c r="F22" s="33" t="n"/>
      <c r="G22" s="33">
        <f>D22*15</f>
        <v/>
      </c>
      <c r="H22" s="33" t="n"/>
      <c r="I22" s="33" t="n"/>
      <c r="J22" s="33" t="n"/>
      <c r="L22" s="33">
        <f>D22*35</f>
        <v/>
      </c>
    </row>
    <row r="23">
      <c r="A23" s="141" t="n"/>
      <c r="B23" s="189" t="inlineStr">
        <is>
          <t>DD-VEO-027-002</t>
        </is>
      </c>
      <c r="C23" s="181" t="n">
        <v>0.1</v>
      </c>
      <c r="D23" s="181">
        <f>C23*9</f>
        <v/>
      </c>
      <c r="E23" s="1">
        <f>D23*5</f>
        <v/>
      </c>
      <c r="F23" s="33" t="n"/>
      <c r="G23" s="33">
        <f>D23*15</f>
        <v/>
      </c>
      <c r="H23" s="33" t="n"/>
      <c r="I23" s="33" t="n"/>
      <c r="J23" s="33" t="n"/>
      <c r="L23" s="33">
        <f>D23*35</f>
        <v/>
      </c>
    </row>
    <row r="24">
      <c r="A24" s="141" t="n"/>
      <c r="B24" s="188" t="inlineStr">
        <is>
          <t>DD-V-311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 t="n"/>
      <c r="H24" s="33" t="n"/>
      <c r="I24" s="33">
        <f>D24*15</f>
        <v/>
      </c>
      <c r="J24" s="33" t="n"/>
      <c r="L24" s="33">
        <f>D24*35</f>
        <v/>
      </c>
    </row>
    <row r="25">
      <c r="A25" s="141" t="n"/>
      <c r="B25" s="189" t="inlineStr">
        <is>
          <t>DD-V-298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 t="n"/>
      <c r="H25" s="33" t="n"/>
      <c r="I25" s="33">
        <f>D25*15</f>
        <v/>
      </c>
      <c r="J25" s="33" t="n"/>
      <c r="L25" s="33">
        <f>D25*35</f>
        <v/>
      </c>
    </row>
    <row r="26">
      <c r="A26" s="141" t="n"/>
      <c r="B26" s="189" t="inlineStr">
        <is>
          <t>DD-V-294</t>
        </is>
      </c>
      <c r="C26" s="181" t="n">
        <v>0.3</v>
      </c>
      <c r="D26" s="181">
        <f>C26*9</f>
        <v/>
      </c>
      <c r="E26" s="1">
        <f>D26*5</f>
        <v/>
      </c>
      <c r="F26" s="33" t="n"/>
      <c r="G26" s="33" t="n"/>
      <c r="H26" s="33" t="n"/>
      <c r="I26" s="33">
        <f>D26*15</f>
        <v/>
      </c>
      <c r="J26" s="33" t="n"/>
      <c r="L26" s="33">
        <f>D26*35</f>
        <v/>
      </c>
    </row>
    <row r="27">
      <c r="A27" s="141" t="n"/>
      <c r="B27" s="189" t="inlineStr">
        <is>
          <t>DD-V-223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>
        <f>D27*15</f>
        <v/>
      </c>
      <c r="J27" s="33" t="n"/>
      <c r="L27" s="33">
        <f>D27*35</f>
        <v/>
      </c>
    </row>
    <row r="28">
      <c r="A28" s="141" t="n"/>
      <c r="B28" s="189" t="inlineStr">
        <is>
          <t>DD-V-211</t>
        </is>
      </c>
      <c r="C28" s="181" t="n">
        <v>0.3</v>
      </c>
      <c r="D28" s="181">
        <f>C28*9</f>
        <v/>
      </c>
      <c r="E28" s="1">
        <f>D28*5</f>
        <v/>
      </c>
      <c r="F28" s="33" t="n"/>
      <c r="G28" s="33" t="n"/>
      <c r="H28" s="33" t="n"/>
      <c r="I28" s="33" t="n"/>
      <c r="J28" s="33">
        <f>D28*15</f>
        <v/>
      </c>
      <c r="L28" s="33">
        <f>D28*35</f>
        <v/>
      </c>
    </row>
    <row r="29">
      <c r="A29" s="141" t="n"/>
      <c r="B29" s="189" t="inlineStr">
        <is>
          <t>DD-V-137</t>
        </is>
      </c>
      <c r="C29" s="181" t="n">
        <v>0.3</v>
      </c>
      <c r="D29" s="181">
        <f>C29*9</f>
        <v/>
      </c>
      <c r="E29" s="1">
        <f>D29*5</f>
        <v/>
      </c>
      <c r="F29" s="33" t="n"/>
      <c r="G29" s="33" t="n"/>
      <c r="H29" s="33" t="n"/>
      <c r="I29" s="33" t="n"/>
      <c r="J29" s="33">
        <f>D29*15</f>
        <v/>
      </c>
      <c r="L29" s="33">
        <f>D29*35</f>
        <v/>
      </c>
    </row>
    <row r="30">
      <c r="A30" s="141" t="n"/>
      <c r="B30" s="189" t="inlineStr">
        <is>
          <t>DD-V-126</t>
        </is>
      </c>
      <c r="C30" s="181" t="n">
        <v>0.3</v>
      </c>
      <c r="D30" s="181">
        <f>C30*9</f>
        <v/>
      </c>
      <c r="E30" s="1">
        <f>D30*5</f>
        <v/>
      </c>
      <c r="F30" s="33" t="n"/>
      <c r="G30" s="33" t="n"/>
      <c r="H30" s="33" t="n"/>
      <c r="I30" s="33" t="n"/>
      <c r="J30" s="33">
        <f>D30*15</f>
        <v/>
      </c>
      <c r="L30" s="33">
        <f>D30*35</f>
        <v/>
      </c>
    </row>
    <row r="31">
      <c r="A31" s="141" t="n"/>
      <c r="B31" s="189" t="inlineStr">
        <is>
          <t>DD-VEO-029-001</t>
        </is>
      </c>
      <c r="C31" s="181" t="n">
        <v>0.3</v>
      </c>
      <c r="D31" s="181">
        <f>C31*9</f>
        <v/>
      </c>
      <c r="E31" s="1">
        <f>D31*5</f>
        <v/>
      </c>
      <c r="F31" s="33">
        <f>D31*15</f>
        <v/>
      </c>
      <c r="G31" s="33" t="n"/>
      <c r="H31" s="33" t="n"/>
      <c r="I31" s="33" t="n"/>
      <c r="J31" s="33" t="n"/>
      <c r="L31" s="33">
        <f>D31*35</f>
        <v/>
      </c>
    </row>
    <row r="32">
      <c r="A32" s="141" t="n"/>
      <c r="B32" s="189" t="inlineStr">
        <is>
          <t>DD-V-Record - REFERENCE_DD-P-031-002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 t="n"/>
      <c r="H32" s="33">
        <f>D32*15</f>
        <v/>
      </c>
      <c r="I32" s="33" t="n"/>
      <c r="J32" s="33" t="n"/>
      <c r="L32" s="33">
        <f>D32*35</f>
        <v/>
      </c>
    </row>
    <row r="33">
      <c r="A33" s="194" t="n"/>
      <c r="B33" s="189" t="inlineStr">
        <is>
          <t>DD-V-Record - REFERENCE_DD-P-032</t>
        </is>
      </c>
      <c r="C33" s="181" t="n"/>
      <c r="D33" s="181" t="n"/>
      <c r="E33" s="1">
        <f>D33*5</f>
        <v/>
      </c>
      <c r="F33" s="33" t="n"/>
      <c r="G33" s="33" t="n"/>
      <c r="H33" s="33" t="n"/>
      <c r="I33" s="33" t="n"/>
      <c r="J33" s="33" t="n"/>
      <c r="L33" s="33">
        <f>D33*35</f>
        <v/>
      </c>
    </row>
    <row r="34">
      <c r="A34" s="141" t="n"/>
      <c r="B34" s="189" t="inlineStr">
        <is>
          <t>DD-V-Record - REFERENCE_DD-P-034-001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 t="n"/>
      <c r="H34" s="33">
        <f>D34*15</f>
        <v/>
      </c>
      <c r="I34" s="33" t="n"/>
      <c r="J34" s="33" t="n"/>
      <c r="L34" s="33">
        <f>D34*35</f>
        <v/>
      </c>
    </row>
    <row r="35">
      <c r="A35" s="141" t="n"/>
      <c r="B35" s="189" t="inlineStr">
        <is>
          <t>DD-V-Record - REFERENCE_DD-P-035-001</t>
        </is>
      </c>
      <c r="C35" s="181" t="n">
        <v>0.3</v>
      </c>
      <c r="D35" s="181">
        <f>C35*9</f>
        <v/>
      </c>
      <c r="E35" s="1">
        <f>D35*5</f>
        <v/>
      </c>
      <c r="F35" s="33" t="n"/>
      <c r="G35" s="33" t="n"/>
      <c r="H35" s="33">
        <f>D35*15</f>
        <v/>
      </c>
      <c r="I35" s="33" t="n"/>
      <c r="J35" s="33" t="n"/>
      <c r="L35" s="33">
        <f>D35*35</f>
        <v/>
      </c>
    </row>
    <row r="36">
      <c r="A36" s="141" t="n"/>
      <c r="B36" s="189" t="inlineStr">
        <is>
          <t>DD-V-Record - REFERENCE_DD-P-036-001</t>
        </is>
      </c>
      <c r="C36" s="181" t="n">
        <v>0.3</v>
      </c>
      <c r="D36" s="181">
        <f>C36*9</f>
        <v/>
      </c>
      <c r="E36" s="1">
        <f>D36*5</f>
        <v/>
      </c>
      <c r="F36" s="33">
        <f>D36*15</f>
        <v/>
      </c>
      <c r="G36" s="33" t="n"/>
      <c r="H36" s="33" t="n"/>
      <c r="I36" s="33" t="n"/>
      <c r="J36" s="33" t="n"/>
      <c r="L36" s="33">
        <f>D36*35</f>
        <v/>
      </c>
    </row>
    <row r="37">
      <c r="A37" s="141" t="n"/>
      <c r="B37" s="189" t="inlineStr">
        <is>
          <t>DD-V-Record - DD-P-037-001</t>
        </is>
      </c>
      <c r="C37" s="181" t="n">
        <v>0.3</v>
      </c>
      <c r="D37" s="181">
        <f>C37*9</f>
        <v/>
      </c>
      <c r="E37" s="1">
        <f>D37*5</f>
        <v/>
      </c>
      <c r="F37" s="33">
        <f>D37*15</f>
        <v/>
      </c>
      <c r="G37" s="33" t="n"/>
      <c r="H37" s="33" t="n"/>
      <c r="I37" s="33" t="n"/>
      <c r="J37" s="33" t="n"/>
      <c r="L37" s="33">
        <f>D37*35</f>
        <v/>
      </c>
    </row>
    <row r="38">
      <c r="A38" s="141" t="n"/>
      <c r="B38" s="189" t="inlineStr">
        <is>
          <t>DD-V-Record - REFERENCE_DD-P-040-001</t>
        </is>
      </c>
      <c r="C38" s="181" t="n">
        <v>0.3</v>
      </c>
      <c r="D38" s="181">
        <f>C38*9</f>
        <v/>
      </c>
      <c r="E38" s="1">
        <f>D38*5</f>
        <v/>
      </c>
      <c r="F38" s="33" t="n"/>
      <c r="G38" s="33" t="n"/>
      <c r="H38" s="33">
        <f>D38*15</f>
        <v/>
      </c>
      <c r="I38" s="33" t="n"/>
      <c r="J38" s="33" t="n"/>
      <c r="L38" s="33">
        <f>D38*35</f>
        <v/>
      </c>
    </row>
    <row r="39">
      <c r="A39" s="141" t="n"/>
      <c r="B39" s="189" t="inlineStr">
        <is>
          <t>DD-V-292-037</t>
        </is>
      </c>
      <c r="C39" s="181" t="n">
        <v>0.3</v>
      </c>
      <c r="D39" s="181">
        <f>C39*9</f>
        <v/>
      </c>
      <c r="E39" s="1">
        <f>D39*5</f>
        <v/>
      </c>
      <c r="F39" s="33">
        <f>D39*15</f>
        <v/>
      </c>
      <c r="G39" s="33" t="n"/>
      <c r="H39" s="33" t="n"/>
      <c r="I39" s="33" t="n"/>
      <c r="J39" s="33" t="n"/>
      <c r="L39" s="33">
        <f>D39*35</f>
        <v/>
      </c>
    </row>
    <row r="40">
      <c r="A40" s="141" t="n"/>
      <c r="B40" s="189" t="inlineStr">
        <is>
          <t>DD-V-292-038</t>
        </is>
      </c>
      <c r="C40" s="181" t="n">
        <v>0.3</v>
      </c>
      <c r="D40" s="181">
        <f>C40*9</f>
        <v/>
      </c>
      <c r="E40" s="1">
        <f>D40*5</f>
        <v/>
      </c>
      <c r="F40" s="33">
        <f>D40*15</f>
        <v/>
      </c>
      <c r="G40" s="33" t="n"/>
      <c r="H40" s="33" t="n"/>
      <c r="I40" s="33" t="n"/>
      <c r="J40" s="33" t="n"/>
      <c r="L40" s="33">
        <f>D40*35</f>
        <v/>
      </c>
    </row>
    <row r="41">
      <c r="A41" s="141" t="n"/>
      <c r="B41" s="189" t="inlineStr">
        <is>
          <t>DD-V-271-002</t>
        </is>
      </c>
      <c r="C41" s="181" t="n">
        <v>0.3</v>
      </c>
      <c r="D41" s="181">
        <f>C41*9</f>
        <v/>
      </c>
      <c r="E41" s="1">
        <f>D41*5</f>
        <v/>
      </c>
      <c r="F41" s="33">
        <f>D41*15</f>
        <v/>
      </c>
      <c r="G41" s="33" t="n"/>
      <c r="H41" s="33" t="n"/>
      <c r="I41" s="33" t="n"/>
      <c r="J41" s="33" t="n"/>
      <c r="L41" s="33">
        <f>D41*35</f>
        <v/>
      </c>
    </row>
    <row r="42">
      <c r="A42" s="141" t="n"/>
      <c r="B42" s="189" t="inlineStr">
        <is>
          <t>DD-UGC-300-005_Classic_Auntie</t>
        </is>
      </c>
      <c r="C42" s="181" t="n">
        <v>0.3</v>
      </c>
      <c r="D42" s="181">
        <f>C42*9</f>
        <v/>
      </c>
      <c r="E42" s="1">
        <f>D42*5</f>
        <v/>
      </c>
      <c r="F42" s="33" t="n"/>
      <c r="G42" s="33">
        <f>D42*15</f>
        <v/>
      </c>
      <c r="H42" s="33" t="n"/>
      <c r="I42" s="33" t="n"/>
      <c r="J42" s="33" t="n"/>
      <c r="L42" s="33">
        <f>D42*35</f>
        <v/>
      </c>
    </row>
    <row r="43">
      <c r="A43" s="141" t="n"/>
      <c r="B43" s="189" t="inlineStr">
        <is>
          <t>DD-UGC-300-006_Classic_Auntie</t>
        </is>
      </c>
      <c r="C43" s="181" t="n">
        <v>0.3</v>
      </c>
      <c r="D43" s="181">
        <f>C43*9</f>
        <v/>
      </c>
      <c r="E43" s="1">
        <f>D43*5</f>
        <v/>
      </c>
      <c r="F43" s="33" t="n"/>
      <c r="G43" s="33">
        <f>D43*15</f>
        <v/>
      </c>
      <c r="H43" s="33" t="n"/>
      <c r="I43" s="33" t="n"/>
      <c r="J43" s="33" t="n"/>
      <c r="L43" s="33">
        <f>D43*35</f>
        <v/>
      </c>
    </row>
    <row r="44">
      <c r="A44" s="141" t="n"/>
      <c r="B44" s="189" t="inlineStr">
        <is>
          <t>DD-UGC-300-005_SpecificActrees</t>
        </is>
      </c>
      <c r="C44" s="181" t="n">
        <v>0.3</v>
      </c>
      <c r="D44" s="181">
        <f>C44*9</f>
        <v/>
      </c>
      <c r="E44" s="1">
        <f>D44*5</f>
        <v/>
      </c>
      <c r="F44" s="33" t="n"/>
      <c r="G44" s="33">
        <f>D44*15</f>
        <v/>
      </c>
      <c r="H44" s="33" t="n"/>
      <c r="I44" s="33" t="n"/>
      <c r="J44" s="33" t="n"/>
      <c r="L44" s="33">
        <f>D44*35</f>
        <v/>
      </c>
    </row>
    <row r="45">
      <c r="A45" s="141" t="n"/>
      <c r="B45" s="189" t="inlineStr">
        <is>
          <t>DD-UGC-300-006_SpecificActrees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>
        <f>D45*15</f>
        <v/>
      </c>
      <c r="H45" s="33" t="n"/>
      <c r="I45" s="33" t="n"/>
      <c r="J45" s="33" t="n"/>
      <c r="L45" s="33">
        <f>D45*35</f>
        <v/>
      </c>
    </row>
    <row r="46">
      <c r="A46" s="141" t="n"/>
      <c r="B46" s="189" t="inlineStr">
        <is>
          <t>DD-UGC-300-005_HardcoreDiceDreamer</t>
        </is>
      </c>
      <c r="C46" s="181" t="n">
        <v>0.3</v>
      </c>
      <c r="D46" s="181">
        <f>C46*9</f>
        <v/>
      </c>
      <c r="E46" s="1">
        <f>D46*5</f>
        <v/>
      </c>
      <c r="F46" s="33" t="n"/>
      <c r="G46" s="33">
        <f>D46*15</f>
        <v/>
      </c>
      <c r="H46" s="33" t="n"/>
      <c r="I46" s="33" t="n"/>
      <c r="J46" s="33" t="n"/>
      <c r="L46" s="33">
        <f>D46*35</f>
        <v/>
      </c>
    </row>
    <row r="47">
      <c r="A47" s="141" t="n"/>
      <c r="B47" s="189" t="inlineStr">
        <is>
          <t>DD-UGC-300-006_HardcoreDiceDreamer</t>
        </is>
      </c>
      <c r="C47" s="181" t="n">
        <v>0.3</v>
      </c>
      <c r="D47" s="181">
        <f>C47*9</f>
        <v/>
      </c>
      <c r="E47" s="1">
        <f>D47*5</f>
        <v/>
      </c>
      <c r="F47" s="33" t="n"/>
      <c r="G47" s="33">
        <f>D47*15</f>
        <v/>
      </c>
      <c r="H47" s="33" t="n"/>
      <c r="I47" s="33" t="n"/>
      <c r="J47" s="33" t="n"/>
      <c r="L47" s="33">
        <f>D47*35</f>
        <v/>
      </c>
    </row>
    <row r="48">
      <c r="A48" s="141" t="n"/>
      <c r="B48" s="189" t="inlineStr">
        <is>
          <t>DD-V-300-007_SpecificActress</t>
        </is>
      </c>
      <c r="C48" s="181" t="n">
        <v>0.3</v>
      </c>
      <c r="D48" s="181">
        <f>C48*9</f>
        <v/>
      </c>
      <c r="E48" s="1">
        <f>D48*5</f>
        <v/>
      </c>
      <c r="F48" s="33">
        <f>D48*15</f>
        <v/>
      </c>
      <c r="G48" s="33" t="n"/>
      <c r="H48" s="33" t="n"/>
      <c r="I48" s="33" t="n"/>
      <c r="J48" s="33" t="n"/>
      <c r="L48" s="33">
        <f>D48*35</f>
        <v/>
      </c>
    </row>
    <row r="49">
      <c r="A49" s="141" t="n"/>
      <c r="B49" s="189" t="inlineStr">
        <is>
          <t>DD-V-300-007_HardcoreDiceDreamer</t>
        </is>
      </c>
      <c r="C49" s="181" t="n">
        <v>0.3</v>
      </c>
      <c r="D49" s="181">
        <f>C49*9</f>
        <v/>
      </c>
      <c r="E49" s="1">
        <f>D49*5</f>
        <v/>
      </c>
      <c r="F49" s="33">
        <f>D49*15</f>
        <v/>
      </c>
      <c r="G49" s="33" t="n"/>
      <c r="H49" s="33" t="n"/>
      <c r="I49" s="33" t="n"/>
      <c r="J49" s="33" t="n"/>
      <c r="L49" s="33">
        <f>D49*35</f>
        <v/>
      </c>
    </row>
    <row r="50">
      <c r="A50" s="141" t="n"/>
      <c r="B50" s="189" t="inlineStr">
        <is>
          <t>DD-V-300-005_Classic_SilverFox</t>
        </is>
      </c>
      <c r="C50" s="181" t="n">
        <v>0.3</v>
      </c>
      <c r="D50" s="181">
        <f>C50*9</f>
        <v/>
      </c>
      <c r="E50" s="1">
        <f>D50*5</f>
        <v/>
      </c>
      <c r="F50" s="33" t="n"/>
      <c r="G50" s="33">
        <f>D50*15</f>
        <v/>
      </c>
      <c r="H50" s="33" t="n"/>
      <c r="I50" s="33" t="n"/>
      <c r="J50" s="33" t="n"/>
      <c r="L50" s="33">
        <f>D50*35</f>
        <v/>
      </c>
    </row>
    <row r="51">
      <c r="A51" s="141" t="n"/>
      <c r="B51" s="189" t="inlineStr">
        <is>
          <t>DD-V-300-005_SpecificActress_RippingSign</t>
        </is>
      </c>
      <c r="C51" s="181" t="n">
        <v>0.3</v>
      </c>
      <c r="D51" s="181">
        <f>C51*9</f>
        <v/>
      </c>
      <c r="E51" s="1">
        <f>D51*5</f>
        <v/>
      </c>
      <c r="F51" s="33" t="n"/>
      <c r="G51" s="33">
        <f>D51*15</f>
        <v/>
      </c>
      <c r="H51" s="33" t="n"/>
      <c r="I51" s="33" t="n"/>
      <c r="J51" s="33" t="n"/>
      <c r="L51" s="33">
        <f>D51*35</f>
        <v/>
      </c>
    </row>
    <row r="52">
      <c r="A52" s="141" t="n"/>
      <c r="B52" s="189" t="inlineStr">
        <is>
          <t>DD-V-300-005_SpecificActress_PlayingWithaFriend</t>
        </is>
      </c>
      <c r="C52" s="181" t="n">
        <v>0.3</v>
      </c>
      <c r="D52" s="181">
        <f>C52*9</f>
        <v/>
      </c>
      <c r="E52" s="1">
        <f>D52*5</f>
        <v/>
      </c>
      <c r="F52" s="33" t="n"/>
      <c r="G52" s="33">
        <f>D52*15</f>
        <v/>
      </c>
      <c r="H52" s="33" t="n"/>
      <c r="I52" s="33" t="n"/>
      <c r="J52" s="33" t="n"/>
      <c r="L52" s="33">
        <f>D52*35</f>
        <v/>
      </c>
    </row>
    <row r="53">
      <c r="A53" s="141" t="n"/>
      <c r="B53" s="189" t="inlineStr">
        <is>
          <t>DD-V-039-007_GoogleFairy</t>
        </is>
      </c>
      <c r="C53" s="181" t="n">
        <v>0.3</v>
      </c>
      <c r="D53" s="181">
        <f>C53*9</f>
        <v/>
      </c>
      <c r="E53" s="1">
        <f>D53*5</f>
        <v/>
      </c>
      <c r="F53" s="33" t="n"/>
      <c r="G53" s="33" t="n"/>
      <c r="H53" s="33" t="n"/>
      <c r="I53" s="33">
        <f>D53*15</f>
        <v/>
      </c>
      <c r="J53" s="33" t="n"/>
      <c r="L53" s="33">
        <f>D53*35</f>
        <v/>
      </c>
    </row>
    <row r="54">
      <c r="A54" s="141" t="n"/>
      <c r="B54" s="189" t="inlineStr">
        <is>
          <t>DD-V-079-028_GameplayProject</t>
        </is>
      </c>
      <c r="C54" s="181" t="n">
        <v>0.3</v>
      </c>
      <c r="D54" s="181">
        <f>C54*9</f>
        <v/>
      </c>
      <c r="E54" s="1">
        <f>D54*5</f>
        <v/>
      </c>
      <c r="F54" s="33" t="n"/>
      <c r="G54" s="33" t="n"/>
      <c r="H54" s="33" t="n"/>
      <c r="I54" s="33" t="n"/>
      <c r="J54" s="33">
        <f>D54*15</f>
        <v/>
      </c>
      <c r="L54" s="33">
        <f>D54*35</f>
        <v/>
      </c>
    </row>
    <row r="55">
      <c r="A55" s="141" t="n"/>
      <c r="B55" s="189" t="inlineStr">
        <is>
          <t>DD-V-034-041_AttackFeature</t>
        </is>
      </c>
      <c r="C55" s="181" t="n">
        <v>0.3</v>
      </c>
      <c r="D55" s="181">
        <f>C55*9</f>
        <v/>
      </c>
      <c r="E55" s="1">
        <f>D55*5</f>
        <v/>
      </c>
      <c r="F55" s="33">
        <f>D55*15</f>
        <v/>
      </c>
      <c r="G55" s="33" t="n"/>
      <c r="H55" s="33" t="n"/>
      <c r="I55" s="33" t="n"/>
      <c r="J55" s="33" t="n"/>
      <c r="L55" s="33">
        <f>D55*35</f>
        <v/>
      </c>
    </row>
    <row r="56">
      <c r="A56" s="141" t="n"/>
      <c r="B56" s="189" t="inlineStr">
        <is>
          <t>DD-V-236-002_MergeDreams</t>
        </is>
      </c>
      <c r="C56" s="181" t="n">
        <v>1</v>
      </c>
      <c r="D56" s="181">
        <f>C56*9</f>
        <v/>
      </c>
      <c r="E56" s="1">
        <f>D56*5</f>
        <v/>
      </c>
      <c r="F56" s="33" t="n"/>
      <c r="G56" s="33" t="n"/>
      <c r="H56" s="33">
        <f>D56*15</f>
        <v/>
      </c>
      <c r="I56" s="33" t="n"/>
      <c r="J56" s="33" t="n"/>
      <c r="L56" s="33">
        <f>D56*35</f>
        <v/>
      </c>
    </row>
    <row r="57">
      <c r="A57" s="141" t="n"/>
      <c r="B57" s="189" t="inlineStr">
        <is>
          <t>DD-VEO-030-001_DuoStickers</t>
        </is>
      </c>
      <c r="C57" s="181" t="n">
        <v>0.5</v>
      </c>
      <c r="D57" s="181">
        <f>C57*9</f>
        <v/>
      </c>
      <c r="E57" s="1">
        <f>D57*5</f>
        <v/>
      </c>
      <c r="F57" s="33" t="n"/>
      <c r="G57" s="33" t="n"/>
      <c r="H57" s="33" t="n"/>
      <c r="I57" s="33" t="n"/>
      <c r="J57" s="33">
        <f>D57*15</f>
        <v/>
      </c>
      <c r="L57" s="33">
        <f>D57*35</f>
        <v/>
      </c>
    </row>
    <row r="58">
      <c r="A58" s="141" t="n"/>
      <c r="B58" s="189" t="inlineStr">
        <is>
          <t>DD-V-292-039_WheelOfFortune</t>
        </is>
      </c>
      <c r="C58" s="181" t="n">
        <v>1</v>
      </c>
      <c r="D58" s="181">
        <f>C58*9</f>
        <v/>
      </c>
      <c r="E58" s="1">
        <f>D58*5</f>
        <v/>
      </c>
      <c r="F58" s="33" t="n"/>
      <c r="G58" s="33" t="n"/>
      <c r="H58" s="33" t="n"/>
      <c r="I58" s="33" t="n"/>
      <c r="J58" s="33">
        <f>D58*15</f>
        <v/>
      </c>
      <c r="L58" s="33">
        <f>D58*35</f>
        <v/>
      </c>
    </row>
    <row r="59">
      <c r="A59" s="141" t="n"/>
      <c r="B59" s="189" t="inlineStr">
        <is>
          <t>DD-V-049-080_TrailKnight</t>
        </is>
      </c>
      <c r="C59" s="181" t="n">
        <v>1</v>
      </c>
      <c r="D59" s="181">
        <f>C59*9</f>
        <v/>
      </c>
      <c r="E59" s="1">
        <f>D59*5</f>
        <v/>
      </c>
      <c r="F59" s="33" t="n"/>
      <c r="G59" s="33" t="n"/>
      <c r="H59" s="33" t="n"/>
      <c r="I59" s="33" t="n"/>
      <c r="J59" s="33">
        <f>D59*15</f>
        <v/>
      </c>
      <c r="L59" s="33">
        <f>D59*35</f>
        <v/>
      </c>
    </row>
    <row r="60">
      <c r="A60" s="141" t="n"/>
      <c r="B60" s="189" t="inlineStr">
        <is>
          <t>DD-V-281-008_MegaTrail</t>
        </is>
      </c>
      <c r="C60" s="181" t="n">
        <v>1</v>
      </c>
      <c r="D60" s="181">
        <f>C60*9</f>
        <v/>
      </c>
      <c r="E60" s="1">
        <f>D60*5</f>
        <v/>
      </c>
      <c r="F60" s="33" t="n"/>
      <c r="G60" s="33" t="n"/>
      <c r="H60" s="33" t="n"/>
      <c r="I60" s="33">
        <f>D60*15</f>
        <v/>
      </c>
      <c r="J60" s="33" t="n"/>
      <c r="L60" s="33">
        <f>D60*35</f>
        <v/>
      </c>
    </row>
    <row r="61">
      <c r="A61" s="141" t="n"/>
      <c r="B61" s="189" t="inlineStr">
        <is>
          <t>DD-UGC-300-007_HardcoreDiceDreamer</t>
        </is>
      </c>
      <c r="C61" s="181" t="n">
        <v>0.3</v>
      </c>
      <c r="D61" s="181">
        <f>C61*9</f>
        <v/>
      </c>
      <c r="E61" s="1">
        <f>D61*5</f>
        <v/>
      </c>
      <c r="F61" s="33">
        <f>D61*15</f>
        <v/>
      </c>
      <c r="G61" s="33" t="n"/>
      <c r="H61" s="33" t="n"/>
      <c r="I61" s="33" t="n"/>
      <c r="J61" s="33" t="n"/>
      <c r="L61" s="33">
        <f>D61*35</f>
        <v/>
      </c>
    </row>
    <row r="62">
      <c r="A62" s="141" t="n"/>
      <c r="B62" s="189" t="inlineStr">
        <is>
          <t>DD-UGC-300-005_SpecificActrees_RippingSign</t>
        </is>
      </c>
      <c r="C62" s="181" t="n">
        <v>0.3</v>
      </c>
      <c r="D62" s="181">
        <f>C62*9</f>
        <v/>
      </c>
      <c r="E62" s="1">
        <f>D62*5</f>
        <v/>
      </c>
      <c r="F62" s="33" t="n"/>
      <c r="G62" s="33">
        <f>D62*15</f>
        <v/>
      </c>
      <c r="H62" s="33" t="n"/>
      <c r="I62" s="33" t="n"/>
      <c r="J62" s="33" t="n"/>
      <c r="L62" s="33">
        <f>D62*35</f>
        <v/>
      </c>
    </row>
    <row r="63">
      <c r="A63" s="141" t="n"/>
      <c r="B63" s="189" t="inlineStr">
        <is>
          <t>DD-V-034-042_AttackFeature</t>
        </is>
      </c>
      <c r="C63" s="181" t="n">
        <v>0.3</v>
      </c>
      <c r="D63" s="181">
        <f>C63*9</f>
        <v/>
      </c>
      <c r="E63" s="1">
        <f>D63*5</f>
        <v/>
      </c>
      <c r="F63" s="33">
        <f>D63*15</f>
        <v/>
      </c>
      <c r="G63" s="33" t="n"/>
      <c r="H63" s="33" t="n"/>
      <c r="I63" s="33" t="n"/>
      <c r="J63" s="33" t="n"/>
      <c r="L63" s="33">
        <f>D63*35</f>
        <v/>
      </c>
    </row>
    <row r="64">
      <c r="A64" s="141" t="n"/>
      <c r="B64" s="189" t="inlineStr">
        <is>
          <t>DD-V-079-029_GameplayProject</t>
        </is>
      </c>
      <c r="C64" s="181" t="n">
        <v>0.3</v>
      </c>
      <c r="D64" s="181">
        <f>C64*9</f>
        <v/>
      </c>
      <c r="E64" s="1">
        <f>D64*5</f>
        <v/>
      </c>
      <c r="F64" s="33">
        <f>D64*15</f>
        <v/>
      </c>
      <c r="G64" s="33" t="n"/>
      <c r="H64" s="33" t="n"/>
      <c r="I64" s="33" t="n"/>
      <c r="J64" s="33" t="n"/>
      <c r="L64" s="33">
        <f>D64*35</f>
        <v/>
      </c>
    </row>
    <row r="65">
      <c r="A65" s="141" t="n"/>
      <c r="B65" s="189" t="inlineStr">
        <is>
          <t>DD-V-079-030_GameplayProject</t>
        </is>
      </c>
      <c r="C65" s="181" t="n">
        <v>0.3</v>
      </c>
      <c r="D65" s="181">
        <f>C65*9</f>
        <v/>
      </c>
      <c r="E65" s="1">
        <f>D65*5</f>
        <v/>
      </c>
      <c r="F65" s="33">
        <f>D65*15</f>
        <v/>
      </c>
      <c r="G65" s="33" t="n"/>
      <c r="H65" s="33" t="n"/>
      <c r="I65" s="33" t="n"/>
      <c r="J65" s="33" t="n"/>
      <c r="L65" s="33">
        <f>D65*35</f>
        <v/>
      </c>
    </row>
    <row r="66">
      <c r="A66" s="141" t="n"/>
      <c r="B66" s="189" t="inlineStr">
        <is>
          <t>DD-UGC-300-006_SpecificActrees_RippingSign</t>
        </is>
      </c>
      <c r="C66" s="181" t="n">
        <v>0.3</v>
      </c>
      <c r="D66" s="181">
        <f>C66*9</f>
        <v/>
      </c>
      <c r="E66" s="1">
        <f>D66*5</f>
        <v/>
      </c>
      <c r="F66" s="33" t="n"/>
      <c r="G66" s="33">
        <f>D66*15</f>
        <v/>
      </c>
      <c r="H66" s="33" t="n"/>
      <c r="I66" s="33" t="n"/>
      <c r="J66" s="33" t="n"/>
      <c r="L66" s="33">
        <f>D66*35</f>
        <v/>
      </c>
    </row>
    <row r="67">
      <c r="A67" s="141" t="n"/>
      <c r="B67" s="189" t="inlineStr">
        <is>
          <t>DD-UGC-300-005_Calssic_SilverFox</t>
        </is>
      </c>
      <c r="C67" s="181" t="n">
        <v>0.3</v>
      </c>
      <c r="D67" s="181">
        <f>C67*9</f>
        <v/>
      </c>
      <c r="E67" s="1">
        <f>D67*5</f>
        <v/>
      </c>
      <c r="F67" s="33" t="n"/>
      <c r="G67" s="33">
        <f>D67*15</f>
        <v/>
      </c>
      <c r="H67" s="33" t="n"/>
      <c r="I67" s="33" t="n"/>
      <c r="J67" s="33" t="n"/>
      <c r="L67" s="33">
        <f>D67*35</f>
        <v/>
      </c>
    </row>
    <row r="68">
      <c r="A68" s="141" t="n"/>
      <c r="B68" s="189" t="inlineStr">
        <is>
          <t>DD-UGC-300-008_HardcoreDiceDreamer</t>
        </is>
      </c>
      <c r="C68" s="181" t="n">
        <v>0.3</v>
      </c>
      <c r="D68" s="181">
        <f>C68*9</f>
        <v/>
      </c>
      <c r="E68" s="1">
        <f>D68*5</f>
        <v/>
      </c>
      <c r="F68" s="33">
        <f>D68*15</f>
        <v/>
      </c>
      <c r="G68" s="33" t="n"/>
      <c r="H68" s="33" t="n"/>
      <c r="I68" s="33" t="n"/>
      <c r="J68" s="33" t="n"/>
      <c r="L68" s="33">
        <f>D68*35</f>
        <v/>
      </c>
    </row>
    <row r="69">
      <c r="A69" s="141" t="n"/>
      <c r="B69" s="189" t="inlineStr">
        <is>
          <t>DD-UGC-300-007_SpecificActrees</t>
        </is>
      </c>
      <c r="C69" s="181" t="n">
        <v>0.3</v>
      </c>
      <c r="D69" s="181">
        <f>C69*9</f>
        <v/>
      </c>
      <c r="E69" s="1">
        <f>D69*5</f>
        <v/>
      </c>
      <c r="F69" s="33" t="n"/>
      <c r="G69" s="33">
        <f>D69*15</f>
        <v/>
      </c>
      <c r="H69" s="33" t="n"/>
      <c r="I69" s="33" t="n"/>
      <c r="J69" s="33" t="n"/>
      <c r="L69" s="33">
        <f>D69*35</f>
        <v/>
      </c>
    </row>
    <row r="70">
      <c r="A70" s="141" t="n"/>
      <c r="B70" s="189" t="inlineStr">
        <is>
          <t>DD-VEO-031-001_DiceCreamBite</t>
        </is>
      </c>
      <c r="C70" s="181" t="n">
        <v>0.3</v>
      </c>
      <c r="D70" s="181" t="n">
        <v>2.7</v>
      </c>
      <c r="E70" s="1">
        <f>D70*5</f>
        <v/>
      </c>
      <c r="F70" s="33" t="n"/>
      <c r="G70" s="33">
        <f>D70*15</f>
        <v/>
      </c>
      <c r="H70" s="33" t="n"/>
      <c r="I70" s="33" t="n"/>
      <c r="J70" s="33" t="n"/>
      <c r="L70" s="33">
        <f>D70*35</f>
        <v/>
      </c>
    </row>
    <row r="71">
      <c r="A71" s="141" t="n"/>
      <c r="B71" s="189" t="inlineStr">
        <is>
          <t>DD-V-049-082_TrailKnight_Bombs</t>
        </is>
      </c>
      <c r="C71" s="181" t="n">
        <v>1.5</v>
      </c>
      <c r="D71" s="181">
        <f>C71*9</f>
        <v/>
      </c>
      <c r="E71" s="1">
        <f>D71*5</f>
        <v/>
      </c>
      <c r="F71" s="33" t="n"/>
      <c r="G71" s="33" t="n"/>
      <c r="H71" s="33" t="n"/>
      <c r="I71" s="33">
        <f>D71*15</f>
        <v/>
      </c>
      <c r="J71" s="33" t="n"/>
      <c r="L71" s="33">
        <f>D71*35</f>
        <v/>
      </c>
    </row>
    <row r="72">
      <c r="A72" s="141" t="n"/>
      <c r="B72" s="189" t="inlineStr">
        <is>
          <t>DD-V-079-031_GameplayProject</t>
        </is>
      </c>
      <c r="C72" s="181" t="n">
        <v>0.3</v>
      </c>
      <c r="D72" s="181">
        <f>C72*9</f>
        <v/>
      </c>
      <c r="E72" s="1">
        <f>D72*5</f>
        <v/>
      </c>
      <c r="F72" s="33">
        <f>D72*15</f>
        <v/>
      </c>
      <c r="G72" s="33" t="n"/>
      <c r="H72" s="33" t="n"/>
      <c r="I72" s="33" t="n"/>
      <c r="J72" s="33" t="n"/>
      <c r="L72" s="33">
        <f>D72*35</f>
        <v/>
      </c>
    </row>
    <row r="73">
      <c r="A73" s="141" t="n"/>
      <c r="B73" s="189" t="inlineStr">
        <is>
          <t>DD-V-079-032_GameplayProject</t>
        </is>
      </c>
      <c r="C73" s="181" t="n">
        <v>0.3</v>
      </c>
      <c r="D73" s="181">
        <f>C73*9</f>
        <v/>
      </c>
      <c r="E73" s="1">
        <f>D73*5</f>
        <v/>
      </c>
      <c r="F73" s="33">
        <f>D73*15</f>
        <v/>
      </c>
      <c r="G73" s="33" t="n"/>
      <c r="H73" s="33" t="n"/>
      <c r="I73" s="33" t="n"/>
      <c r="J73" s="33" t="n"/>
      <c r="L73" s="33">
        <f>D73*35</f>
        <v/>
      </c>
    </row>
    <row r="74">
      <c r="A74" s="141" t="n"/>
      <c r="B74" s="189" t="inlineStr">
        <is>
          <t>DD-V-079-033_GameplayProject</t>
        </is>
      </c>
      <c r="C74" s="181" t="n">
        <v>0.3</v>
      </c>
      <c r="D74" s="181">
        <f>C74*9</f>
        <v/>
      </c>
      <c r="E74" s="1">
        <f>D74*5</f>
        <v/>
      </c>
      <c r="F74" s="33" t="n"/>
      <c r="G74" s="33">
        <f>D74*15</f>
        <v/>
      </c>
      <c r="H74" s="33" t="n"/>
      <c r="I74" s="33" t="n"/>
      <c r="J74" s="33" t="n"/>
      <c r="L74" s="33">
        <f>D74*35</f>
        <v/>
      </c>
    </row>
    <row r="75">
      <c r="A75" s="141" t="n"/>
      <c r="B75" s="189" t="inlineStr">
        <is>
          <t>DD-V-079-034_GameplayProject</t>
        </is>
      </c>
      <c r="C75" s="181" t="n">
        <v>0.3</v>
      </c>
      <c r="D75" s="181">
        <f>C75*9</f>
        <v/>
      </c>
      <c r="E75" s="1">
        <f>D75*5</f>
        <v/>
      </c>
      <c r="F75" s="33" t="n"/>
      <c r="G75" s="33">
        <f>D75*15</f>
        <v/>
      </c>
      <c r="H75" s="33" t="n"/>
      <c r="I75" s="33" t="n"/>
      <c r="J75" s="33" t="n"/>
      <c r="L75" s="33">
        <f>D75*35</f>
        <v/>
      </c>
    </row>
    <row r="76">
      <c r="A76" s="141" t="n"/>
      <c r="B76" s="189" t="inlineStr">
        <is>
          <t>DD-VEO-032-001</t>
        </is>
      </c>
      <c r="C76" s="181" t="n">
        <v>0.3</v>
      </c>
      <c r="D76" s="181">
        <f>C76*9</f>
        <v/>
      </c>
      <c r="E76" s="1">
        <f>D76*5</f>
        <v/>
      </c>
      <c r="F76" s="33" t="n"/>
      <c r="G76" s="33">
        <f>D76*15</f>
        <v/>
      </c>
      <c r="H76" s="33" t="n"/>
      <c r="I76" s="33" t="n"/>
      <c r="J76" s="33" t="n"/>
      <c r="L76" s="33">
        <f>D76*35</f>
        <v/>
      </c>
    </row>
    <row r="77">
      <c r="A77" s="141" t="n"/>
      <c r="B77" s="189" t="inlineStr">
        <is>
          <t>DD-VEO-033-001</t>
        </is>
      </c>
      <c r="C77" s="181" t="n">
        <v>0.3</v>
      </c>
      <c r="D77" s="181">
        <f>C77*9</f>
        <v/>
      </c>
      <c r="E77" s="1">
        <f>D77*5</f>
        <v/>
      </c>
      <c r="F77" s="33">
        <f>D77*15</f>
        <v/>
      </c>
      <c r="G77" s="33" t="n"/>
      <c r="H77" s="33" t="n"/>
      <c r="I77" s="33" t="n"/>
      <c r="J77" s="33" t="n"/>
      <c r="L77" s="33">
        <f>D77*35</f>
        <v/>
      </c>
    </row>
    <row r="78">
      <c r="A78" s="118" t="inlineStr">
        <is>
          <t>total</t>
        </is>
      </c>
      <c r="B78" s="57" t="n"/>
      <c r="C78" s="11">
        <f>SUM(C4:C77)</f>
        <v/>
      </c>
      <c r="D78" s="11">
        <f>SUM(D4:D77)</f>
        <v/>
      </c>
      <c r="E78" s="59">
        <f>SUM(E4:E77)</f>
        <v/>
      </c>
      <c r="F78" s="59">
        <f>SUM(F4:F77)</f>
        <v/>
      </c>
      <c r="G78" s="59">
        <f>SUM(G4:G77)</f>
        <v/>
      </c>
      <c r="H78" s="59">
        <f>SUM(H4:H77)</f>
        <v/>
      </c>
      <c r="I78" s="59">
        <f>SUM(I4:I77)</f>
        <v/>
      </c>
      <c r="J78" s="59">
        <f>SUM(J4:J77)</f>
        <v/>
      </c>
      <c r="K78" s="59">
        <f>SUM(E78:J78)</f>
        <v/>
      </c>
      <c r="L78" s="60">
        <f>SUM(L4:L77)</f>
        <v/>
      </c>
      <c r="M78" s="39" t="n"/>
      <c r="N78" s="29" t="inlineStr">
        <is>
          <t>UAH</t>
        </is>
      </c>
      <c r="O78" s="16" t="inlineStr">
        <is>
          <t>USD</t>
        </is>
      </c>
    </row>
    <row r="79">
      <c r="E79" s="142">
        <f>E78*43.96</f>
        <v/>
      </c>
      <c r="F79" s="142">
        <f>F78*43.86</f>
        <v/>
      </c>
      <c r="G79" s="142">
        <f>G78*43.86</f>
        <v/>
      </c>
      <c r="H79" s="142">
        <f>H78*43.86</f>
        <v/>
      </c>
      <c r="I79" s="142">
        <f>I78*43.86</f>
        <v/>
      </c>
      <c r="J79" s="142">
        <f>J78*43.86</f>
        <v/>
      </c>
      <c r="K79" s="7">
        <f>K78*43.86</f>
        <v/>
      </c>
      <c r="L79" s="7">
        <f>L78*43.86</f>
        <v/>
      </c>
      <c r="M79" s="5" t="inlineStr">
        <is>
          <t>CLIENT IN</t>
        </is>
      </c>
      <c r="N79" s="7">
        <f>O79*43.96</f>
        <v/>
      </c>
      <c r="O79" s="8">
        <f>L78</f>
        <v/>
      </c>
      <c r="T79" s="4" t="n"/>
    </row>
    <row r="80">
      <c r="G80" s="33" t="n"/>
      <c r="H80" s="123" t="n"/>
      <c r="I80" s="123" t="n"/>
      <c r="J80" s="123" t="n"/>
      <c r="M80" s="5" t="inlineStr">
        <is>
          <t>STUDIO (TAX)</t>
        </is>
      </c>
      <c r="N80" s="7">
        <f>O80*43.96</f>
        <v/>
      </c>
      <c r="O80" s="8">
        <f>O79-O79*0.05</f>
        <v/>
      </c>
    </row>
    <row r="81">
      <c r="B81" s="1" t="n"/>
      <c r="E81" s="21" t="n"/>
      <c r="G81" s="33" t="n"/>
      <c r="M81" s="5" t="inlineStr">
        <is>
          <t>EMPL</t>
        </is>
      </c>
      <c r="N81" s="7">
        <f>O81*43.96</f>
        <v/>
      </c>
      <c r="O81" s="8">
        <f>K78</f>
        <v/>
      </c>
    </row>
    <row r="82">
      <c r="B82" s="1" t="n"/>
      <c r="M82" s="37" t="inlineStr">
        <is>
          <t>STUDIO</t>
        </is>
      </c>
      <c r="N82" s="7">
        <f>O82*43.96</f>
        <v/>
      </c>
      <c r="O82" s="8">
        <f>O80-O81</f>
        <v/>
      </c>
    </row>
    <row r="83">
      <c r="B83" s="1" t="n"/>
    </row>
    <row r="84">
      <c r="B84" s="169" t="n"/>
      <c r="C84" s="166" t="n"/>
      <c r="D84" s="176" t="n"/>
      <c r="I84" s="169" t="n"/>
      <c r="J84" s="169" t="n"/>
      <c r="K84" s="166" t="n"/>
      <c r="L84" s="176" t="n"/>
    </row>
    <row r="85">
      <c r="B85" s="169" t="n"/>
      <c r="C85" s="166" t="n"/>
      <c r="D85" s="176" t="n"/>
      <c r="I85" s="144" t="n"/>
      <c r="J85" s="144" t="n"/>
      <c r="K85" s="166" t="n"/>
      <c r="L85" s="176" t="n"/>
    </row>
    <row r="86">
      <c r="B86" s="169" t="n"/>
      <c r="C86" s="171" t="n"/>
      <c r="D86" s="176" t="n"/>
      <c r="G86" s="192" t="n"/>
      <c r="I86" s="167" t="n"/>
      <c r="J86" s="167" t="n"/>
      <c r="K86" s="166" t="n"/>
      <c r="L86" s="176" t="n"/>
    </row>
    <row r="87">
      <c r="B87" s="169" t="n"/>
      <c r="C87" s="192" t="n"/>
      <c r="D87" s="192" t="n"/>
      <c r="E87" s="192" t="n"/>
      <c r="F87" s="192" t="n"/>
      <c r="G87" s="192" t="n"/>
      <c r="I87" s="169" t="n"/>
      <c r="J87" s="169" t="n"/>
      <c r="K87" s="166" t="n"/>
      <c r="L87" s="176" t="n"/>
    </row>
    <row r="88">
      <c r="B88" s="176" t="n"/>
      <c r="C88" s="191" t="n"/>
      <c r="D88" s="191" t="n"/>
      <c r="E88" s="191" t="n"/>
      <c r="G88" s="192" t="n"/>
      <c r="I88" s="169" t="n"/>
      <c r="J88" s="169" t="n"/>
      <c r="K88" s="166" t="n"/>
      <c r="L88" s="176" t="n"/>
    </row>
    <row r="89">
      <c r="B89" s="169" t="n"/>
      <c r="C89" s="191" t="n"/>
      <c r="D89" s="191" t="n"/>
      <c r="E89" s="191" t="n"/>
      <c r="G89" s="192" t="n"/>
      <c r="I89" s="169" t="n"/>
      <c r="J89" s="169" t="n"/>
      <c r="K89" s="166" t="n"/>
      <c r="L89" s="176" t="n"/>
    </row>
    <row r="90">
      <c r="B90" s="169" t="n"/>
      <c r="C90" s="192" t="n"/>
      <c r="D90" s="192" t="n"/>
      <c r="E90" s="192" t="n"/>
      <c r="F90" s="192" t="n"/>
      <c r="G90" s="192" t="n"/>
      <c r="I90" s="169" t="n"/>
      <c r="J90" s="169" t="n"/>
      <c r="K90" s="166" t="n"/>
      <c r="L90" s="176" t="n"/>
    </row>
    <row r="91">
      <c r="B91" s="176" t="n"/>
      <c r="C91" s="191" t="n"/>
      <c r="D91" s="191" t="n"/>
      <c r="E91" s="191" t="n"/>
      <c r="G91" s="192" t="n"/>
      <c r="I91" s="169" t="n"/>
      <c r="J91" s="169" t="n"/>
      <c r="K91" s="171" t="n"/>
      <c r="L91" s="176" t="n"/>
    </row>
    <row r="92">
      <c r="C92" s="191" t="n"/>
      <c r="D92" s="191" t="n"/>
      <c r="E92" s="191" t="n"/>
      <c r="G92" s="192" t="n"/>
      <c r="I92" s="169" t="n"/>
      <c r="J92" s="169" t="n"/>
      <c r="K92" s="171" t="n"/>
      <c r="L92" s="176" t="n"/>
    </row>
    <row r="93">
      <c r="B93" s="169" t="n"/>
      <c r="C93" s="192" t="n"/>
      <c r="D93" s="192" t="n"/>
      <c r="E93" s="192" t="n"/>
      <c r="F93" s="192" t="n"/>
      <c r="G93" s="192" t="n"/>
      <c r="I93" s="169" t="n"/>
      <c r="J93" s="169" t="n"/>
      <c r="K93" s="171" t="n"/>
      <c r="L93" s="176" t="n"/>
    </row>
    <row r="94">
      <c r="B94" s="176" t="n"/>
      <c r="C94" s="191" t="n"/>
      <c r="D94" s="191" t="n"/>
      <c r="E94" s="191" t="n"/>
      <c r="G94" s="192" t="n"/>
      <c r="H94" s="21" t="n"/>
      <c r="I94" s="169" t="n"/>
      <c r="J94" s="169" t="n"/>
      <c r="K94" s="166" t="n"/>
      <c r="L94" s="176" t="n"/>
    </row>
    <row r="95">
      <c r="C95" s="191" t="n"/>
      <c r="D95" s="191" t="n"/>
      <c r="E95" s="191" t="n"/>
      <c r="G95" s="192" t="n"/>
    </row>
    <row r="96">
      <c r="B96" s="169" t="n"/>
      <c r="C96" s="192" t="n"/>
      <c r="D96" s="192" t="n"/>
      <c r="E96" s="192" t="n"/>
      <c r="F96" s="192" t="n"/>
      <c r="G96" s="192" t="n"/>
    </row>
    <row r="97">
      <c r="B97" s="176" t="n"/>
      <c r="C97" s="191" t="n"/>
      <c r="D97" s="191" t="n"/>
      <c r="E97" s="191" t="n"/>
      <c r="G97" s="192" t="n"/>
    </row>
    <row r="98">
      <c r="C98" s="191" t="n"/>
      <c r="D98" s="191" t="n"/>
      <c r="E98" s="191" t="n"/>
      <c r="G98" s="192" t="n"/>
    </row>
    <row r="99">
      <c r="B99" s="169" t="n"/>
      <c r="C99" s="192" t="n"/>
      <c r="D99" s="192" t="n"/>
      <c r="E99" s="192" t="n"/>
      <c r="F99" s="192" t="n"/>
      <c r="G99" s="192" t="n"/>
    </row>
    <row r="100">
      <c r="B100" s="176" t="n"/>
      <c r="C100" s="191" t="n"/>
      <c r="D100" s="191" t="n"/>
      <c r="E100" s="191" t="n"/>
      <c r="G100" s="192" t="n"/>
    </row>
    <row r="101">
      <c r="C101" s="191" t="n"/>
      <c r="D101" s="191" t="n"/>
      <c r="E101" s="191" t="n"/>
      <c r="G101" s="192" t="n"/>
    </row>
    <row r="102">
      <c r="C102" s="191" t="n"/>
      <c r="D102" s="191" t="n"/>
      <c r="E102" s="191" t="n"/>
      <c r="G102" s="192" t="n"/>
    </row>
    <row r="103">
      <c r="G103" s="192" t="n"/>
    </row>
    <row r="104">
      <c r="G104" s="192" t="n"/>
    </row>
    <row r="105">
      <c r="G105" s="192" t="n"/>
    </row>
  </sheetData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74"/>
  <sheetViews>
    <sheetView zoomScale="98" zoomScaleNormal="98" workbookViewId="0">
      <pane ySplit="2" topLeftCell="A3" activePane="bottomLeft" state="frozen"/>
      <selection pane="bottomLeft" activeCell="J2" sqref="J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0"/>
    <col width="11.1640625" customWidth="1" style="1" min="11" max="11"/>
    <col width="13.1640625" customWidth="1" style="1" min="12" max="12"/>
    <col width="12.5" bestFit="1" customWidth="1" style="1" min="13" max="13"/>
    <col width="12" customWidth="1" style="1" min="14" max="14"/>
    <col width="11.1640625" customWidth="1" style="1" min="15" max="15"/>
    <col width="12.5" bestFit="1" customWidth="1" style="1" min="16" max="16"/>
    <col width="13" customWidth="1" style="1" min="17" max="17"/>
    <col width="10.83203125" customWidth="1" style="1" min="18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98" t="inlineStr">
        <is>
          <t>EMPL 1</t>
        </is>
      </c>
      <c r="G3" s="110" t="inlineStr">
        <is>
          <t>EMPL 2</t>
        </is>
      </c>
      <c r="H3" s="110" t="inlineStr">
        <is>
          <t>EMPL 3</t>
        </is>
      </c>
      <c r="I3" s="98" t="inlineStr">
        <is>
          <t>EMPL 4</t>
        </is>
      </c>
      <c r="J3" s="98" t="inlineStr">
        <is>
          <t>EMPL 5</t>
        </is>
      </c>
      <c r="K3" s="31" t="inlineStr">
        <is>
          <t>Total EMPL</t>
        </is>
      </c>
      <c r="L3" s="39" t="inlineStr">
        <is>
          <t>STUDIO</t>
        </is>
      </c>
    </row>
    <row r="4">
      <c r="A4" s="141" t="n"/>
      <c r="B4" s="185" t="inlineStr">
        <is>
          <t>DX-V-083-017_CoinExplosion</t>
        </is>
      </c>
      <c r="C4" s="181" t="n">
        <v>1</v>
      </c>
      <c r="D4" s="181">
        <f>C4*9</f>
        <v/>
      </c>
      <c r="E4" s="1">
        <f>D4*5</f>
        <v/>
      </c>
      <c r="F4" s="33">
        <f>D4*15</f>
        <v/>
      </c>
      <c r="G4" s="33" t="n"/>
      <c r="H4" s="33" t="n"/>
      <c r="I4" s="33" t="n"/>
      <c r="J4" s="33" t="n"/>
      <c r="L4" s="33">
        <f>D4*40</f>
        <v/>
      </c>
      <c r="Q4" s="33" t="n"/>
    </row>
    <row r="5">
      <c r="A5" s="141" t="n"/>
      <c r="B5" s="185" t="inlineStr">
        <is>
          <t>DX-V-134-006_WorldTour</t>
        </is>
      </c>
      <c r="C5" s="181" t="n">
        <v>0.3</v>
      </c>
      <c r="D5" s="181">
        <f>C5*9</f>
        <v/>
      </c>
      <c r="E5" s="1">
        <f>D5*5</f>
        <v/>
      </c>
      <c r="G5" s="33">
        <f>D5*15</f>
        <v/>
      </c>
      <c r="H5" s="33" t="n"/>
      <c r="I5" s="33" t="n"/>
      <c r="J5" s="33" t="n"/>
      <c r="L5" s="33">
        <f>D5*40</f>
        <v/>
      </c>
      <c r="Q5" s="33" t="n"/>
    </row>
    <row r="6">
      <c r="A6" s="141" t="n"/>
      <c r="B6" s="185" t="inlineStr">
        <is>
          <t>DX-VEO-023-001</t>
        </is>
      </c>
      <c r="C6" s="181" t="n">
        <v>0.5</v>
      </c>
      <c r="D6" s="181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J6" s="33" t="n"/>
      <c r="L6" s="33">
        <f>D6*40</f>
        <v/>
      </c>
      <c r="Q6" s="33" t="n"/>
    </row>
    <row r="7">
      <c r="A7" s="141" t="n"/>
      <c r="B7" s="185" t="inlineStr">
        <is>
          <t>DX-VEO-024-001</t>
        </is>
      </c>
      <c r="C7" s="181" t="n">
        <v>0.5</v>
      </c>
      <c r="D7" s="18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J7" s="33" t="n"/>
      <c r="L7" s="33">
        <f>D7*40</f>
        <v/>
      </c>
      <c r="Q7" s="33" t="n"/>
    </row>
    <row r="8">
      <c r="A8" s="141" t="n"/>
      <c r="B8" s="185" t="inlineStr">
        <is>
          <t>DX-V-145-005</t>
        </is>
      </c>
      <c r="C8" s="181" t="n">
        <v>0.3</v>
      </c>
      <c r="D8" s="181">
        <f>C8*9</f>
        <v/>
      </c>
      <c r="E8" s="1">
        <f>D8*5</f>
        <v/>
      </c>
      <c r="F8" s="33" t="n"/>
      <c r="G8" s="33">
        <f>D8*15</f>
        <v/>
      </c>
      <c r="H8" s="33" t="n"/>
      <c r="I8" s="33" t="n"/>
      <c r="J8" s="33" t="n"/>
      <c r="L8" s="33">
        <f>D8*40</f>
        <v/>
      </c>
      <c r="Q8" s="33" t="n"/>
    </row>
    <row r="9">
      <c r="A9" s="141" t="n"/>
      <c r="B9" s="185" t="inlineStr">
        <is>
          <t>DX-V-145-006</t>
        </is>
      </c>
      <c r="C9" s="181" t="n">
        <v>0.3</v>
      </c>
      <c r="D9" s="181">
        <f>C9*9</f>
        <v/>
      </c>
      <c r="E9" s="1">
        <f>D9*5</f>
        <v/>
      </c>
      <c r="F9" s="33" t="n"/>
      <c r="G9" s="33">
        <f>D9*15</f>
        <v/>
      </c>
      <c r="H9" s="33" t="n"/>
      <c r="I9" s="33" t="n"/>
      <c r="J9" s="33" t="n"/>
      <c r="L9" s="33">
        <f>D9*40</f>
        <v/>
      </c>
      <c r="Q9" s="33" t="n"/>
    </row>
    <row r="10">
      <c r="A10" s="141" t="n"/>
      <c r="B10" s="185" t="inlineStr">
        <is>
          <t>DX-V-135-008</t>
        </is>
      </c>
      <c r="C10" s="181" t="n">
        <v>0.3</v>
      </c>
      <c r="D10" s="181">
        <f>C10*9</f>
        <v/>
      </c>
      <c r="E10" s="1">
        <f>D10*5</f>
        <v/>
      </c>
      <c r="F10" s="33" t="n"/>
      <c r="G10" s="33" t="n"/>
      <c r="H10" s="33" t="n"/>
      <c r="I10" s="33" t="n"/>
      <c r="J10" s="33">
        <f>D10*15</f>
        <v/>
      </c>
      <c r="L10" s="33">
        <f>D10*40</f>
        <v/>
      </c>
      <c r="Q10" s="33" t="n"/>
    </row>
    <row r="11">
      <c r="A11" s="141" t="n"/>
      <c r="B11" s="185" t="inlineStr">
        <is>
          <t>DX-V-135-009</t>
        </is>
      </c>
      <c r="C11" s="181" t="n">
        <v>0.3</v>
      </c>
      <c r="D11" s="181">
        <f>C11*9</f>
        <v/>
      </c>
      <c r="E11" s="1">
        <f>D11*5</f>
        <v/>
      </c>
      <c r="F11" s="33" t="n"/>
      <c r="G11" s="33" t="n"/>
      <c r="H11" s="33" t="n"/>
      <c r="I11" s="33" t="n"/>
      <c r="J11" s="33">
        <f>D11*15</f>
        <v/>
      </c>
      <c r="L11" s="33">
        <f>D11*40</f>
        <v/>
      </c>
      <c r="Q11" s="33" t="n"/>
    </row>
    <row r="12">
      <c r="A12" s="141" t="n"/>
      <c r="B12" s="185" t="inlineStr">
        <is>
          <t>DX-V-145-007</t>
        </is>
      </c>
      <c r="C12" s="181" t="n">
        <v>0.3</v>
      </c>
      <c r="D12" s="181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J12" s="33" t="n"/>
      <c r="L12" s="33">
        <f>D12*40</f>
        <v/>
      </c>
      <c r="Q12" s="33" t="n"/>
    </row>
    <row r="13">
      <c r="A13" s="141" t="n"/>
      <c r="B13" s="185" t="inlineStr">
        <is>
          <t>DX-V-145-008</t>
        </is>
      </c>
      <c r="C13" s="181" t="n">
        <v>0.3</v>
      </c>
      <c r="D13" s="181">
        <f>C13*9</f>
        <v/>
      </c>
      <c r="E13" s="1">
        <f>D13*5</f>
        <v/>
      </c>
      <c r="F13" s="33" t="n"/>
      <c r="G13" s="33" t="n"/>
      <c r="H13" s="33" t="n"/>
      <c r="I13" s="33">
        <f>D13*15</f>
        <v/>
      </c>
      <c r="J13" s="33" t="n"/>
      <c r="L13" s="33">
        <f>D13*40</f>
        <v/>
      </c>
      <c r="Q13" s="33" t="n"/>
    </row>
    <row r="14">
      <c r="A14" s="141" t="n"/>
      <c r="B14" s="185" t="inlineStr">
        <is>
          <t>DX-V-135-010</t>
        </is>
      </c>
      <c r="C14" s="181" t="n">
        <v>0.3</v>
      </c>
      <c r="D14" s="181">
        <f>C14*9</f>
        <v/>
      </c>
      <c r="E14" s="1">
        <f>D14*5</f>
        <v/>
      </c>
      <c r="F14" s="33">
        <f>D14*15</f>
        <v/>
      </c>
      <c r="G14" s="33" t="n"/>
      <c r="H14" s="33" t="n"/>
      <c r="I14" s="33" t="n"/>
      <c r="J14" s="33" t="n"/>
      <c r="L14" s="33">
        <f>D14*40</f>
        <v/>
      </c>
      <c r="Q14" s="33" t="n"/>
    </row>
    <row r="15">
      <c r="A15" s="141" t="n"/>
      <c r="B15" s="185" t="inlineStr">
        <is>
          <t>DX-V-135-011</t>
        </is>
      </c>
      <c r="C15" s="181" t="n">
        <v>0.3</v>
      </c>
      <c r="D15" s="181">
        <f>C15*9</f>
        <v/>
      </c>
      <c r="E15" s="1">
        <f>D15*5</f>
        <v/>
      </c>
      <c r="F15" s="33">
        <f>D15*15</f>
        <v/>
      </c>
      <c r="G15" s="33" t="n"/>
      <c r="H15" s="33" t="n"/>
      <c r="I15" s="33" t="n"/>
      <c r="J15" s="33" t="n"/>
      <c r="L15" s="33">
        <f>D15*40</f>
        <v/>
      </c>
      <c r="Q15" s="33" t="n"/>
    </row>
    <row r="16">
      <c r="A16" s="141" t="n"/>
      <c r="B16" s="185" t="inlineStr">
        <is>
          <t>DX-V-145-009</t>
        </is>
      </c>
      <c r="C16" s="181" t="n">
        <v>0.3</v>
      </c>
      <c r="D16" s="181">
        <f>C16*9</f>
        <v/>
      </c>
      <c r="E16" s="1">
        <f>D16*5</f>
        <v/>
      </c>
      <c r="F16" s="33" t="n"/>
      <c r="G16" s="33">
        <f>D16*15</f>
        <v/>
      </c>
      <c r="H16" s="33" t="n"/>
      <c r="I16" s="33" t="n"/>
      <c r="J16" s="33" t="n"/>
      <c r="L16" s="33">
        <f>D16*40</f>
        <v/>
      </c>
      <c r="Q16" s="33" t="n"/>
    </row>
    <row r="17">
      <c r="A17" s="141" t="n"/>
      <c r="B17" s="185" t="inlineStr">
        <is>
          <t>DX-V-145-010</t>
        </is>
      </c>
      <c r="C17" s="181" t="n">
        <v>0.3</v>
      </c>
      <c r="D17" s="181">
        <f>C17*9</f>
        <v/>
      </c>
      <c r="E17" s="1">
        <f>D17*5</f>
        <v/>
      </c>
      <c r="F17" s="33" t="n"/>
      <c r="G17" s="33">
        <f>D17*15</f>
        <v/>
      </c>
      <c r="H17" s="33" t="n"/>
      <c r="I17" s="33" t="n"/>
      <c r="J17" s="33" t="n"/>
      <c r="L17" s="33">
        <f>D17*40</f>
        <v/>
      </c>
      <c r="Q17" s="33" t="n"/>
    </row>
    <row r="18">
      <c r="A18" s="141" t="n"/>
      <c r="B18" s="185" t="inlineStr">
        <is>
          <t>DX-V-135-012</t>
        </is>
      </c>
      <c r="C18" s="181" t="n">
        <v>0.3</v>
      </c>
      <c r="D18" s="181">
        <f>C18*9</f>
        <v/>
      </c>
      <c r="E18" s="1">
        <f>D18*5</f>
        <v/>
      </c>
      <c r="F18" s="33" t="n"/>
      <c r="G18" s="33">
        <f>D18*15</f>
        <v/>
      </c>
      <c r="H18" s="33" t="n"/>
      <c r="I18" s="33" t="n"/>
      <c r="J18" s="33" t="n"/>
      <c r="L18" s="33">
        <f>D18*40</f>
        <v/>
      </c>
      <c r="Q18" s="33" t="n"/>
    </row>
    <row r="19">
      <c r="A19" s="141" t="n"/>
      <c r="B19" s="185" t="inlineStr">
        <is>
          <t>DX-V-135-013</t>
        </is>
      </c>
      <c r="C19" s="181" t="n">
        <v>0.3</v>
      </c>
      <c r="D19" s="181">
        <f>C19*9</f>
        <v/>
      </c>
      <c r="E19" s="1">
        <f>D19*5</f>
        <v/>
      </c>
      <c r="F19" s="33" t="n"/>
      <c r="G19" s="33">
        <f>D19*15</f>
        <v/>
      </c>
      <c r="H19" s="33" t="n"/>
      <c r="I19" s="33" t="n"/>
      <c r="J19" s="33" t="n"/>
      <c r="L19" s="33">
        <f>D19*40</f>
        <v/>
      </c>
      <c r="Q19" s="33" t="n"/>
    </row>
    <row r="20" ht="25" customHeight="1">
      <c r="A20" s="125" t="inlineStr">
        <is>
          <t>DD</t>
        </is>
      </c>
      <c r="B20" s="125" t="inlineStr">
        <is>
          <t>MGX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</row>
    <row r="21">
      <c r="A21" s="141" t="n"/>
      <c r="B21" s="185" t="inlineStr">
        <is>
          <t>DD-V-049-080_TrailKnight_DD-VEO-017-001_PT-BR_30s |  HC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 t="n"/>
      <c r="H21" s="33" t="n"/>
      <c r="I21" s="33">
        <f>D21*15</f>
        <v/>
      </c>
      <c r="J21" s="33" t="n"/>
      <c r="L21" s="33">
        <f>D21*35</f>
        <v/>
      </c>
    </row>
    <row r="22">
      <c r="A22" s="141" t="n"/>
      <c r="B22" s="185" t="inlineStr">
        <is>
          <t xml:space="preserve">DD-V-137-066_FakeTrail_DD-VEO-017-001_PT-BR_30s  |  HC </t>
        </is>
      </c>
      <c r="C22" s="181" t="n">
        <v>0.3</v>
      </c>
      <c r="D22" s="181">
        <f>C22*9</f>
        <v/>
      </c>
      <c r="E22" s="1">
        <f>D22*5</f>
        <v/>
      </c>
      <c r="F22" s="33" t="n"/>
      <c r="G22" s="33" t="n"/>
      <c r="H22" s="33" t="n"/>
      <c r="I22" s="33">
        <f>D22*15</f>
        <v/>
      </c>
      <c r="J22" s="33" t="n"/>
      <c r="L22" s="33">
        <f>D22*35</f>
        <v/>
      </c>
    </row>
    <row r="23">
      <c r="A23" s="141" t="n"/>
      <c r="B23" s="188" t="inlineStr">
        <is>
          <t>DD-V-257-005_AlbumSticker_DD-VEO-017-001_PT-BR_30s  |  HC</t>
        </is>
      </c>
      <c r="C23" s="181" t="n">
        <v>0.3</v>
      </c>
      <c r="D23" s="181">
        <f>C23*9</f>
        <v/>
      </c>
      <c r="E23" s="1">
        <f>D23*5</f>
        <v/>
      </c>
      <c r="F23" s="33" t="n"/>
      <c r="G23" s="33">
        <f>D23*15</f>
        <v/>
      </c>
      <c r="H23" s="33" t="n"/>
      <c r="I23" s="33" t="n"/>
      <c r="J23" s="33" t="n"/>
      <c r="L23" s="33">
        <f>D23*35</f>
        <v/>
      </c>
    </row>
    <row r="24">
      <c r="A24" s="141" t="n"/>
      <c r="B24" s="188" t="inlineStr">
        <is>
          <t>DD-V-291-002_ChefCollections_DD-VEO-017-001_PT-BR_30s  |  HC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>
        <f>D24*15</f>
        <v/>
      </c>
      <c r="H24" s="33">
        <f>D24*15</f>
        <v/>
      </c>
      <c r="I24" s="33" t="n"/>
      <c r="J24" s="33" t="n"/>
      <c r="L24" s="33">
        <f>D24*35</f>
        <v/>
      </c>
    </row>
    <row r="25">
      <c r="A25" s="141" t="n"/>
      <c r="B25" s="189" t="inlineStr">
        <is>
          <t>DD-V-292-031_WheelOfFortune_DD-VEO-017-001_PT-BR_30s  |  HC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 t="n"/>
      <c r="H25" s="33" t="n"/>
      <c r="I25" s="33" t="n"/>
      <c r="J25" s="33">
        <f>D25*15</f>
        <v/>
      </c>
      <c r="L25" s="33">
        <f>D25*35</f>
        <v/>
      </c>
    </row>
    <row r="26">
      <c r="A26" s="141" t="n"/>
      <c r="B26" s="189" t="inlineStr">
        <is>
          <t>DD-V-126-043_PullThePin</t>
        </is>
      </c>
      <c r="C26" s="181" t="n">
        <v>0.3</v>
      </c>
      <c r="D26" s="181">
        <f>C26*9</f>
        <v/>
      </c>
      <c r="E26" s="1">
        <f>D26*5</f>
        <v/>
      </c>
      <c r="F26" s="33">
        <f>D26*15</f>
        <v/>
      </c>
      <c r="G26" s="33" t="n"/>
      <c r="H26" s="33" t="n"/>
      <c r="I26" s="33" t="n"/>
      <c r="J26" s="33" t="n"/>
      <c r="L26" s="33">
        <f>D26*35</f>
        <v/>
      </c>
    </row>
    <row r="27">
      <c r="A27" s="141" t="n"/>
      <c r="B27" s="188" t="inlineStr">
        <is>
          <t>DD-V-126-044_PullThePin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 t="n"/>
      <c r="J27" s="33">
        <f>D27*15</f>
        <v/>
      </c>
      <c r="L27" s="33">
        <f>D27*35</f>
        <v/>
      </c>
    </row>
    <row r="28">
      <c r="A28" s="141" t="n"/>
      <c r="B28" s="189" t="inlineStr">
        <is>
          <t>DD-VEO-021-001_HoneyDog</t>
        </is>
      </c>
      <c r="C28" s="181" t="n">
        <v>0.3</v>
      </c>
      <c r="D28" s="181">
        <f>C28*9</f>
        <v/>
      </c>
      <c r="E28" s="1">
        <f>D28*5</f>
        <v/>
      </c>
      <c r="F28" s="33">
        <f>D28*15</f>
        <v/>
      </c>
      <c r="G28" s="33" t="n"/>
      <c r="H28" s="33" t="n"/>
      <c r="I28" s="33" t="n"/>
      <c r="J28" s="33" t="n"/>
      <c r="L28" s="33">
        <f>D28*35</f>
        <v/>
      </c>
    </row>
    <row r="29">
      <c r="A29" s="141" t="n"/>
      <c r="B29" s="189" t="inlineStr">
        <is>
          <t>DD-VEO-022-001_MapleDog</t>
        </is>
      </c>
      <c r="C29" s="181" t="n">
        <v>0.3</v>
      </c>
      <c r="D29" s="181">
        <f>C29*9</f>
        <v/>
      </c>
      <c r="E29" s="1">
        <f>D29*5</f>
        <v/>
      </c>
      <c r="F29" s="33" t="n"/>
      <c r="G29" s="33" t="n"/>
      <c r="H29" s="33">
        <f>D29*15</f>
        <v/>
      </c>
      <c r="I29" s="33" t="n"/>
      <c r="J29" s="33" t="n"/>
      <c r="L29" s="33">
        <f>D29*35</f>
        <v/>
      </c>
    </row>
    <row r="30">
      <c r="A30" s="141" t="n"/>
      <c r="B30" s="189" t="inlineStr">
        <is>
          <t>DD-UGC-300-005</t>
        </is>
      </c>
      <c r="C30" s="181" t="n">
        <v>0.3</v>
      </c>
      <c r="D30" s="181">
        <f>C30*9</f>
        <v/>
      </c>
      <c r="E30" s="1">
        <f>D30*5</f>
        <v/>
      </c>
      <c r="F30" s="33" t="n"/>
      <c r="G30" s="33" t="n"/>
      <c r="H30" s="33">
        <f>D30*15</f>
        <v/>
      </c>
      <c r="I30" s="33" t="n"/>
      <c r="J30" s="33" t="n"/>
      <c r="L30" s="33">
        <f>D30*35</f>
        <v/>
      </c>
    </row>
    <row r="31">
      <c r="A31" s="141" t="n"/>
      <c r="B31" s="189" t="inlineStr">
        <is>
          <t>DD-UGC-300-006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 t="n"/>
      <c r="H31" s="33">
        <f>D31*15</f>
        <v/>
      </c>
      <c r="I31" s="33" t="n"/>
      <c r="J31" s="33" t="n"/>
      <c r="L31" s="33">
        <f>D31*35</f>
        <v/>
      </c>
    </row>
    <row r="32">
      <c r="A32" s="141" t="n"/>
      <c r="B32" s="189" t="inlineStr">
        <is>
          <t>DD-UGC-300-007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 t="n"/>
      <c r="H32" s="33">
        <f>D32*15</f>
        <v/>
      </c>
      <c r="I32" s="33" t="n"/>
      <c r="J32" s="33" t="n"/>
      <c r="L32" s="33">
        <f>D32*35</f>
        <v/>
      </c>
    </row>
    <row r="33">
      <c r="A33" s="141" t="n"/>
      <c r="B33" s="189" t="inlineStr">
        <is>
          <t>DD-V-137-067</t>
        </is>
      </c>
      <c r="C33" s="181" t="n">
        <v>0.3</v>
      </c>
      <c r="D33" s="181">
        <f>C33*9</f>
        <v/>
      </c>
      <c r="E33" s="1">
        <f>D33*5</f>
        <v/>
      </c>
      <c r="F33" s="33" t="n"/>
      <c r="G33" s="33">
        <f>D33*15</f>
        <v/>
      </c>
      <c r="H33" s="33" t="n"/>
      <c r="I33" s="33" t="n"/>
      <c r="J33" s="33" t="n"/>
      <c r="L33" s="33">
        <f>D33*35</f>
        <v/>
      </c>
    </row>
    <row r="34">
      <c r="A34" s="141" t="n"/>
      <c r="B34" s="189" t="inlineStr">
        <is>
          <t>DD-V-137-068</t>
        </is>
      </c>
      <c r="C34" s="181" t="n">
        <v>0.3</v>
      </c>
      <c r="D34" s="181">
        <f>C34*9</f>
        <v/>
      </c>
      <c r="E34" s="1">
        <f>D34*5</f>
        <v/>
      </c>
      <c r="F34" s="33" t="n"/>
      <c r="G34" s="33">
        <f>D34*15</f>
        <v/>
      </c>
      <c r="H34" s="33" t="n"/>
      <c r="I34" s="33" t="n"/>
      <c r="J34" s="33" t="n"/>
      <c r="L34" s="33">
        <f>D34*35</f>
        <v/>
      </c>
    </row>
    <row r="35">
      <c r="A35" s="141" t="n"/>
      <c r="B35" s="189" t="inlineStr">
        <is>
          <t>DD-V-311-001+002</t>
        </is>
      </c>
      <c r="C35" s="181" t="n">
        <v>1.5</v>
      </c>
      <c r="D35" s="181">
        <f>C35*9</f>
        <v/>
      </c>
      <c r="E35" s="1">
        <f>D35*5</f>
        <v/>
      </c>
      <c r="F35" s="33" t="n"/>
      <c r="G35" s="33" t="n"/>
      <c r="H35" s="33">
        <f>D35*15</f>
        <v/>
      </c>
      <c r="I35" s="33" t="n"/>
      <c r="J35" s="33" t="n"/>
      <c r="L35" s="33">
        <f>D35*35</f>
        <v/>
      </c>
    </row>
    <row r="36">
      <c r="A36" s="141" t="n"/>
      <c r="B36" s="189" t="inlineStr">
        <is>
          <t>DD-VEO-023-001</t>
        </is>
      </c>
      <c r="C36" s="181" t="n">
        <v>0.3</v>
      </c>
      <c r="D36" s="181">
        <f>C36*9</f>
        <v/>
      </c>
      <c r="E36" s="1">
        <f>D36*5</f>
        <v/>
      </c>
      <c r="F36" s="33" t="n"/>
      <c r="G36" s="33" t="n"/>
      <c r="H36" s="33" t="n"/>
      <c r="I36" s="33" t="n"/>
      <c r="J36" s="33">
        <f>D36*15</f>
        <v/>
      </c>
      <c r="L36" s="33">
        <f>D36*35</f>
        <v/>
      </c>
    </row>
    <row r="37">
      <c r="A37" s="141" t="n"/>
      <c r="B37" s="189" t="inlineStr">
        <is>
          <t>DD-VEO-024-001</t>
        </is>
      </c>
      <c r="C37" s="181" t="n">
        <v>0.3</v>
      </c>
      <c r="D37" s="181">
        <f>C37*9</f>
        <v/>
      </c>
      <c r="E37" s="1">
        <f>D37*5</f>
        <v/>
      </c>
      <c r="F37" s="33" t="n"/>
      <c r="G37" s="33" t="n"/>
      <c r="H37" s="33" t="n"/>
      <c r="I37" s="33">
        <f>D37*15</f>
        <v/>
      </c>
      <c r="J37" s="33" t="n"/>
      <c r="L37" s="33">
        <f>D37*35</f>
        <v/>
      </c>
    </row>
    <row r="38">
      <c r="A38" s="141" t="n"/>
      <c r="B38" s="189" t="inlineStr">
        <is>
          <t>DD-V-311-003_Nippon</t>
        </is>
      </c>
      <c r="C38" s="181" t="n">
        <v>0.3</v>
      </c>
      <c r="D38" s="181">
        <f>C38*9</f>
        <v/>
      </c>
      <c r="E38" s="1">
        <f>D38*5</f>
        <v/>
      </c>
      <c r="F38" s="33" t="n"/>
      <c r="G38" s="33" t="n"/>
      <c r="H38" s="33">
        <f>D38*15</f>
        <v/>
      </c>
      <c r="I38" s="33" t="n"/>
      <c r="J38" s="33" t="n"/>
      <c r="L38" s="33">
        <f>D38*35</f>
        <v/>
      </c>
    </row>
    <row r="39">
      <c r="A39" s="141" t="n"/>
      <c r="B39" s="189" t="inlineStr">
        <is>
          <t>DD-V-311-004_Nippon</t>
        </is>
      </c>
      <c r="C39" s="181" t="n">
        <v>0.3</v>
      </c>
      <c r="D39" s="181">
        <f>C39*9</f>
        <v/>
      </c>
      <c r="E39" s="1">
        <f>D39*5</f>
        <v/>
      </c>
      <c r="F39" s="33" t="n"/>
      <c r="G39" s="33" t="n"/>
      <c r="H39" s="33">
        <f>D39*15</f>
        <v/>
      </c>
      <c r="I39" s="33" t="n"/>
      <c r="J39" s="33" t="n"/>
      <c r="L39" s="33">
        <f>D39*35</f>
        <v/>
      </c>
    </row>
    <row r="40">
      <c r="A40" s="141" t="n"/>
      <c r="B40" s="189" t="inlineStr">
        <is>
          <t>DD-VEO-025-001</t>
        </is>
      </c>
      <c r="C40" s="181" t="n">
        <v>0.3</v>
      </c>
      <c r="D40" s="181">
        <f>C40*9</f>
        <v/>
      </c>
      <c r="E40" s="1">
        <f>D40*5</f>
        <v/>
      </c>
      <c r="F40" s="33" t="n"/>
      <c r="G40" s="33">
        <f>D40*15</f>
        <v/>
      </c>
      <c r="H40" s="33" t="n"/>
      <c r="I40" s="33" t="n"/>
      <c r="J40" s="33" t="n"/>
      <c r="L40" s="33">
        <f>D40*35</f>
        <v/>
      </c>
    </row>
    <row r="41">
      <c r="A41" s="141" t="n"/>
      <c r="B41" s="189" t="inlineStr">
        <is>
          <t>DD-V-292-032</t>
        </is>
      </c>
      <c r="C41" s="181" t="n">
        <v>0.3</v>
      </c>
      <c r="D41" s="181">
        <f>C41*9</f>
        <v/>
      </c>
      <c r="E41" s="1">
        <f>D41*5</f>
        <v/>
      </c>
      <c r="F41" s="33">
        <f>D41*15</f>
        <v/>
      </c>
      <c r="G41" s="33" t="n"/>
      <c r="H41" s="33" t="n"/>
      <c r="I41" s="33" t="n"/>
      <c r="J41" s="33" t="n"/>
      <c r="L41" s="33">
        <f>D41*35</f>
        <v/>
      </c>
    </row>
    <row r="42">
      <c r="A42" s="141" t="n"/>
      <c r="B42" s="189" t="inlineStr">
        <is>
          <t>DD-V-292-033</t>
        </is>
      </c>
      <c r="C42" s="181" t="n">
        <v>0.3</v>
      </c>
      <c r="D42" s="181">
        <f>C42*9</f>
        <v/>
      </c>
      <c r="E42" s="1">
        <f>D42*5</f>
        <v/>
      </c>
      <c r="F42" s="33">
        <f>D42*15</f>
        <v/>
      </c>
      <c r="G42" s="33" t="n"/>
      <c r="H42" s="33" t="n"/>
      <c r="I42" s="33" t="n"/>
      <c r="J42" s="33" t="n"/>
      <c r="L42" s="33">
        <f>D42*35</f>
        <v/>
      </c>
    </row>
    <row r="43">
      <c r="A43" s="141" t="n"/>
      <c r="B43" s="189" t="inlineStr">
        <is>
          <t>DD-V-126-045</t>
        </is>
      </c>
      <c r="C43" s="181" t="n">
        <v>0.3</v>
      </c>
      <c r="D43" s="181">
        <f>C43*9</f>
        <v/>
      </c>
      <c r="E43" s="1">
        <f>D43*5</f>
        <v/>
      </c>
      <c r="F43" s="33" t="n"/>
      <c r="G43" s="33">
        <f>D43*15</f>
        <v/>
      </c>
      <c r="H43" s="33" t="n"/>
      <c r="I43" s="33" t="n"/>
      <c r="J43" s="33" t="n"/>
      <c r="L43" s="33">
        <f>D43*35</f>
        <v/>
      </c>
    </row>
    <row r="44">
      <c r="A44" s="141" t="n"/>
      <c r="B44" s="189" t="inlineStr">
        <is>
          <t>DD-V-126-046</t>
        </is>
      </c>
      <c r="C44" s="181" t="n">
        <v>0.3</v>
      </c>
      <c r="D44" s="181">
        <f>C44*9</f>
        <v/>
      </c>
      <c r="E44" s="1">
        <f>D44*5</f>
        <v/>
      </c>
      <c r="F44" s="33" t="n"/>
      <c r="G44" s="33">
        <f>D44*15</f>
        <v/>
      </c>
      <c r="H44" s="33" t="n"/>
      <c r="I44" s="33" t="n"/>
      <c r="J44" s="33" t="n"/>
      <c r="L44" s="33">
        <f>D44*35</f>
        <v/>
      </c>
    </row>
    <row r="45">
      <c r="A45" s="141" t="n"/>
      <c r="B45" s="189" t="inlineStr">
        <is>
          <t>DD-VEO-026-001</t>
        </is>
      </c>
      <c r="C45" s="181" t="n">
        <v>0.3</v>
      </c>
      <c r="D45" s="181">
        <f>C45*9</f>
        <v/>
      </c>
      <c r="E45" s="1">
        <f>D45*5</f>
        <v/>
      </c>
      <c r="F45" s="33">
        <f>D45*15</f>
        <v/>
      </c>
      <c r="G45" s="33" t="n"/>
      <c r="H45" s="33" t="n"/>
      <c r="I45" s="33" t="n"/>
      <c r="J45" s="33" t="n"/>
      <c r="L45" s="33">
        <f>D45*35</f>
        <v/>
      </c>
    </row>
    <row r="46">
      <c r="A46" s="141" t="n"/>
      <c r="B46" s="189" t="inlineStr">
        <is>
          <t>DD-V-292-034</t>
        </is>
      </c>
      <c r="C46" s="181" t="n">
        <v>0.3</v>
      </c>
      <c r="D46" s="181">
        <f>C46*9</f>
        <v/>
      </c>
      <c r="E46" s="1">
        <f>D46*5</f>
        <v/>
      </c>
      <c r="F46" s="33">
        <f>D46*15</f>
        <v/>
      </c>
      <c r="G46" s="33" t="n"/>
      <c r="H46" s="33" t="n"/>
      <c r="I46" s="33" t="n"/>
      <c r="J46" s="33" t="n"/>
      <c r="L46" s="33">
        <f>D46*35</f>
        <v/>
      </c>
    </row>
    <row r="47">
      <c r="A47" s="118" t="inlineStr">
        <is>
          <t>total</t>
        </is>
      </c>
      <c r="B47" s="57" t="n"/>
      <c r="C47" s="11">
        <f>SUM(C4:C46)</f>
        <v/>
      </c>
      <c r="D47" s="11">
        <f>SUM(D4:D46)</f>
        <v/>
      </c>
      <c r="E47" s="59">
        <f>SUM(E4:E46)</f>
        <v/>
      </c>
      <c r="F47" s="59">
        <f>SUM(F4:F46)</f>
        <v/>
      </c>
      <c r="G47" s="59">
        <f>SUM(G4:G46)</f>
        <v/>
      </c>
      <c r="H47" s="59">
        <f>SUM(H4:H46)</f>
        <v/>
      </c>
      <c r="I47" s="59">
        <f>SUM(I4:I46)</f>
        <v/>
      </c>
      <c r="J47" s="59">
        <f>SUM(J4:J46)</f>
        <v/>
      </c>
      <c r="K47" s="59">
        <f>SUM(E47:J47)</f>
        <v/>
      </c>
      <c r="L47" s="60">
        <f>SUM(L4:L46)</f>
        <v/>
      </c>
      <c r="M47" s="39" t="n"/>
      <c r="N47" s="29" t="inlineStr">
        <is>
          <t>UAH</t>
        </is>
      </c>
      <c r="O47" s="16" t="inlineStr">
        <is>
          <t>USD</t>
        </is>
      </c>
    </row>
    <row r="48">
      <c r="E48" s="7">
        <f>E47*43.86</f>
        <v/>
      </c>
      <c r="F48" s="7">
        <f>F47*43.86</f>
        <v/>
      </c>
      <c r="G48" s="7">
        <f>G47*43.86</f>
        <v/>
      </c>
      <c r="H48" s="7">
        <f>H47*43.86</f>
        <v/>
      </c>
      <c r="I48" s="7">
        <f>I47*43.86</f>
        <v/>
      </c>
      <c r="J48" s="7">
        <f>J47*43.86</f>
        <v/>
      </c>
      <c r="K48" s="7">
        <f>K47*43.86</f>
        <v/>
      </c>
      <c r="L48" s="7">
        <f>L47*43.86</f>
        <v/>
      </c>
      <c r="M48" s="5" t="inlineStr">
        <is>
          <t>CLIENT IN</t>
        </is>
      </c>
      <c r="N48" s="7">
        <f>O48*40</f>
        <v/>
      </c>
      <c r="O48" s="8">
        <f>L47</f>
        <v/>
      </c>
      <c r="T48" s="4" t="n"/>
    </row>
    <row r="49">
      <c r="G49" s="33" t="n"/>
      <c r="H49" s="123" t="n"/>
      <c r="I49" s="123" t="n"/>
      <c r="J49" s="123" t="n"/>
      <c r="M49" s="5" t="inlineStr">
        <is>
          <t>STUDIO (TAX)</t>
        </is>
      </c>
      <c r="N49" s="7">
        <f>O49*40</f>
        <v/>
      </c>
      <c r="O49" s="8">
        <f>O48-O48*0.05</f>
        <v/>
      </c>
    </row>
    <row r="50">
      <c r="B50" s="1" t="n"/>
      <c r="E50" s="21" t="n"/>
      <c r="G50" s="33" t="n"/>
      <c r="M50" s="5" t="inlineStr">
        <is>
          <t>EMPL</t>
        </is>
      </c>
      <c r="N50" s="7">
        <f>O50*40</f>
        <v/>
      </c>
      <c r="O50" s="8">
        <f>K47</f>
        <v/>
      </c>
    </row>
    <row r="51">
      <c r="B51" s="1" t="n"/>
      <c r="M51" s="37" t="inlineStr">
        <is>
          <t>STUDIO</t>
        </is>
      </c>
      <c r="N51" s="7">
        <f>O51*40</f>
        <v/>
      </c>
      <c r="O51" s="8">
        <f>O49-O50</f>
        <v/>
      </c>
    </row>
    <row r="52">
      <c r="B52" s="1" t="n"/>
    </row>
    <row r="53">
      <c r="B53" s="169" t="n"/>
      <c r="C53" s="166" t="n"/>
      <c r="D53" s="176" t="n"/>
      <c r="I53" s="169" t="n"/>
      <c r="J53" s="169" t="n"/>
      <c r="K53" s="166" t="n"/>
      <c r="L53" s="176" t="n"/>
    </row>
    <row r="54">
      <c r="B54" s="169" t="n"/>
      <c r="C54" s="166" t="n"/>
      <c r="D54" s="176" t="n"/>
      <c r="I54" s="144" t="n"/>
      <c r="J54" s="144" t="n"/>
      <c r="K54" s="166" t="n"/>
      <c r="L54" s="176" t="n"/>
    </row>
    <row r="55">
      <c r="B55" s="169" t="n"/>
      <c r="C55" s="171" t="n"/>
      <c r="D55" s="176" t="n"/>
      <c r="G55" s="192" t="n"/>
      <c r="I55" s="167" t="n"/>
      <c r="J55" s="167" t="n"/>
      <c r="K55" s="166" t="n"/>
      <c r="L55" s="176" t="n"/>
    </row>
    <row r="56">
      <c r="B56" s="169" t="n"/>
      <c r="C56" s="192" t="n"/>
      <c r="D56" s="192" t="n"/>
      <c r="E56" s="192" t="n"/>
      <c r="F56" s="192" t="n"/>
      <c r="G56" s="192" t="n"/>
      <c r="I56" s="169" t="n"/>
      <c r="J56" s="169" t="n"/>
      <c r="K56" s="166" t="n"/>
      <c r="L56" s="176" t="n"/>
    </row>
    <row r="57">
      <c r="B57" s="176" t="n"/>
      <c r="C57" s="191" t="n"/>
      <c r="D57" s="191" t="n"/>
      <c r="E57" s="191" t="n"/>
      <c r="G57" s="192" t="n"/>
      <c r="I57" s="169" t="n"/>
      <c r="J57" s="169" t="n"/>
      <c r="K57" s="166" t="n"/>
      <c r="L57" s="176" t="n"/>
    </row>
    <row r="58">
      <c r="B58" s="169" t="n"/>
      <c r="C58" s="191" t="n"/>
      <c r="D58" s="191" t="n"/>
      <c r="E58" s="191" t="n"/>
      <c r="G58" s="192" t="n"/>
      <c r="I58" s="169" t="n"/>
      <c r="J58" s="169" t="n"/>
      <c r="K58" s="166" t="n"/>
      <c r="L58" s="176" t="n"/>
    </row>
    <row r="59">
      <c r="B59" s="169" t="n"/>
      <c r="C59" s="192" t="n"/>
      <c r="D59" s="192" t="n"/>
      <c r="E59" s="192" t="n"/>
      <c r="F59" s="192" t="n"/>
      <c r="G59" s="192" t="n"/>
      <c r="I59" s="169" t="n"/>
      <c r="J59" s="169" t="n"/>
      <c r="K59" s="166" t="n"/>
      <c r="L59" s="176" t="n"/>
    </row>
    <row r="60">
      <c r="B60" s="176" t="n"/>
      <c r="C60" s="191" t="n"/>
      <c r="D60" s="191" t="n"/>
      <c r="E60" s="191" t="n"/>
      <c r="G60" s="192" t="n"/>
      <c r="I60" s="169" t="n"/>
      <c r="J60" s="169" t="n"/>
      <c r="K60" s="171" t="n"/>
      <c r="L60" s="176" t="n"/>
    </row>
    <row r="61">
      <c r="C61" s="191" t="n"/>
      <c r="D61" s="191" t="n"/>
      <c r="E61" s="191" t="n"/>
      <c r="G61" s="192" t="n"/>
      <c r="I61" s="169" t="n"/>
      <c r="J61" s="169" t="n"/>
      <c r="K61" s="171" t="n"/>
      <c r="L61" s="176" t="n"/>
    </row>
    <row r="62">
      <c r="B62" s="169" t="n"/>
      <c r="C62" s="192" t="n"/>
      <c r="D62" s="192" t="n"/>
      <c r="E62" s="192" t="n"/>
      <c r="F62" s="192" t="n"/>
      <c r="G62" s="192" t="n"/>
      <c r="I62" s="169" t="n"/>
      <c r="J62" s="169" t="n"/>
      <c r="K62" s="171" t="n"/>
      <c r="L62" s="176" t="n"/>
    </row>
    <row r="63">
      <c r="B63" s="176" t="n"/>
      <c r="C63" s="191" t="n"/>
      <c r="D63" s="191" t="n"/>
      <c r="E63" s="191" t="n"/>
      <c r="G63" s="192" t="n"/>
      <c r="H63" s="21" t="n"/>
      <c r="I63" s="169" t="n"/>
      <c r="J63" s="169" t="n"/>
      <c r="K63" s="166" t="n"/>
      <c r="L63" s="176" t="n"/>
    </row>
    <row r="64">
      <c r="C64" s="191" t="n"/>
      <c r="D64" s="191" t="n"/>
      <c r="E64" s="191" t="n"/>
      <c r="G64" s="192" t="n"/>
    </row>
    <row r="65">
      <c r="B65" s="169" t="n"/>
      <c r="C65" s="192" t="n"/>
      <c r="D65" s="192" t="n"/>
      <c r="E65" s="192" t="n"/>
      <c r="F65" s="192" t="n"/>
      <c r="G65" s="192" t="n"/>
    </row>
    <row r="66">
      <c r="B66" s="176" t="n"/>
      <c r="C66" s="191" t="n"/>
      <c r="D66" s="191" t="n"/>
      <c r="E66" s="191" t="n"/>
      <c r="G66" s="192" t="n"/>
    </row>
    <row r="67">
      <c r="C67" s="191" t="n"/>
      <c r="D67" s="191" t="n"/>
      <c r="E67" s="191" t="n"/>
      <c r="G67" s="192" t="n"/>
    </row>
    <row r="68">
      <c r="B68" s="169" t="n"/>
      <c r="C68" s="192" t="n"/>
      <c r="D68" s="192" t="n"/>
      <c r="E68" s="192" t="n"/>
      <c r="F68" s="192" t="n"/>
      <c r="G68" s="192" t="n"/>
    </row>
    <row r="69">
      <c r="B69" s="176" t="n"/>
      <c r="C69" s="191" t="n"/>
      <c r="D69" s="191" t="n"/>
      <c r="E69" s="191" t="n"/>
      <c r="G69" s="192" t="n"/>
    </row>
    <row r="70">
      <c r="C70" s="191" t="n"/>
      <c r="D70" s="191" t="n"/>
      <c r="E70" s="191" t="n"/>
      <c r="G70" s="192" t="n"/>
    </row>
    <row r="71">
      <c r="C71" s="191" t="n"/>
      <c r="D71" s="191" t="n"/>
      <c r="E71" s="191" t="n"/>
      <c r="G71" s="192" t="n"/>
    </row>
    <row r="72">
      <c r="G72" s="192" t="n"/>
    </row>
    <row r="73">
      <c r="G73" s="192" t="n"/>
    </row>
    <row r="74">
      <c r="G74" s="192" t="n"/>
    </row>
  </sheetData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2"/>
  <sheetViews>
    <sheetView zoomScaleNormal="100" workbookViewId="0">
      <pane ySplit="2" topLeftCell="A3" activePane="bottomLeft" state="frozen"/>
      <selection pane="bottomLeft" activeCell="H24" sqref="H24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2"/>
    <col width="11.1640625" customWidth="1" style="1" min="13" max="13"/>
    <col width="13.1640625" customWidth="1" style="1" min="14" max="14"/>
    <col width="12.5" bestFit="1" customWidth="1" style="1" min="15" max="15"/>
    <col width="12" customWidth="1" style="1" min="16" max="16"/>
    <col width="11.1640625" customWidth="1" style="1" min="17" max="17"/>
    <col width="12.5" bestFit="1" customWidth="1" style="1" min="18" max="18"/>
    <col width="13" customWidth="1" style="1" min="19" max="19"/>
    <col width="10.83203125" customWidth="1" style="1" min="20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134" t="inlineStr">
        <is>
          <t>Настя</t>
        </is>
      </c>
      <c r="G2" s="134" t="inlineStr">
        <is>
          <t>Маша</t>
        </is>
      </c>
      <c r="H2" s="134" t="inlineStr">
        <is>
          <t>Сергій</t>
        </is>
      </c>
      <c r="I2" s="181" t="inlineStr">
        <is>
          <t>Аліна</t>
        </is>
      </c>
      <c r="J2" s="181" t="inlineStr">
        <is>
          <t>Олекса</t>
        </is>
      </c>
      <c r="K2" s="193" t="inlineStr">
        <is>
          <t>Андрій</t>
        </is>
      </c>
      <c r="L2" s="181" t="n"/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98" t="inlineStr">
        <is>
          <t>EMPL 1</t>
        </is>
      </c>
      <c r="G3" s="110" t="inlineStr">
        <is>
          <t>EMPL 2</t>
        </is>
      </c>
      <c r="H3" s="110" t="inlineStr">
        <is>
          <t>EMPL 3</t>
        </is>
      </c>
      <c r="I3" s="98" t="inlineStr">
        <is>
          <t>EMPL 4</t>
        </is>
      </c>
      <c r="J3" s="98" t="inlineStr">
        <is>
          <t>EMPL 5</t>
        </is>
      </c>
      <c r="K3" s="184" t="inlineStr">
        <is>
          <t>EMPL 6</t>
        </is>
      </c>
      <c r="L3" s="184" t="inlineStr">
        <is>
          <t>EMPL 7</t>
        </is>
      </c>
      <c r="M3" s="31" t="inlineStr">
        <is>
          <t>Total EMPL</t>
        </is>
      </c>
      <c r="N3" s="39" t="inlineStr">
        <is>
          <t>STUDIO</t>
        </is>
      </c>
    </row>
    <row r="4">
      <c r="A4" s="141" t="n"/>
      <c r="B4" s="185" t="inlineStr">
        <is>
          <t>DX-V-098-002</t>
        </is>
      </c>
      <c r="C4" s="181" t="n">
        <v>0.5</v>
      </c>
      <c r="D4" s="181" t="n">
        <v>4.5</v>
      </c>
      <c r="E4" s="1">
        <f>D4*5</f>
        <v/>
      </c>
      <c r="F4" s="33" t="n"/>
      <c r="G4" s="33" t="n"/>
      <c r="H4" s="33">
        <f>D4*15</f>
        <v/>
      </c>
      <c r="I4" s="33" t="n"/>
      <c r="J4" s="33" t="n"/>
      <c r="L4" s="33" t="n"/>
      <c r="N4" s="33">
        <f>D4*40</f>
        <v/>
      </c>
      <c r="S4" s="33" t="n"/>
    </row>
    <row r="5" ht="25" customHeight="1">
      <c r="A5" s="125" t="inlineStr">
        <is>
          <t>DD</t>
        </is>
      </c>
      <c r="B5" s="125" t="inlineStr">
        <is>
          <t>MGX</t>
        </is>
      </c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</row>
    <row r="6">
      <c r="A6" s="141" t="n"/>
      <c r="B6" s="185" t="inlineStr">
        <is>
          <t>DD-V-255-004</t>
        </is>
      </c>
      <c r="C6" s="181" t="n">
        <v>0.3</v>
      </c>
      <c r="D6" s="181">
        <f>C6*9</f>
        <v/>
      </c>
      <c r="E6" s="1">
        <f>D6*5</f>
        <v/>
      </c>
      <c r="F6" s="33" t="n"/>
      <c r="G6" s="33">
        <f>D6*12</f>
        <v/>
      </c>
      <c r="H6" s="33" t="n"/>
      <c r="I6" s="33" t="n"/>
      <c r="J6" s="33" t="n"/>
      <c r="K6" s="33" t="n"/>
      <c r="L6" s="33" t="n"/>
      <c r="N6" s="33">
        <f>D6*35</f>
        <v/>
      </c>
    </row>
    <row r="7">
      <c r="A7" s="141" t="n"/>
      <c r="B7" s="185" t="inlineStr">
        <is>
          <t>DD-V-223-052_FirstPlace_TPIR_EN</t>
        </is>
      </c>
      <c r="C7" s="181" t="n">
        <v>0.4</v>
      </c>
      <c r="D7" s="181">
        <f>C7*9</f>
        <v/>
      </c>
      <c r="E7" s="1">
        <f>D7*5</f>
        <v/>
      </c>
      <c r="F7" s="33" t="n"/>
      <c r="G7" s="33" t="n"/>
      <c r="H7" s="33">
        <f>D7*15</f>
        <v/>
      </c>
      <c r="I7" s="33" t="n"/>
      <c r="J7" s="33" t="n"/>
      <c r="K7" s="33" t="n"/>
      <c r="L7" s="33" t="n"/>
      <c r="N7" s="33">
        <f>D7*35</f>
        <v/>
      </c>
    </row>
    <row r="8">
      <c r="A8" s="141" t="n"/>
      <c r="B8" s="188" t="inlineStr">
        <is>
          <t>DD-V-306-001</t>
        </is>
      </c>
      <c r="C8" s="181" t="n">
        <v>0.3</v>
      </c>
      <c r="D8" s="181">
        <f>C8*9</f>
        <v/>
      </c>
      <c r="E8" s="1">
        <f>D8*5</f>
        <v/>
      </c>
      <c r="F8" s="33" t="n"/>
      <c r="H8" s="33" t="n"/>
      <c r="I8" s="33" t="n"/>
      <c r="J8" s="33" t="n"/>
      <c r="K8" s="33">
        <f>D8*15</f>
        <v/>
      </c>
      <c r="L8" s="33" t="n"/>
      <c r="N8" s="33">
        <f>D8*35</f>
        <v/>
      </c>
    </row>
    <row r="9">
      <c r="A9" s="141" t="n"/>
      <c r="B9" s="188" t="inlineStr">
        <is>
          <t>DD-H-256-003</t>
        </is>
      </c>
      <c r="C9" s="181" t="n">
        <v>0.3</v>
      </c>
      <c r="D9" s="181">
        <f>C9*9</f>
        <v/>
      </c>
      <c r="E9" s="1">
        <f>D9*5</f>
        <v/>
      </c>
      <c r="F9" s="33">
        <f>D9*15</f>
        <v/>
      </c>
      <c r="G9" s="33" t="n"/>
      <c r="I9" s="33" t="n"/>
      <c r="J9" s="33" t="n"/>
      <c r="K9" s="33" t="n"/>
      <c r="L9" s="33" t="n"/>
      <c r="N9" s="33">
        <f>D9*35</f>
        <v/>
      </c>
    </row>
    <row r="10">
      <c r="A10" s="141" t="n"/>
      <c r="B10" s="189" t="inlineStr">
        <is>
          <t>DD-P-028-001</t>
        </is>
      </c>
      <c r="C10" s="181" t="n">
        <v>2.5</v>
      </c>
      <c r="D10" s="181">
        <f>C10*9</f>
        <v/>
      </c>
      <c r="E10" s="1">
        <f>D10*5</f>
        <v/>
      </c>
      <c r="F10" s="33" t="n"/>
      <c r="G10" s="33" t="n"/>
      <c r="H10" s="33">
        <f>D10*15</f>
        <v/>
      </c>
      <c r="I10" s="33" t="n"/>
      <c r="J10" s="33" t="n"/>
      <c r="K10" s="33" t="n"/>
      <c r="L10" s="33" t="n"/>
      <c r="N10" s="33">
        <f>D10*35</f>
        <v/>
      </c>
    </row>
    <row r="11">
      <c r="A11" s="141" t="n"/>
      <c r="B11" s="189" t="inlineStr">
        <is>
          <t>DD-VEO-017-001</t>
        </is>
      </c>
      <c r="C11" s="181" t="n">
        <v>0.5</v>
      </c>
      <c r="D11" s="181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J11" s="33" t="n"/>
      <c r="K11" s="33" t="n"/>
      <c r="L11" s="33" t="n"/>
      <c r="N11" s="33">
        <f>D11*35</f>
        <v/>
      </c>
    </row>
    <row r="12">
      <c r="A12" s="141" t="n"/>
      <c r="B12" s="188" t="inlineStr">
        <is>
          <t>DD-VEO-018-001</t>
        </is>
      </c>
      <c r="C12" s="181" t="n">
        <v>0.5</v>
      </c>
      <c r="D12" s="181">
        <f>C12*9</f>
        <v/>
      </c>
      <c r="E12" s="1">
        <f>D12*5</f>
        <v/>
      </c>
      <c r="F12" s="33">
        <f>D12*15</f>
        <v/>
      </c>
      <c r="G12" s="33" t="n"/>
      <c r="H12" s="33" t="n"/>
      <c r="I12" s="33" t="n"/>
      <c r="J12" s="33" t="n"/>
      <c r="K12" s="33" t="n"/>
      <c r="L12" s="33" t="n"/>
      <c r="N12" s="33">
        <f>D12*35</f>
        <v/>
      </c>
    </row>
    <row r="13">
      <c r="A13" s="141" t="n"/>
      <c r="B13" s="189" t="inlineStr">
        <is>
          <t>DD-VEO-019-001</t>
        </is>
      </c>
      <c r="C13" s="181" t="n">
        <v>0.5</v>
      </c>
      <c r="D13" s="181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J13" s="33" t="n"/>
      <c r="K13" s="33" t="n"/>
      <c r="L13" s="33" t="n"/>
      <c r="N13" s="33">
        <f>D13*35</f>
        <v/>
      </c>
    </row>
    <row r="14">
      <c r="A14" s="141" t="n"/>
      <c r="B14" s="189" t="inlineStr">
        <is>
          <t>DD-VEO-020-001</t>
        </is>
      </c>
      <c r="C14" s="181" t="n">
        <v>0.5</v>
      </c>
      <c r="D14" s="181">
        <f>C14*9</f>
        <v/>
      </c>
      <c r="E14" s="1">
        <f>D14*5</f>
        <v/>
      </c>
      <c r="F14" s="33" t="n"/>
      <c r="G14" s="33" t="n"/>
      <c r="H14" s="33" t="n"/>
      <c r="I14" s="33">
        <f>D14*15</f>
        <v/>
      </c>
      <c r="J14" s="33" t="n"/>
      <c r="K14" s="33" t="n"/>
      <c r="L14" s="33" t="n"/>
      <c r="N14" s="33">
        <f>D14*35</f>
        <v/>
      </c>
    </row>
    <row r="15">
      <c r="A15" s="141" t="n"/>
      <c r="B15" s="189" t="inlineStr">
        <is>
          <t>DD-V-292_WheelOfFortune_Bombs</t>
        </is>
      </c>
      <c r="C15" s="181" t="n">
        <v>1.5</v>
      </c>
      <c r="D15" s="181">
        <f>C15*9</f>
        <v/>
      </c>
      <c r="E15" s="1">
        <f>D15*5</f>
        <v/>
      </c>
      <c r="F15" s="33" t="n"/>
      <c r="G15" s="33" t="n"/>
      <c r="H15" s="33">
        <f>D15*15</f>
        <v/>
      </c>
      <c r="I15" s="33" t="n"/>
      <c r="J15" s="33" t="n"/>
      <c r="K15" s="33" t="n"/>
      <c r="L15" s="33" t="n"/>
      <c r="N15" s="33">
        <f>D15*35</f>
        <v/>
      </c>
    </row>
    <row r="16">
      <c r="A16" s="141" t="n"/>
      <c r="B16" s="189" t="inlineStr">
        <is>
          <t xml:space="preserve">DD PT-BR CTA Change </t>
        </is>
      </c>
      <c r="C16" s="181" t="n">
        <v>0.5</v>
      </c>
      <c r="D16" s="181">
        <f>C16*9</f>
        <v/>
      </c>
      <c r="E16" s="1">
        <f>D16*5</f>
        <v/>
      </c>
      <c r="F16" s="33" t="n"/>
      <c r="G16" s="33" t="n"/>
      <c r="H16" s="33">
        <f>D16*15</f>
        <v/>
      </c>
      <c r="I16" s="33" t="n"/>
      <c r="J16" s="33" t="n"/>
      <c r="K16" s="33" t="n"/>
      <c r="L16" s="33" t="n"/>
      <c r="N16" s="33">
        <f>D16*35</f>
        <v/>
      </c>
    </row>
    <row r="17">
      <c r="A17" s="118" t="inlineStr">
        <is>
          <t>total</t>
        </is>
      </c>
      <c r="B17" s="57" t="n"/>
      <c r="C17" s="11">
        <f>SUM(C4:C16)</f>
        <v/>
      </c>
      <c r="D17" s="11">
        <f>SUM(D4:D16)</f>
        <v/>
      </c>
      <c r="E17" s="59">
        <f>SUM(E4:E16)</f>
        <v/>
      </c>
      <c r="F17" s="59">
        <f>SUM(F4:F16)</f>
        <v/>
      </c>
      <c r="G17" s="59">
        <f>SUM(G4:G16)</f>
        <v/>
      </c>
      <c r="H17" s="59">
        <f>SUM(H4:H16)</f>
        <v/>
      </c>
      <c r="I17" s="59">
        <f>SUM(I4:I16)</f>
        <v/>
      </c>
      <c r="J17" s="59">
        <f>SUM(J4:J16)</f>
        <v/>
      </c>
      <c r="K17" s="59">
        <f>SUM(K4:K16)</f>
        <v/>
      </c>
      <c r="L17" s="59">
        <f>SUM(L4:L16)</f>
        <v/>
      </c>
      <c r="M17" s="59">
        <f>SUM(E17:I17)</f>
        <v/>
      </c>
      <c r="N17" s="60">
        <f>SUM(N4:N16)</f>
        <v/>
      </c>
      <c r="O17" s="39" t="n"/>
      <c r="P17" s="29" t="inlineStr">
        <is>
          <t>UAH</t>
        </is>
      </c>
      <c r="Q17" s="16" t="inlineStr">
        <is>
          <t>USD</t>
        </is>
      </c>
    </row>
    <row r="18">
      <c r="E18" s="142">
        <f>E17*43.9</f>
        <v/>
      </c>
      <c r="F18" s="142">
        <f>F17*43</f>
        <v/>
      </c>
      <c r="G18" s="142">
        <f>G17*43</f>
        <v/>
      </c>
      <c r="H18" s="142">
        <f>H17*43</f>
        <v/>
      </c>
      <c r="I18" s="142">
        <f>I17*43</f>
        <v/>
      </c>
      <c r="J18" s="7">
        <f>J17*41.3</f>
        <v/>
      </c>
      <c r="K18" s="7">
        <f>K17*43</f>
        <v/>
      </c>
      <c r="L18" s="7">
        <f>L17*42</f>
        <v/>
      </c>
      <c r="M18" s="7">
        <f>M17*40</f>
        <v/>
      </c>
      <c r="N18" s="7">
        <f>N17*40</f>
        <v/>
      </c>
      <c r="O18" s="5" t="inlineStr">
        <is>
          <t>CLIENT IN</t>
        </is>
      </c>
      <c r="P18" s="7">
        <f>Q18*40</f>
        <v/>
      </c>
      <c r="Q18" s="8">
        <f>N17</f>
        <v/>
      </c>
      <c r="V18" s="4" t="n"/>
    </row>
    <row r="19">
      <c r="G19" s="33" t="n"/>
      <c r="H19" s="123" t="n"/>
      <c r="I19" s="123" t="n"/>
      <c r="J19" s="123" t="n"/>
      <c r="K19" s="123" t="n"/>
      <c r="L19" s="123" t="n"/>
      <c r="O19" s="5" t="inlineStr">
        <is>
          <t>STUDIO (TAX)</t>
        </is>
      </c>
      <c r="P19" s="7">
        <f>Q19*40</f>
        <v/>
      </c>
      <c r="Q19" s="8">
        <f>Q18-Q18*0.05</f>
        <v/>
      </c>
    </row>
    <row r="20">
      <c r="B20" s="1" t="n"/>
      <c r="E20" s="21" t="n"/>
      <c r="G20" s="33" t="n"/>
      <c r="O20" s="5" t="inlineStr">
        <is>
          <t>EMPL</t>
        </is>
      </c>
      <c r="P20" s="7">
        <f>Q20*40</f>
        <v/>
      </c>
      <c r="Q20" s="8">
        <f>M17</f>
        <v/>
      </c>
    </row>
    <row r="21">
      <c r="B21" s="1" t="n"/>
      <c r="O21" s="37" t="inlineStr">
        <is>
          <t>STUDIO</t>
        </is>
      </c>
      <c r="P21" s="7">
        <f>Q21*40</f>
        <v/>
      </c>
      <c r="Q21" s="8">
        <f>Q19-Q20</f>
        <v/>
      </c>
    </row>
    <row r="22">
      <c r="B22" s="1" t="n"/>
    </row>
    <row r="23">
      <c r="B23" s="169" t="n"/>
      <c r="C23" s="166" t="n"/>
      <c r="D23" s="176" t="n"/>
      <c r="I23" s="169" t="n"/>
      <c r="J23" s="169" t="n"/>
      <c r="K23" s="169" t="n"/>
      <c r="L23" s="169" t="n"/>
      <c r="M23" s="166" t="n"/>
      <c r="N23" s="176" t="n"/>
    </row>
    <row r="24">
      <c r="B24" s="169" t="n"/>
      <c r="C24" s="166" t="n"/>
      <c r="D24" s="176" t="n"/>
      <c r="I24" s="144" t="n"/>
      <c r="J24" s="144" t="n"/>
      <c r="K24" s="144" t="n"/>
      <c r="L24" s="144" t="n"/>
      <c r="M24" s="166" t="n"/>
      <c r="N24" s="176" t="n"/>
    </row>
    <row r="25">
      <c r="B25" s="169" t="n"/>
      <c r="C25" s="171" t="n"/>
      <c r="D25" s="176" t="n"/>
      <c r="G25" s="192" t="n"/>
      <c r="I25" s="167" t="n"/>
      <c r="J25" s="167" t="n"/>
      <c r="K25" s="167" t="n"/>
      <c r="L25" s="167" t="n"/>
      <c r="M25" s="166" t="n"/>
      <c r="N25" s="176" t="n"/>
    </row>
    <row r="26">
      <c r="B26" s="169" t="n"/>
      <c r="C26" s="192" t="n"/>
      <c r="D26" s="192" t="n"/>
      <c r="E26" s="192" t="n"/>
      <c r="F26" s="192" t="n"/>
      <c r="G26" s="192" t="n"/>
      <c r="I26" s="169" t="n"/>
      <c r="J26" s="169" t="n"/>
      <c r="K26" s="169" t="n"/>
      <c r="L26" s="169" t="n"/>
      <c r="M26" s="166" t="n"/>
      <c r="N26" s="176" t="n"/>
    </row>
    <row r="27">
      <c r="B27" s="176" t="n"/>
      <c r="C27" s="191" t="n"/>
      <c r="D27" s="191" t="n"/>
      <c r="E27" s="191" t="n"/>
      <c r="G27" s="192" t="n"/>
      <c r="I27" s="169" t="n"/>
      <c r="J27" s="169" t="n"/>
      <c r="K27" s="169" t="n"/>
      <c r="L27" s="169" t="n"/>
      <c r="M27" s="166" t="n"/>
      <c r="N27" s="176" t="n"/>
    </row>
    <row r="28">
      <c r="B28" s="169" t="n"/>
      <c r="C28" s="191" t="n"/>
      <c r="D28" s="191" t="n"/>
      <c r="E28" s="191" t="n"/>
      <c r="G28" s="192" t="n"/>
      <c r="I28" s="169" t="n"/>
      <c r="J28" s="169" t="n"/>
      <c r="K28" s="169" t="n"/>
      <c r="L28" s="169" t="n"/>
      <c r="M28" s="166" t="n"/>
      <c r="N28" s="176" t="n"/>
    </row>
    <row r="29">
      <c r="B29" s="169" t="n"/>
      <c r="C29" s="192" t="n"/>
      <c r="D29" s="192" t="n"/>
      <c r="E29" s="192" t="n"/>
      <c r="F29" s="192" t="n"/>
      <c r="G29" s="192" t="n"/>
      <c r="I29" s="169" t="n"/>
      <c r="J29" s="169" t="n"/>
      <c r="K29" s="169" t="n"/>
      <c r="L29" s="169" t="n"/>
      <c r="M29" s="166" t="n"/>
      <c r="N29" s="176" t="n"/>
    </row>
    <row r="30">
      <c r="B30" s="176" t="n"/>
      <c r="C30" s="191" t="n"/>
      <c r="D30" s="191" t="n"/>
      <c r="E30" s="191" t="n"/>
      <c r="F30" s="192" t="n"/>
      <c r="G30" s="192" t="n"/>
      <c r="I30" s="169" t="n"/>
      <c r="J30" s="169" t="n"/>
      <c r="K30" s="169" t="n"/>
      <c r="L30" s="169" t="n"/>
      <c r="M30" s="171" t="n"/>
      <c r="N30" s="176" t="n"/>
    </row>
    <row r="31">
      <c r="C31" s="191" t="n"/>
      <c r="D31" s="191" t="n"/>
      <c r="E31" s="191" t="n"/>
      <c r="G31" s="192" t="n"/>
      <c r="I31" s="169" t="n"/>
      <c r="J31" s="169" t="n"/>
      <c r="K31" s="169" t="n"/>
      <c r="L31" s="169" t="n"/>
      <c r="M31" s="171" t="n"/>
      <c r="N31" s="176" t="n"/>
    </row>
    <row r="32">
      <c r="B32" s="169" t="n"/>
      <c r="C32" s="192" t="n"/>
      <c r="D32" s="192" t="n"/>
      <c r="E32" s="192" t="n"/>
      <c r="F32" s="192" t="n"/>
      <c r="G32" s="192" t="n"/>
      <c r="I32" s="169" t="n"/>
      <c r="J32" s="169" t="n"/>
      <c r="K32" s="169" t="n"/>
      <c r="L32" s="169" t="n"/>
      <c r="M32" s="171" t="n"/>
      <c r="N32" s="176" t="n"/>
    </row>
    <row r="33">
      <c r="B33" s="176" t="n"/>
      <c r="C33" s="191" t="n"/>
      <c r="D33" s="191" t="n"/>
      <c r="E33" s="191" t="n"/>
      <c r="G33" s="192" t="n"/>
      <c r="H33" s="21" t="n"/>
      <c r="I33" s="169" t="n"/>
      <c r="J33" s="169" t="n"/>
      <c r="K33" s="169" t="n"/>
      <c r="L33" s="169" t="n"/>
      <c r="M33" s="166" t="n"/>
      <c r="N33" s="176" t="n"/>
    </row>
    <row r="34">
      <c r="C34" s="191" t="n"/>
      <c r="D34" s="191" t="n"/>
      <c r="E34" s="191" t="n"/>
      <c r="G34" s="192" t="n"/>
    </row>
    <row r="35">
      <c r="B35" s="169" t="n"/>
      <c r="C35" s="192" t="n"/>
      <c r="D35" s="192" t="n"/>
      <c r="E35" s="192" t="n"/>
      <c r="F35" s="192" t="n"/>
      <c r="G35" s="192" t="n"/>
    </row>
    <row r="36">
      <c r="B36" s="176" t="n"/>
      <c r="C36" s="191" t="n"/>
      <c r="D36" s="191" t="n"/>
      <c r="E36" s="191" t="n"/>
      <c r="G36" s="192" t="n"/>
    </row>
    <row r="37">
      <c r="C37" s="191" t="n"/>
      <c r="D37" s="191" t="n"/>
      <c r="E37" s="191" t="n"/>
      <c r="G37" s="192" t="n"/>
    </row>
    <row r="38">
      <c r="B38" s="169" t="n"/>
      <c r="C38" s="192" t="n"/>
      <c r="D38" s="192" t="n"/>
      <c r="E38" s="192" t="n"/>
      <c r="F38" s="192" t="n"/>
      <c r="G38" s="192" t="n"/>
    </row>
    <row r="39">
      <c r="B39" s="176" t="n"/>
      <c r="C39" s="191" t="n"/>
      <c r="D39" s="191" t="n"/>
      <c r="E39" s="191" t="n"/>
      <c r="G39" s="192" t="n"/>
    </row>
    <row r="40">
      <c r="C40" s="191" t="n"/>
      <c r="D40" s="191" t="n"/>
      <c r="E40" s="191" t="n"/>
      <c r="G40" s="192" t="n"/>
    </row>
    <row r="41">
      <c r="C41" s="191" t="n"/>
      <c r="D41" s="191" t="n"/>
      <c r="E41" s="191" t="n"/>
      <c r="G41" s="192" t="n"/>
    </row>
    <row r="42">
      <c r="G42" s="192" t="n"/>
    </row>
  </sheetData>
  <pageMargins left="0.7" right="0.7" top="0.75" bottom="0.75" header="0.3" footer="0.3"/>
  <pageSetup orientation="portrait" paperSize="9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82"/>
  <sheetViews>
    <sheetView zoomScaleNormal="100" workbookViewId="0">
      <pane ySplit="2" topLeftCell="A3" activePane="bottomLeft" state="frozen"/>
      <selection pane="bottomLeft" activeCell="K78" sqref="K78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12"/>
    <col width="11.1640625" customWidth="1" style="1" min="13" max="13"/>
    <col width="13.1640625" customWidth="1" style="1" min="14" max="14"/>
    <col width="12.5" bestFit="1" customWidth="1" style="1" min="15" max="15"/>
    <col width="12" customWidth="1" style="1" min="16" max="16"/>
    <col width="11.1640625" customWidth="1" style="1" min="17" max="17"/>
    <col width="12.5" bestFit="1" customWidth="1" style="1" min="18" max="18"/>
    <col width="13" customWidth="1" style="1" min="19" max="19"/>
    <col width="10.83203125" customWidth="1" style="1" min="20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  <c r="J2" s="181" t="inlineStr">
        <is>
          <t>Іра</t>
        </is>
      </c>
      <c r="K2" s="181" t="inlineStr">
        <is>
          <t>Аліна</t>
        </is>
      </c>
      <c r="L2" s="181" t="inlineStr">
        <is>
          <t>Олекса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98" t="inlineStr">
        <is>
          <t>EMPL 1</t>
        </is>
      </c>
      <c r="G3" s="110" t="inlineStr">
        <is>
          <t>EMPL 2</t>
        </is>
      </c>
      <c r="H3" s="110" t="inlineStr">
        <is>
          <t>EMPL 3</t>
        </is>
      </c>
      <c r="I3" s="98" t="inlineStr">
        <is>
          <t>EMPL 4</t>
        </is>
      </c>
      <c r="J3" s="98" t="inlineStr">
        <is>
          <t>EMPL 5</t>
        </is>
      </c>
      <c r="K3" s="184" t="inlineStr">
        <is>
          <t>EMPL 6</t>
        </is>
      </c>
      <c r="L3" s="184" t="inlineStr">
        <is>
          <t>EMPL 7</t>
        </is>
      </c>
      <c r="M3" s="31" t="inlineStr">
        <is>
          <t>Total EMPL</t>
        </is>
      </c>
      <c r="N3" s="39" t="inlineStr">
        <is>
          <t>STUDIO</t>
        </is>
      </c>
    </row>
    <row r="4">
      <c r="A4" s="141" t="n"/>
      <c r="B4" s="185" t="inlineStr">
        <is>
          <t>DX-V-119-012</t>
        </is>
      </c>
      <c r="C4" s="181" t="n">
        <v>0.3</v>
      </c>
      <c r="D4" s="181">
        <f>C4*9</f>
        <v/>
      </c>
      <c r="E4" s="1">
        <f>D4*5</f>
        <v/>
      </c>
      <c r="G4" s="33">
        <f>D4*12</f>
        <v/>
      </c>
      <c r="H4" s="33" t="n"/>
      <c r="I4" s="33" t="n"/>
      <c r="J4" s="33" t="n"/>
      <c r="K4" s="33" t="n"/>
      <c r="L4" s="33" t="n"/>
      <c r="N4" s="33">
        <f>D4*40</f>
        <v/>
      </c>
      <c r="S4" s="33" t="n"/>
    </row>
    <row r="5">
      <c r="A5" s="141" t="n"/>
      <c r="B5" s="185" t="inlineStr">
        <is>
          <t>DX-V-119-003</t>
        </is>
      </c>
      <c r="C5" s="181" t="n">
        <v>0.3</v>
      </c>
      <c r="D5" s="181">
        <f>C5*9</f>
        <v/>
      </c>
      <c r="E5" s="1">
        <f>D5*5</f>
        <v/>
      </c>
      <c r="G5" s="33">
        <f>D5*12</f>
        <v/>
      </c>
      <c r="H5" s="33" t="n"/>
      <c r="I5" s="33" t="n"/>
      <c r="J5" s="33" t="n"/>
      <c r="K5" s="33" t="n"/>
      <c r="L5" s="33" t="n"/>
      <c r="N5" s="33">
        <f>D5*40</f>
        <v/>
      </c>
      <c r="S5" s="33" t="n"/>
    </row>
    <row r="6">
      <c r="A6" s="140" t="n"/>
      <c r="B6" s="185" t="inlineStr">
        <is>
          <t>DX-V-127-003</t>
        </is>
      </c>
      <c r="C6" s="181" t="n">
        <v>1</v>
      </c>
      <c r="D6" s="181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J6" s="33" t="n"/>
      <c r="K6" s="33" t="n"/>
      <c r="L6" s="33" t="n"/>
      <c r="N6" s="33">
        <f>D6*40</f>
        <v/>
      </c>
      <c r="S6" s="33" t="n"/>
    </row>
    <row r="7">
      <c r="A7" s="141" t="n"/>
      <c r="B7" s="185" t="inlineStr">
        <is>
          <t>DX-V-107-013</t>
        </is>
      </c>
      <c r="C7" s="181" t="n">
        <v>1</v>
      </c>
      <c r="D7" s="18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J7" s="33" t="n"/>
      <c r="K7" s="33" t="n"/>
      <c r="L7" s="33" t="n"/>
      <c r="N7" s="33">
        <f>D7*40</f>
        <v/>
      </c>
      <c r="S7" s="33" t="n"/>
    </row>
    <row r="8">
      <c r="A8" s="141" t="n"/>
      <c r="B8" s="185" t="inlineStr">
        <is>
          <t>DX-V-115-004</t>
        </is>
      </c>
      <c r="C8" s="181" t="n">
        <v>1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J8" s="33" t="n"/>
      <c r="K8" s="33" t="n"/>
      <c r="L8" s="33" t="n"/>
      <c r="N8" s="33">
        <f>D8*40</f>
        <v/>
      </c>
      <c r="S8" s="33" t="n"/>
    </row>
    <row r="9">
      <c r="A9" s="140" t="n"/>
      <c r="B9" s="185" t="inlineStr">
        <is>
          <t>DX-V-116-003</t>
        </is>
      </c>
      <c r="C9" s="181" t="n">
        <v>1</v>
      </c>
      <c r="D9" s="181">
        <f>C9*9</f>
        <v/>
      </c>
      <c r="E9" s="1">
        <f>D9*5</f>
        <v/>
      </c>
      <c r="F9" s="33" t="n"/>
      <c r="G9" s="33" t="n"/>
      <c r="H9" s="33" t="n"/>
      <c r="I9" s="33">
        <f>D9*15</f>
        <v/>
      </c>
      <c r="J9" s="33" t="n"/>
      <c r="K9" s="33" t="n"/>
      <c r="L9" s="33" t="n"/>
      <c r="N9" s="33">
        <f>D9*40</f>
        <v/>
      </c>
      <c r="S9" s="33" t="n"/>
    </row>
    <row r="10">
      <c r="A10" s="140" t="n"/>
      <c r="B10" s="185" t="inlineStr">
        <is>
          <t>DX-V-116-004</t>
        </is>
      </c>
      <c r="C10" s="181" t="n">
        <v>1</v>
      </c>
      <c r="D10" s="181">
        <f>C10*9</f>
        <v/>
      </c>
      <c r="E10" s="1">
        <f>D10*5</f>
        <v/>
      </c>
      <c r="F10" s="33" t="n"/>
      <c r="G10" s="33" t="n"/>
      <c r="H10" s="33" t="n"/>
      <c r="I10" s="33">
        <f>D10*15</f>
        <v/>
      </c>
      <c r="J10" s="33" t="n"/>
      <c r="K10" s="33" t="n"/>
      <c r="L10" s="33" t="n"/>
      <c r="N10" s="33">
        <f>D10*40</f>
        <v/>
      </c>
      <c r="S10" s="33" t="n"/>
    </row>
    <row r="11">
      <c r="A11" s="140" t="n"/>
      <c r="B11" s="185" t="inlineStr">
        <is>
          <t>DX-V-127-002</t>
        </is>
      </c>
      <c r="C11" s="181" t="n">
        <v>1</v>
      </c>
      <c r="D11" s="181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J11" s="33" t="n"/>
      <c r="K11" s="33" t="n"/>
      <c r="L11" s="33" t="n"/>
      <c r="N11" s="33">
        <f>D11*40</f>
        <v/>
      </c>
      <c r="S11" s="33" t="n"/>
    </row>
    <row r="12">
      <c r="A12" s="141" t="n"/>
      <c r="B12" s="185" t="inlineStr">
        <is>
          <t>DX-V-128-001</t>
        </is>
      </c>
      <c r="C12" s="181" t="n">
        <v>1</v>
      </c>
      <c r="D12" s="181">
        <f>C12*9</f>
        <v/>
      </c>
      <c r="E12" s="1">
        <f>D12*5</f>
        <v/>
      </c>
      <c r="F12" s="33">
        <f>D12*15</f>
        <v/>
      </c>
      <c r="G12" s="33" t="n"/>
      <c r="H12" s="33" t="n"/>
      <c r="I12" s="33" t="n"/>
      <c r="J12" s="33" t="n"/>
      <c r="K12" s="33" t="n"/>
      <c r="L12" s="33" t="n"/>
      <c r="N12" s="33">
        <f>D12*40</f>
        <v/>
      </c>
      <c r="S12" s="33" t="n"/>
    </row>
    <row r="13">
      <c r="A13" s="141" t="n"/>
      <c r="B13" s="185" t="inlineStr">
        <is>
          <t>DX-V-134-001</t>
        </is>
      </c>
      <c r="C13" s="181" t="n">
        <v>1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J13" s="33" t="n"/>
      <c r="K13" s="33" t="n"/>
      <c r="L13" s="33" t="n"/>
      <c r="N13" s="33">
        <f>D13*40</f>
        <v/>
      </c>
      <c r="S13" s="33" t="n"/>
    </row>
    <row r="14">
      <c r="A14" s="140" t="n"/>
      <c r="B14" s="185" t="inlineStr">
        <is>
          <t>DX-V-134-002</t>
        </is>
      </c>
      <c r="C14" s="181" t="n">
        <v>2.3</v>
      </c>
      <c r="D14" s="181">
        <f>C14*9</f>
        <v/>
      </c>
      <c r="E14" s="1">
        <f>D14*5</f>
        <v/>
      </c>
      <c r="F14" s="33" t="n"/>
      <c r="G14" s="33" t="n"/>
      <c r="H14" s="33">
        <f>D14*15</f>
        <v/>
      </c>
      <c r="I14" s="33" t="n"/>
      <c r="J14" s="33" t="n"/>
      <c r="K14" s="33" t="n"/>
      <c r="L14" s="33" t="n"/>
      <c r="N14" s="33">
        <f>D14*40</f>
        <v/>
      </c>
      <c r="S14" s="33" t="n"/>
    </row>
    <row r="15">
      <c r="A15" s="140" t="n"/>
      <c r="B15" s="185" t="inlineStr">
        <is>
          <t>DX-VEO-012-001</t>
        </is>
      </c>
      <c r="C15" s="181" t="n">
        <v>0.3</v>
      </c>
      <c r="D15" s="181">
        <f>C15*9</f>
        <v/>
      </c>
      <c r="E15" s="1">
        <f>D15*5</f>
        <v/>
      </c>
      <c r="F15" s="33" t="n"/>
      <c r="G15" s="33">
        <f>D15*12</f>
        <v/>
      </c>
      <c r="H15" s="33" t="n"/>
      <c r="I15" s="33" t="n"/>
      <c r="J15" s="33" t="n"/>
      <c r="K15" s="33" t="n"/>
      <c r="L15" s="33" t="n"/>
      <c r="N15" s="33">
        <f>D15*40</f>
        <v/>
      </c>
      <c r="S15" s="33" t="n"/>
    </row>
    <row r="16">
      <c r="A16" s="141" t="n"/>
      <c r="B16" s="185" t="inlineStr">
        <is>
          <t>DX-VEO-013-001</t>
        </is>
      </c>
      <c r="C16" s="181" t="n">
        <v>0.3</v>
      </c>
      <c r="D16" s="181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J16" s="33" t="n"/>
      <c r="K16" s="33" t="n"/>
      <c r="L16" s="33" t="n"/>
      <c r="N16" s="33">
        <f>D16*40</f>
        <v/>
      </c>
      <c r="S16" s="33" t="n"/>
    </row>
    <row r="17">
      <c r="A17" s="141" t="n"/>
      <c r="B17" s="185" t="inlineStr">
        <is>
          <t>DX-VEO-015-001</t>
        </is>
      </c>
      <c r="C17" s="181" t="n">
        <v>0.5</v>
      </c>
      <c r="D17" s="181">
        <f>C17*9</f>
        <v/>
      </c>
      <c r="E17" s="1">
        <f>D17*5</f>
        <v/>
      </c>
      <c r="F17" s="33" t="n"/>
      <c r="G17" s="33">
        <f>D17*12</f>
        <v/>
      </c>
      <c r="H17" s="33" t="n"/>
      <c r="I17" s="33" t="n"/>
      <c r="J17" s="33" t="n"/>
      <c r="K17" s="33" t="n"/>
      <c r="L17" s="33" t="n"/>
      <c r="N17" s="33">
        <f>D17*40</f>
        <v/>
      </c>
      <c r="S17" s="33" t="n"/>
    </row>
    <row r="18">
      <c r="A18" s="141" t="n"/>
      <c r="B18" s="185" t="inlineStr">
        <is>
          <t>DX-V-118-005</t>
        </is>
      </c>
      <c r="C18" s="181" t="n">
        <v>0.47</v>
      </c>
      <c r="D18" s="181">
        <f>C18*9</f>
        <v/>
      </c>
      <c r="E18" s="1">
        <f>D18*5</f>
        <v/>
      </c>
      <c r="F18" s="33" t="n"/>
      <c r="G18" s="33">
        <f>D18*12</f>
        <v/>
      </c>
      <c r="H18" s="33" t="n"/>
      <c r="I18" s="33" t="n"/>
      <c r="J18" s="33" t="n"/>
      <c r="K18" s="33" t="n"/>
      <c r="L18" s="33" t="n"/>
      <c r="N18" s="33">
        <f>D18*40</f>
        <v/>
      </c>
      <c r="S18" s="33" t="n"/>
    </row>
    <row r="19">
      <c r="A19" s="140" t="n"/>
      <c r="B19" s="185" t="inlineStr">
        <is>
          <t>DX-V-115-006</t>
        </is>
      </c>
      <c r="C19" s="181" t="n">
        <v>0.47</v>
      </c>
      <c r="D19" s="181">
        <f>C19*9</f>
        <v/>
      </c>
      <c r="E19" s="1">
        <f>D19*5</f>
        <v/>
      </c>
      <c r="F19" s="33" t="n"/>
      <c r="G19" s="33">
        <f>D19*12</f>
        <v/>
      </c>
      <c r="H19" s="33" t="n"/>
      <c r="I19" s="33" t="n"/>
      <c r="J19" s="33" t="n"/>
      <c r="K19" s="33" t="n"/>
      <c r="L19" s="33" t="n"/>
      <c r="N19" s="33">
        <f>D19*40</f>
        <v/>
      </c>
      <c r="S19" s="33" t="n"/>
    </row>
    <row r="20">
      <c r="A20" s="140" t="n"/>
      <c r="B20" s="185" t="inlineStr">
        <is>
          <t>DX-V-135-004</t>
        </is>
      </c>
      <c r="C20" s="181" t="n">
        <v>0.4</v>
      </c>
      <c r="D20" s="181">
        <f>C20*9</f>
        <v/>
      </c>
      <c r="E20" s="1">
        <f>D20*5</f>
        <v/>
      </c>
      <c r="F20" s="33" t="n"/>
      <c r="G20" s="33">
        <f>D20*12</f>
        <v/>
      </c>
      <c r="H20" s="33" t="n"/>
      <c r="I20" s="33" t="n"/>
      <c r="J20" s="33" t="n"/>
      <c r="K20" s="33" t="n"/>
      <c r="L20" s="33" t="n"/>
      <c r="N20" s="33">
        <f>D20*40</f>
        <v/>
      </c>
      <c r="S20" s="33" t="n"/>
    </row>
    <row r="21">
      <c r="A21" s="140" t="n"/>
      <c r="B21" s="185" t="inlineStr">
        <is>
          <t>DX-V-002-034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 t="n"/>
      <c r="H21" s="33">
        <f>D21*15</f>
        <v/>
      </c>
      <c r="I21" s="33" t="n"/>
      <c r="J21" s="33" t="n"/>
      <c r="K21" s="33" t="n"/>
      <c r="L21" s="33" t="n"/>
      <c r="N21" s="33">
        <f>D21*40</f>
        <v/>
      </c>
      <c r="S21" s="33" t="n"/>
    </row>
    <row r="22">
      <c r="A22" s="140" t="n"/>
      <c r="B22" s="185" t="inlineStr">
        <is>
          <t>DX-V-083-001</t>
        </is>
      </c>
      <c r="C22" s="181" t="n">
        <v>0.3</v>
      </c>
      <c r="D22" s="181">
        <f>C22*9</f>
        <v/>
      </c>
      <c r="E22" s="1">
        <f>D22*5</f>
        <v/>
      </c>
      <c r="F22" s="33" t="n"/>
      <c r="G22" s="33" t="n"/>
      <c r="H22" s="33" t="n"/>
      <c r="I22" s="33" t="n"/>
      <c r="J22" s="33" t="n"/>
      <c r="K22" s="33">
        <f>D22*15</f>
        <v/>
      </c>
      <c r="L22" s="33" t="n"/>
      <c r="N22" s="33">
        <f>D22*40</f>
        <v/>
      </c>
      <c r="S22" s="33" t="n"/>
    </row>
    <row r="23">
      <c r="A23" s="140" t="n"/>
      <c r="B23" s="185" t="inlineStr">
        <is>
          <t>DX-V-107-001</t>
        </is>
      </c>
      <c r="C23" s="181" t="n">
        <v>0.3</v>
      </c>
      <c r="D23" s="181">
        <f>C23*9</f>
        <v/>
      </c>
      <c r="E23" s="1">
        <f>D23*5</f>
        <v/>
      </c>
      <c r="F23" s="33" t="n"/>
      <c r="G23" s="33" t="n"/>
      <c r="H23" s="33" t="n"/>
      <c r="I23" s="33">
        <f>D23*15</f>
        <v/>
      </c>
      <c r="J23" s="33" t="n"/>
      <c r="K23" s="33" t="n"/>
      <c r="L23" s="33" t="n"/>
      <c r="N23" s="33">
        <f>D23*40</f>
        <v/>
      </c>
      <c r="S23" s="33" t="n"/>
    </row>
    <row r="24">
      <c r="A24" s="141" t="n"/>
      <c r="B24" s="185" t="inlineStr">
        <is>
          <t>DX-V-113-001</t>
        </is>
      </c>
      <c r="C24" s="181" t="n">
        <v>0.3</v>
      </c>
      <c r="D24" s="181">
        <f>C24*9</f>
        <v/>
      </c>
      <c r="E24" s="1">
        <f>D24*5</f>
        <v/>
      </c>
      <c r="F24" s="33" t="n"/>
      <c r="G24" s="33" t="n"/>
      <c r="H24" s="33" t="n"/>
      <c r="I24" s="33" t="n"/>
      <c r="J24" s="33" t="n"/>
      <c r="K24" s="33">
        <f>D24*15</f>
        <v/>
      </c>
      <c r="L24" s="33" t="n"/>
      <c r="N24" s="33">
        <f>D24*40</f>
        <v/>
      </c>
      <c r="S24" s="33" t="n"/>
    </row>
    <row r="25">
      <c r="A25" s="141" t="n"/>
      <c r="B25" s="185" t="inlineStr">
        <is>
          <t>DX-V-115-001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 t="n"/>
      <c r="H25" s="33">
        <f>D25*15</f>
        <v/>
      </c>
      <c r="I25" s="33" t="n"/>
      <c r="J25" s="33" t="n"/>
      <c r="K25" s="33" t="n"/>
      <c r="L25" s="33" t="n"/>
      <c r="N25" s="33">
        <f>D25*40</f>
        <v/>
      </c>
      <c r="S25" s="33" t="n"/>
    </row>
    <row r="26">
      <c r="A26" s="141" t="n"/>
      <c r="B26" s="185" t="inlineStr">
        <is>
          <t>DX-VEO-014-001</t>
        </is>
      </c>
      <c r="C26" s="181" t="n">
        <v>0.5</v>
      </c>
      <c r="D26" s="181">
        <f>C26*9</f>
        <v/>
      </c>
      <c r="E26" s="1">
        <f>D26*5</f>
        <v/>
      </c>
      <c r="F26" s="33" t="n"/>
      <c r="G26" s="33" t="n"/>
      <c r="H26" s="33" t="n"/>
      <c r="I26" s="33">
        <f>D26*15</f>
        <v/>
      </c>
      <c r="J26" s="33" t="n"/>
      <c r="K26" s="33" t="n"/>
      <c r="L26" s="33" t="n"/>
      <c r="N26" s="33">
        <f>D26*40</f>
        <v/>
      </c>
      <c r="S26" s="33" t="n"/>
    </row>
    <row r="27">
      <c r="A27" s="140" t="n"/>
      <c r="B27" s="185" t="inlineStr">
        <is>
          <t>DX-V-116-001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 t="n"/>
      <c r="J27" s="33" t="n"/>
      <c r="K27" s="33" t="n"/>
      <c r="L27" s="33">
        <f>D27*15</f>
        <v/>
      </c>
      <c r="N27" s="33">
        <f>D27*40</f>
        <v/>
      </c>
      <c r="S27" s="33" t="n"/>
    </row>
    <row r="28">
      <c r="A28" s="187" t="inlineStr">
        <is>
          <t>on hold</t>
        </is>
      </c>
      <c r="B28" s="185" t="inlineStr">
        <is>
          <t>DX-V-128-001_RopeRivals_FR_30s  |  LOC</t>
        </is>
      </c>
      <c r="C28" s="181" t="n">
        <v>0.3</v>
      </c>
      <c r="D28" s="181">
        <f>C28*9</f>
        <v/>
      </c>
      <c r="E28" s="1">
        <f>D28*5</f>
        <v/>
      </c>
      <c r="F28" s="33" t="n"/>
      <c r="G28" s="33" t="n"/>
      <c r="H28" s="33" t="n"/>
      <c r="I28" s="33" t="n"/>
      <c r="J28" s="33" t="n"/>
      <c r="K28" s="33" t="n"/>
      <c r="L28" s="33" t="n"/>
      <c r="N28" s="33">
        <f>D28*40</f>
        <v/>
      </c>
      <c r="S28" s="33" t="n"/>
    </row>
    <row r="29">
      <c r="A29" s="140" t="n"/>
      <c r="B29" s="186" t="inlineStr">
        <is>
          <t>DX-V-002-036</t>
        </is>
      </c>
      <c r="C29" s="181" t="n">
        <v>0.5</v>
      </c>
      <c r="D29" s="181">
        <f>C29*9</f>
        <v/>
      </c>
      <c r="E29" s="1">
        <f>D29*5</f>
        <v/>
      </c>
      <c r="F29" s="33" t="n"/>
      <c r="G29" s="33" t="n"/>
      <c r="H29" s="33" t="n"/>
      <c r="I29" s="33" t="n"/>
      <c r="J29" s="33" t="n"/>
      <c r="K29" s="33">
        <f>D29*15</f>
        <v/>
      </c>
      <c r="L29" s="33" t="n"/>
      <c r="N29" s="33">
        <f>D29*40</f>
        <v/>
      </c>
      <c r="S29" s="33" t="n"/>
    </row>
    <row r="30">
      <c r="A30" s="140" t="n"/>
      <c r="B30" s="185" t="inlineStr">
        <is>
          <t>DX-V-083-005</t>
        </is>
      </c>
      <c r="C30" s="181" t="n">
        <v>0.5</v>
      </c>
      <c r="D30" s="181">
        <f>C30*9</f>
        <v/>
      </c>
      <c r="E30" s="1">
        <f>D30*5</f>
        <v/>
      </c>
      <c r="F30" s="33" t="n"/>
      <c r="G30" s="33" t="n"/>
      <c r="H30" s="33" t="n"/>
      <c r="I30" s="33" t="n"/>
      <c r="J30" s="33" t="n"/>
      <c r="K30" s="33">
        <f>D30*15</f>
        <v/>
      </c>
      <c r="L30" s="33" t="n"/>
      <c r="N30" s="33">
        <f>D30*40</f>
        <v/>
      </c>
      <c r="S30" s="33" t="n"/>
    </row>
    <row r="31">
      <c r="A31" s="140" t="n"/>
      <c r="B31" s="185" t="inlineStr">
        <is>
          <t>DX-V-135-003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 t="n"/>
      <c r="H31" s="33" t="n"/>
      <c r="I31" s="33" t="n"/>
      <c r="J31" s="33" t="n"/>
      <c r="K31" s="33" t="n"/>
      <c r="L31" s="33">
        <f>D31*15</f>
        <v/>
      </c>
      <c r="N31" s="33">
        <f>D31*40</f>
        <v/>
      </c>
      <c r="S31" s="33" t="n"/>
    </row>
    <row r="32">
      <c r="A32" s="140" t="n"/>
      <c r="B32" s="185" t="inlineStr">
        <is>
          <t>DX-V-135-004_ASODreams_DX-AIV-0244-003_EN</t>
        </is>
      </c>
      <c r="C32" s="181" t="n">
        <v>0.3</v>
      </c>
      <c r="D32" s="181">
        <f>C32*9</f>
        <v/>
      </c>
      <c r="E32" s="1">
        <f>D32*5</f>
        <v/>
      </c>
      <c r="F32" s="33" t="n"/>
      <c r="G32" s="33" t="n"/>
      <c r="H32" s="33" t="n"/>
      <c r="I32" s="33" t="n"/>
      <c r="J32" s="33" t="n"/>
      <c r="K32" s="33" t="n"/>
      <c r="L32" s="33">
        <f>D32*15</f>
        <v/>
      </c>
      <c r="N32" s="33">
        <f>D32*40</f>
        <v/>
      </c>
      <c r="S32" s="33" t="n"/>
    </row>
    <row r="33">
      <c r="A33" s="140" t="n"/>
      <c r="B33" s="185" t="inlineStr">
        <is>
          <t>DX-V-113-003_Boring_DX-V-119-001_FR</t>
        </is>
      </c>
      <c r="C33" s="181" t="n">
        <v>0.5</v>
      </c>
      <c r="D33" s="181">
        <f>C33*9</f>
        <v/>
      </c>
      <c r="E33" s="1">
        <f>D33*5</f>
        <v/>
      </c>
      <c r="F33" s="33" t="n"/>
      <c r="G33" s="33" t="n"/>
      <c r="H33" s="33" t="n"/>
      <c r="I33" s="33" t="n"/>
      <c r="J33" s="33" t="n"/>
      <c r="K33" s="33">
        <f>D33*15</f>
        <v/>
      </c>
      <c r="L33" s="33" t="n"/>
      <c r="N33" s="33">
        <f>D33*40</f>
        <v/>
      </c>
      <c r="S33" s="33" t="n"/>
    </row>
    <row r="34">
      <c r="A34" s="187" t="inlineStr">
        <is>
          <t>on hold</t>
        </is>
      </c>
      <c r="B34" s="185" t="inlineStr">
        <is>
          <t>DX-V-116-003_Scuba_DX-AIV-0071-001_FR</t>
        </is>
      </c>
      <c r="C34" s="181" t="n">
        <v>0.5</v>
      </c>
      <c r="D34" s="181">
        <f>C34*9</f>
        <v/>
      </c>
      <c r="E34" s="1">
        <f>D34*5</f>
        <v/>
      </c>
      <c r="F34" s="33" t="n"/>
      <c r="G34" s="33" t="n"/>
      <c r="H34" s="33" t="n"/>
      <c r="I34" s="33" t="n"/>
      <c r="J34" s="33" t="n"/>
      <c r="K34" s="33" t="n"/>
      <c r="L34" s="33" t="n"/>
      <c r="N34" s="33">
        <f>D34*40</f>
        <v/>
      </c>
      <c r="S34" s="33" t="n"/>
    </row>
    <row r="35" ht="25" customHeight="1">
      <c r="A35" s="125" t="inlineStr">
        <is>
          <t>DD</t>
        </is>
      </c>
      <c r="B35" s="125" t="inlineStr">
        <is>
          <t>MGX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</row>
    <row r="36">
      <c r="A36" s="141" t="n"/>
      <c r="B36" s="185" t="inlineStr">
        <is>
          <t>DD-V-291-001_ChefCollections</t>
        </is>
      </c>
      <c r="C36" s="181" t="n">
        <v>0.5</v>
      </c>
      <c r="D36" s="181">
        <f>C36*9</f>
        <v/>
      </c>
      <c r="E36" s="1">
        <f>D36*5</f>
        <v/>
      </c>
      <c r="F36" s="33" t="n"/>
      <c r="G36" s="33" t="n"/>
      <c r="H36" s="33" t="n"/>
      <c r="I36" s="33" t="n"/>
      <c r="J36" s="33">
        <f>D36*15</f>
        <v/>
      </c>
      <c r="K36" s="33" t="n"/>
      <c r="L36" s="33" t="n"/>
      <c r="N36" s="33">
        <f>D36*35</f>
        <v/>
      </c>
    </row>
    <row r="37">
      <c r="A37" s="141" t="n"/>
      <c r="B37" s="185" t="inlineStr">
        <is>
          <t>DD-V-294-001_LavaQuest</t>
        </is>
      </c>
      <c r="C37" s="181" t="n">
        <v>0.5</v>
      </c>
      <c r="D37" s="181">
        <f>C37*9</f>
        <v/>
      </c>
      <c r="E37" s="1">
        <f>D37*5</f>
        <v/>
      </c>
      <c r="F37" s="33">
        <f>D37*15</f>
        <v/>
      </c>
      <c r="G37" s="33" t="n"/>
      <c r="H37" s="33" t="n"/>
      <c r="I37" s="33" t="n"/>
      <c r="J37" s="33" t="n"/>
      <c r="K37" s="33" t="n"/>
      <c r="L37" s="33" t="n"/>
      <c r="N37" s="33">
        <f>D37*35</f>
        <v/>
      </c>
    </row>
    <row r="38">
      <c r="A38" s="141" t="n"/>
      <c r="B38" s="188" t="inlineStr">
        <is>
          <t>DD-V-292-021</t>
        </is>
      </c>
      <c r="C38" s="181" t="n">
        <v>0.5</v>
      </c>
      <c r="D38" s="181">
        <f>C38*9</f>
        <v/>
      </c>
      <c r="E38" s="1">
        <f>D38*5</f>
        <v/>
      </c>
      <c r="F38" s="33" t="n"/>
      <c r="G38" s="33">
        <f>D38*12</f>
        <v/>
      </c>
      <c r="H38" s="33" t="n"/>
      <c r="I38" s="33" t="n"/>
      <c r="J38" s="33" t="n"/>
      <c r="K38" s="33" t="n"/>
      <c r="L38" s="33" t="n"/>
      <c r="N38" s="33">
        <f>D38*35</f>
        <v/>
      </c>
    </row>
    <row r="39">
      <c r="A39" s="141" t="n"/>
      <c r="B39" s="188" t="inlineStr">
        <is>
          <t>DD-P-021-001</t>
        </is>
      </c>
      <c r="C39" s="181" t="n">
        <v>0.5</v>
      </c>
      <c r="D39" s="181">
        <f>C39*9</f>
        <v/>
      </c>
      <c r="E39" s="1">
        <f>D39*5</f>
        <v/>
      </c>
      <c r="F39" s="33" t="n"/>
      <c r="G39" s="33" t="n"/>
      <c r="H39" s="33">
        <f>D39*15</f>
        <v/>
      </c>
      <c r="I39" s="33" t="n"/>
      <c r="J39" s="33" t="n"/>
      <c r="K39" s="33" t="n"/>
      <c r="L39" s="33" t="n"/>
      <c r="N39" s="33">
        <f>D39*35</f>
        <v/>
      </c>
    </row>
    <row r="40">
      <c r="A40" s="140" t="n"/>
      <c r="B40" s="189" t="inlineStr">
        <is>
          <t>DD IT - 3 VEO Hooks  |  VEO Cake</t>
        </is>
      </c>
      <c r="C40" s="181" t="n">
        <v>0.5</v>
      </c>
      <c r="D40" s="181">
        <f>C40*9</f>
        <v/>
      </c>
      <c r="E40" s="1">
        <f>D40*5</f>
        <v/>
      </c>
      <c r="F40" s="33" t="n"/>
      <c r="G40" s="33">
        <f>D40*12</f>
        <v/>
      </c>
      <c r="H40" s="33" t="n"/>
      <c r="I40" s="33" t="n"/>
      <c r="J40" s="33" t="n"/>
      <c r="K40" s="33" t="n"/>
      <c r="L40" s="33" t="n"/>
      <c r="N40" s="33">
        <f>D40*35</f>
        <v/>
      </c>
    </row>
    <row r="41">
      <c r="A41" s="140" t="n"/>
      <c r="B41" s="189" t="inlineStr">
        <is>
          <t>DD IT - 3 VEO Hooks  |  VEO Football</t>
        </is>
      </c>
      <c r="C41" s="181" t="n">
        <v>1</v>
      </c>
      <c r="D41" s="181">
        <f>C41*9</f>
        <v/>
      </c>
      <c r="E41" s="1">
        <f>D41*5</f>
        <v/>
      </c>
      <c r="F41" s="33">
        <f>D41*15</f>
        <v/>
      </c>
      <c r="G41" s="33" t="n"/>
      <c r="H41" s="33" t="n"/>
      <c r="I41" s="33" t="n"/>
      <c r="J41" s="33" t="n"/>
      <c r="K41" s="33" t="n"/>
      <c r="L41" s="33" t="n"/>
      <c r="N41" s="33">
        <f>D41*35</f>
        <v/>
      </c>
    </row>
    <row r="42">
      <c r="A42" s="141" t="n"/>
      <c r="B42" s="188" t="inlineStr">
        <is>
          <t>DD-V-294-001_LavaQuest_EN_30s JA</t>
        </is>
      </c>
      <c r="C42" s="181" t="n">
        <v>0.5</v>
      </c>
      <c r="D42" s="181">
        <f>C42*9</f>
        <v/>
      </c>
      <c r="E42" s="1">
        <f>D42*5</f>
        <v/>
      </c>
      <c r="F42" s="33">
        <f>D42*15</f>
        <v/>
      </c>
      <c r="G42" s="33" t="n"/>
      <c r="H42" s="33" t="n"/>
      <c r="I42" s="33" t="n"/>
      <c r="J42" s="33" t="n"/>
      <c r="K42" s="33" t="n"/>
      <c r="L42" s="33" t="n"/>
      <c r="N42" s="33">
        <f>D42*35</f>
        <v/>
      </c>
    </row>
    <row r="43">
      <c r="A43" s="141" t="n"/>
      <c r="B43" s="189" t="inlineStr">
        <is>
          <t>DD-V-298-001_Disco_EN_60s - JA</t>
        </is>
      </c>
      <c r="C43" s="181" t="n">
        <v>0.5</v>
      </c>
      <c r="D43" s="181">
        <f>C43*9</f>
        <v/>
      </c>
      <c r="E43" s="1">
        <f>D43*5</f>
        <v/>
      </c>
      <c r="F43" s="33">
        <f>D43*15</f>
        <v/>
      </c>
      <c r="G43" s="33" t="n"/>
      <c r="H43" s="33" t="n"/>
      <c r="I43" s="33" t="n"/>
      <c r="J43" s="33" t="n"/>
      <c r="K43" s="33" t="n"/>
      <c r="L43" s="33" t="n"/>
      <c r="N43" s="33">
        <f>D43*35</f>
        <v/>
      </c>
    </row>
    <row r="44">
      <c r="A44" s="141" t="n"/>
      <c r="B44" s="189" t="inlineStr">
        <is>
          <t>DD-VEO-016-001</t>
        </is>
      </c>
      <c r="C44" s="181" t="n">
        <v>0.8</v>
      </c>
      <c r="D44" s="181">
        <f>C44*9</f>
        <v/>
      </c>
      <c r="E44" s="1">
        <f>D44*5</f>
        <v/>
      </c>
      <c r="F44" s="33" t="n"/>
      <c r="G44" s="33" t="n"/>
      <c r="H44" s="33" t="n"/>
      <c r="I44" s="33">
        <f>D44*15</f>
        <v/>
      </c>
      <c r="J44" s="33" t="n"/>
      <c r="K44" s="33" t="n"/>
      <c r="L44" s="33" t="n"/>
      <c r="N44" s="33">
        <f>D44*35</f>
        <v/>
      </c>
    </row>
    <row r="45">
      <c r="A45" s="140" t="n"/>
      <c r="B45" s="189" t="inlineStr">
        <is>
          <t>DD-H-251-002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>
        <f>D45*12</f>
        <v/>
      </c>
      <c r="H45" s="33" t="n"/>
      <c r="I45" s="33" t="n"/>
      <c r="J45" s="33" t="n"/>
      <c r="K45" s="33" t="n"/>
      <c r="L45" s="33" t="n"/>
      <c r="N45" s="33">
        <f>D45*35</f>
        <v/>
      </c>
    </row>
    <row r="46">
      <c r="A46" s="141" t="n"/>
      <c r="B46" s="189" t="inlineStr">
        <is>
          <t>DD-V-305_AndreasSeppi</t>
        </is>
      </c>
      <c r="C46" s="181" t="n">
        <v>0.8</v>
      </c>
      <c r="D46" s="181">
        <f>C46*9</f>
        <v/>
      </c>
      <c r="E46" s="1">
        <f>D46*5</f>
        <v/>
      </c>
      <c r="F46" s="33" t="n"/>
      <c r="G46" s="33" t="n"/>
      <c r="H46" s="33" t="n"/>
      <c r="I46" s="33">
        <f>D46*15</f>
        <v/>
      </c>
      <c r="J46" s="33" t="n"/>
      <c r="K46" s="33" t="n"/>
      <c r="L46" s="33" t="n"/>
      <c r="N46" s="33">
        <f>D46*35</f>
        <v/>
      </c>
    </row>
    <row r="47">
      <c r="A47" s="140" t="n"/>
      <c r="B47" s="189" t="inlineStr">
        <is>
          <t>DD-V-306-001</t>
        </is>
      </c>
      <c r="C47" s="181" t="n">
        <v>1.5</v>
      </c>
      <c r="D47" s="181">
        <f>C47*9</f>
        <v/>
      </c>
      <c r="E47" s="1">
        <f>D47*5</f>
        <v/>
      </c>
      <c r="F47" s="33" t="n"/>
      <c r="G47" s="33" t="n"/>
      <c r="H47" s="33" t="n"/>
      <c r="I47" s="33">
        <f>D47*15</f>
        <v/>
      </c>
      <c r="J47" s="33" t="n"/>
      <c r="K47" s="33" t="n"/>
      <c r="L47" s="33" t="n"/>
      <c r="N47" s="33">
        <f>D47*35</f>
        <v/>
      </c>
    </row>
    <row r="48">
      <c r="A48" s="141" t="n"/>
      <c r="B48" s="189" t="inlineStr">
        <is>
          <t>DD-V-307</t>
        </is>
      </c>
      <c r="C48" s="181" t="n">
        <v>1</v>
      </c>
      <c r="D48" s="181">
        <f>C48*9</f>
        <v/>
      </c>
      <c r="E48" s="1">
        <f>D48*5</f>
        <v/>
      </c>
      <c r="F48" s="33" t="n"/>
      <c r="G48" s="33" t="n"/>
      <c r="H48" s="33" t="n"/>
      <c r="I48" s="33">
        <f>D48*15</f>
        <v/>
      </c>
      <c r="J48" s="33" t="n"/>
      <c r="K48" s="33" t="n"/>
      <c r="L48" s="33" t="n"/>
      <c r="N48" s="33">
        <f>D48*35</f>
        <v/>
      </c>
    </row>
    <row r="49">
      <c r="A49" s="141" t="n"/>
      <c r="B49" s="189" t="inlineStr">
        <is>
          <t>DD-VEO-011</t>
        </is>
      </c>
      <c r="C49" s="181" t="n">
        <v>0.5</v>
      </c>
      <c r="D49" s="181">
        <f>C49*9</f>
        <v/>
      </c>
      <c r="E49" s="1">
        <f>D49*5</f>
        <v/>
      </c>
      <c r="F49" s="33" t="n"/>
      <c r="G49" s="33">
        <f>D49*12</f>
        <v/>
      </c>
      <c r="H49" s="33" t="n"/>
      <c r="I49" s="33" t="n"/>
      <c r="J49" s="33" t="n"/>
      <c r="K49" s="33" t="n"/>
      <c r="L49" s="33" t="n"/>
      <c r="N49" s="33">
        <f>D49*35</f>
        <v/>
      </c>
    </row>
    <row r="50">
      <c r="A50" s="141" t="n"/>
      <c r="B50" s="189" t="inlineStr">
        <is>
          <t>DD-V-049</t>
        </is>
      </c>
      <c r="C50" s="181" t="n">
        <v>0.5</v>
      </c>
      <c r="D50" s="181">
        <f>C50*9</f>
        <v/>
      </c>
      <c r="E50" s="1">
        <f>D50*5</f>
        <v/>
      </c>
      <c r="F50" s="33" t="n"/>
      <c r="G50" s="33">
        <f>D50*12</f>
        <v/>
      </c>
      <c r="H50" s="33" t="n"/>
      <c r="I50" s="33" t="n"/>
      <c r="J50" s="33" t="n"/>
      <c r="K50" s="33" t="n"/>
      <c r="L50" s="33" t="n"/>
      <c r="N50" s="33">
        <f>D50*35</f>
        <v/>
      </c>
    </row>
    <row r="51">
      <c r="A51" s="140" t="n"/>
      <c r="B51" s="189" t="inlineStr">
        <is>
          <t>DD-V-223</t>
        </is>
      </c>
      <c r="C51" s="181" t="n">
        <v>0.8</v>
      </c>
      <c r="D51" s="181">
        <f>C51*9</f>
        <v/>
      </c>
      <c r="E51" s="1">
        <f>D51*5</f>
        <v/>
      </c>
      <c r="F51" s="33" t="n"/>
      <c r="G51" s="33" t="n"/>
      <c r="H51" s="33">
        <f>D51*15</f>
        <v/>
      </c>
      <c r="I51" s="33" t="n"/>
      <c r="J51" s="33" t="n"/>
      <c r="K51" s="33" t="n"/>
      <c r="L51" s="33" t="n"/>
      <c r="N51" s="33">
        <f>D51*35</f>
        <v/>
      </c>
    </row>
    <row r="52">
      <c r="A52" s="141" t="n"/>
      <c r="B52" s="189" t="inlineStr">
        <is>
          <t>DD-V-298_Disco_DD-H-251-001</t>
        </is>
      </c>
      <c r="C52" s="181" t="n">
        <v>0.5</v>
      </c>
      <c r="D52" s="181">
        <f>C52*9</f>
        <v/>
      </c>
      <c r="E52" s="1">
        <f>D52*5</f>
        <v/>
      </c>
      <c r="F52" s="33" t="n"/>
      <c r="G52" s="33">
        <f>D52*12</f>
        <v/>
      </c>
      <c r="H52" s="33" t="n"/>
      <c r="I52" s="33" t="n"/>
      <c r="J52" s="33" t="n"/>
      <c r="K52" s="33" t="n"/>
      <c r="L52" s="33" t="n"/>
      <c r="N52" s="33">
        <f>D52*35</f>
        <v/>
      </c>
    </row>
    <row r="53">
      <c r="A53" s="141" t="n"/>
      <c r="B53" s="189" t="inlineStr">
        <is>
          <t>DD-V-078</t>
        </is>
      </c>
      <c r="C53" s="181" t="n">
        <v>0.5</v>
      </c>
      <c r="D53" s="181">
        <f>C53*9</f>
        <v/>
      </c>
      <c r="E53" s="1">
        <f>D53*5</f>
        <v/>
      </c>
      <c r="F53" s="33" t="n"/>
      <c r="G53" s="33">
        <f>D53*12</f>
        <v/>
      </c>
      <c r="H53" s="33" t="n"/>
      <c r="I53" s="33" t="n"/>
      <c r="J53" s="33" t="n"/>
      <c r="K53" s="33" t="n"/>
      <c r="L53" s="33" t="n"/>
      <c r="N53" s="33">
        <f>D53*35</f>
        <v/>
      </c>
    </row>
    <row r="54">
      <c r="A54" s="141" t="n"/>
      <c r="B54" s="189" t="inlineStr">
        <is>
          <t>DD-V-045</t>
        </is>
      </c>
      <c r="C54" s="181" t="n">
        <v>0.5</v>
      </c>
      <c r="D54" s="181">
        <f>C54*9</f>
        <v/>
      </c>
      <c r="E54" s="1">
        <f>D54*5</f>
        <v/>
      </c>
      <c r="F54" s="33" t="n"/>
      <c r="G54" s="33">
        <f>D54*12</f>
        <v/>
      </c>
      <c r="H54" s="33" t="n"/>
      <c r="I54" s="33" t="n"/>
      <c r="J54" s="33" t="n"/>
      <c r="K54" s="33" t="n"/>
      <c r="L54" s="33" t="n"/>
      <c r="N54" s="33">
        <f>D54*35</f>
        <v/>
      </c>
    </row>
    <row r="55">
      <c r="A55" s="141" t="n"/>
      <c r="B55" s="189" t="inlineStr">
        <is>
          <t>DD-V-223-050</t>
        </is>
      </c>
      <c r="C55" s="181" t="n">
        <v>0.3</v>
      </c>
      <c r="D55" s="181">
        <f>C55*9</f>
        <v/>
      </c>
      <c r="E55" s="1">
        <f>D55*5</f>
        <v/>
      </c>
      <c r="F55" s="33">
        <f>D55*15</f>
        <v/>
      </c>
      <c r="G55" s="33" t="n"/>
      <c r="H55" s="33" t="n"/>
      <c r="I55" s="33" t="n"/>
      <c r="J55" s="33" t="n"/>
      <c r="K55" s="33" t="n"/>
      <c r="L55" s="33" t="n"/>
      <c r="N55" s="33">
        <f>D55*35</f>
        <v/>
      </c>
    </row>
    <row r="56">
      <c r="A56" s="140" t="n"/>
      <c r="B56" s="189" t="inlineStr">
        <is>
          <t>DD-V-223-051</t>
        </is>
      </c>
      <c r="C56" s="181" t="n">
        <v>0.3</v>
      </c>
      <c r="D56" s="181">
        <f>C56*9</f>
        <v/>
      </c>
      <c r="E56" s="1">
        <f>D56*5</f>
        <v/>
      </c>
      <c r="F56" s="33">
        <f>D56*15</f>
        <v/>
      </c>
      <c r="G56" s="33" t="n"/>
      <c r="I56" s="33" t="n"/>
      <c r="J56" s="33" t="n"/>
      <c r="K56" s="33" t="n"/>
      <c r="L56" s="33" t="n"/>
      <c r="N56" s="33">
        <f>D56*35</f>
        <v/>
      </c>
    </row>
    <row r="57">
      <c r="A57" s="140" t="n"/>
      <c r="B57" s="189" t="inlineStr">
        <is>
          <t>DD-V-292-014</t>
        </is>
      </c>
      <c r="C57" s="181" t="n">
        <v>0.5</v>
      </c>
      <c r="D57" s="181">
        <f>C57*9</f>
        <v/>
      </c>
      <c r="E57" s="1">
        <f>D57*5</f>
        <v/>
      </c>
      <c r="F57" s="33" t="n"/>
      <c r="G57" s="33" t="n"/>
      <c r="H57" s="33" t="n"/>
      <c r="I57" s="33" t="n"/>
      <c r="J57" s="33" t="n"/>
      <c r="K57" s="33" t="n"/>
      <c r="L57" s="33">
        <f>D57*15</f>
        <v/>
      </c>
      <c r="N57" s="33">
        <f>D57*35</f>
        <v/>
      </c>
    </row>
    <row r="58">
      <c r="A58" s="118" t="inlineStr">
        <is>
          <t>total</t>
        </is>
      </c>
      <c r="B58" s="57" t="n"/>
      <c r="C58" s="11">
        <f>SUM(C4:C57)</f>
        <v/>
      </c>
      <c r="D58" s="11">
        <f>SUM(D4:D57)</f>
        <v/>
      </c>
      <c r="E58" s="59">
        <f>SUM(E4:E57)</f>
        <v/>
      </c>
      <c r="F58" s="59">
        <f>SUM(F4:F57)</f>
        <v/>
      </c>
      <c r="G58" s="59">
        <f>SUM(G4:G57)</f>
        <v/>
      </c>
      <c r="H58" s="59">
        <f>SUM(H4:H57)</f>
        <v/>
      </c>
      <c r="I58" s="59">
        <f>SUM(I4:I57)</f>
        <v/>
      </c>
      <c r="J58" s="59">
        <f>SUM(J4:J57)</f>
        <v/>
      </c>
      <c r="K58" s="59">
        <f>SUM(K4:K57)</f>
        <v/>
      </c>
      <c r="L58" s="59">
        <f>SUM(L4:L57)</f>
        <v/>
      </c>
      <c r="M58" s="59">
        <f>SUM(E58:I58)</f>
        <v/>
      </c>
      <c r="N58" s="60">
        <f>SUM(N4:N57)</f>
        <v/>
      </c>
      <c r="O58" s="39" t="n"/>
      <c r="P58" s="29" t="inlineStr">
        <is>
          <t>UAH</t>
        </is>
      </c>
      <c r="Q58" s="16" t="inlineStr">
        <is>
          <t>USD</t>
        </is>
      </c>
    </row>
    <row r="59">
      <c r="E59" s="142">
        <f>E58*40</f>
        <v/>
      </c>
      <c r="F59" s="142">
        <f>F58*40</f>
        <v/>
      </c>
      <c r="G59" s="142">
        <f>G58*40</f>
        <v/>
      </c>
      <c r="H59" s="142">
        <f>H58*41.3</f>
        <v/>
      </c>
      <c r="I59" s="142">
        <f>I58*41.3</f>
        <v/>
      </c>
      <c r="J59" s="142">
        <f>J58*41.3</f>
        <v/>
      </c>
      <c r="K59" s="142">
        <f>K58*42</f>
        <v/>
      </c>
      <c r="L59" s="142">
        <f>L58*42</f>
        <v/>
      </c>
      <c r="M59" s="7">
        <f>M58*40</f>
        <v/>
      </c>
      <c r="N59" s="7">
        <f>N58*40</f>
        <v/>
      </c>
      <c r="O59" s="5" t="inlineStr">
        <is>
          <t>CLIENT IN</t>
        </is>
      </c>
      <c r="P59" s="7">
        <f>Q59*40</f>
        <v/>
      </c>
      <c r="Q59" s="8">
        <f>N58</f>
        <v/>
      </c>
      <c r="V59" s="4" t="n"/>
    </row>
    <row r="60">
      <c r="G60" s="33" t="n"/>
      <c r="H60" s="123" t="n"/>
      <c r="I60" s="123" t="n"/>
      <c r="J60" s="123" t="n"/>
      <c r="K60" s="123" t="n"/>
      <c r="L60" s="123" t="n"/>
      <c r="O60" s="5" t="inlineStr">
        <is>
          <t>STUDIO (TAX)</t>
        </is>
      </c>
      <c r="P60" s="7">
        <f>Q60*40</f>
        <v/>
      </c>
      <c r="Q60" s="8">
        <f>Q59-Q59*0.05</f>
        <v/>
      </c>
    </row>
    <row r="61">
      <c r="B61" s="1" t="n"/>
      <c r="E61" s="21" t="n"/>
      <c r="G61" s="33" t="n"/>
      <c r="O61" s="5" t="inlineStr">
        <is>
          <t>EMPL</t>
        </is>
      </c>
      <c r="P61" s="7">
        <f>Q61*40</f>
        <v/>
      </c>
      <c r="Q61" s="8">
        <f>M58</f>
        <v/>
      </c>
    </row>
    <row r="62">
      <c r="B62" s="1" t="n"/>
      <c r="O62" s="37" t="inlineStr">
        <is>
          <t>STUDIO</t>
        </is>
      </c>
      <c r="P62" s="7">
        <f>Q62*40</f>
        <v/>
      </c>
      <c r="Q62" s="8">
        <f>Q60-Q61</f>
        <v/>
      </c>
    </row>
    <row r="63">
      <c r="B63" s="1" t="n"/>
    </row>
    <row r="64">
      <c r="B64" s="169" t="n"/>
      <c r="C64" s="166" t="n"/>
      <c r="D64" s="176" t="n"/>
      <c r="I64" s="169" t="n"/>
      <c r="J64" s="169" t="n"/>
      <c r="K64" s="169" t="n"/>
      <c r="L64" s="169" t="n"/>
      <c r="M64" s="166" t="n"/>
      <c r="N64" s="176" t="n"/>
    </row>
    <row r="65">
      <c r="B65" s="169" t="n"/>
      <c r="C65" s="166" t="n"/>
      <c r="D65" s="176" t="n"/>
      <c r="I65" s="144" t="n"/>
      <c r="J65" s="144" t="n"/>
      <c r="K65" s="144" t="n"/>
      <c r="L65" s="144" t="n"/>
      <c r="M65" s="166" t="n"/>
      <c r="N65" s="176" t="n"/>
    </row>
    <row r="66">
      <c r="B66" s="169" t="n"/>
      <c r="C66" s="171" t="inlineStr">
        <is>
          <t>02,02,2026</t>
        </is>
      </c>
      <c r="D66" s="176" t="n"/>
      <c r="G66" s="192" t="inlineStr">
        <is>
          <t>СІЧЕНЬ!</t>
        </is>
      </c>
      <c r="I66" s="167" t="n"/>
      <c r="J66" s="167" t="n"/>
      <c r="K66" s="167" t="n"/>
      <c r="L66" s="167" t="n"/>
      <c r="M66" s="166" t="n"/>
      <c r="N66" s="176" t="n"/>
    </row>
    <row r="67">
      <c r="B67" s="169" t="n"/>
      <c r="C67" s="192" t="inlineStr">
        <is>
          <t>Сьогодні</t>
        </is>
      </c>
      <c r="D67" s="192" t="inlineStr">
        <is>
          <t>Грудень</t>
        </is>
      </c>
      <c r="E67" s="192" t="inlineStr">
        <is>
          <t>Cічень</t>
        </is>
      </c>
      <c r="F67" s="192" t="n"/>
      <c r="G67" s="192" t="inlineStr">
        <is>
          <t>результат</t>
        </is>
      </c>
      <c r="I67" s="169" t="n"/>
      <c r="J67" s="169" t="n"/>
      <c r="K67" s="169" t="n"/>
      <c r="L67" s="169" t="n"/>
      <c r="M67" s="166" t="n"/>
      <c r="N67" s="176" t="n"/>
    </row>
    <row r="68">
      <c r="B68" s="176" t="inlineStr">
        <is>
          <t>Верлинська</t>
        </is>
      </c>
      <c r="C68" s="191" t="n">
        <v>49329</v>
      </c>
      <c r="D68" s="191" t="n">
        <v>29862</v>
      </c>
      <c r="E68" s="191" t="n">
        <v>57312</v>
      </c>
      <c r="G68" s="190">
        <f>D68+E68-C68</f>
        <v/>
      </c>
      <c r="I68" s="169" t="n"/>
      <c r="J68" s="169" t="n"/>
      <c r="K68" s="169" t="n"/>
      <c r="L68" s="169" t="n"/>
      <c r="M68" s="166" t="n"/>
      <c r="N68" s="176" t="n"/>
    </row>
    <row r="69">
      <c r="B69" s="169" t="n"/>
      <c r="C69" s="191" t="n"/>
      <c r="D69" s="191" t="n"/>
      <c r="E69" s="191" t="n"/>
      <c r="I69" s="169" t="n"/>
      <c r="J69" s="169" t="n"/>
      <c r="K69" s="169" t="n"/>
      <c r="L69" s="169" t="n"/>
      <c r="M69" s="166" t="n"/>
      <c r="N69" s="176" t="n"/>
    </row>
    <row r="70">
      <c r="B70" s="169" t="n"/>
      <c r="C70" s="192" t="inlineStr">
        <is>
          <t>Сьогодні</t>
        </is>
      </c>
      <c r="D70" s="192" t="inlineStr">
        <is>
          <t>Грудень</t>
        </is>
      </c>
      <c r="E70" s="192" t="inlineStr">
        <is>
          <t>Cічень</t>
        </is>
      </c>
      <c r="F70" s="192" t="n"/>
      <c r="G70" s="192" t="inlineStr">
        <is>
          <t>результат</t>
        </is>
      </c>
      <c r="I70" s="169" t="n"/>
      <c r="J70" s="169" t="n"/>
      <c r="K70" s="169" t="n"/>
      <c r="L70" s="169" t="n"/>
      <c r="M70" s="166" t="n"/>
      <c r="N70" s="176" t="n"/>
    </row>
    <row r="71">
      <c r="B71" s="176" t="inlineStr">
        <is>
          <t>Cіченко</t>
        </is>
      </c>
      <c r="C71" s="191" t="n">
        <v>18150</v>
      </c>
      <c r="D71" s="191" t="n">
        <v>15876</v>
      </c>
      <c r="E71" s="191" t="n">
        <v>43740</v>
      </c>
      <c r="G71" s="190">
        <f>D71+E71-C71</f>
        <v/>
      </c>
      <c r="I71" s="169" t="n"/>
      <c r="J71" s="169" t="n"/>
      <c r="K71" s="169" t="n"/>
      <c r="L71" s="169" t="n"/>
      <c r="M71" s="171" t="n"/>
      <c r="N71" s="176" t="n"/>
    </row>
    <row r="72">
      <c r="C72" s="191" t="n"/>
      <c r="D72" s="191" t="n"/>
      <c r="E72" s="191" t="n"/>
      <c r="I72" s="169" t="n"/>
      <c r="J72" s="169" t="n"/>
      <c r="K72" s="169" t="n"/>
      <c r="L72" s="169" t="n"/>
      <c r="M72" s="171" t="n"/>
      <c r="N72" s="176" t="n"/>
    </row>
    <row r="73">
      <c r="B73" s="169" t="n"/>
      <c r="C73" s="192" t="inlineStr">
        <is>
          <t>Сьогодні</t>
        </is>
      </c>
      <c r="D73" s="192" t="inlineStr">
        <is>
          <t>Грудень</t>
        </is>
      </c>
      <c r="E73" s="192" t="inlineStr">
        <is>
          <t>Cічень</t>
        </is>
      </c>
      <c r="F73" s="192" t="n"/>
      <c r="G73" s="192" t="inlineStr">
        <is>
          <t>результат</t>
        </is>
      </c>
      <c r="I73" s="169" t="n"/>
      <c r="J73" s="169" t="n"/>
      <c r="K73" s="169" t="n"/>
      <c r="L73" s="169" t="n"/>
      <c r="M73" s="171" t="n"/>
      <c r="N73" s="176" t="n"/>
    </row>
    <row r="74">
      <c r="B74" s="176" t="inlineStr">
        <is>
          <t>Маша</t>
        </is>
      </c>
      <c r="C74" s="191" t="n">
        <v>22680</v>
      </c>
      <c r="D74" s="191" t="n">
        <v>22680</v>
      </c>
      <c r="E74" s="191" t="n">
        <v>29549</v>
      </c>
      <c r="G74" s="190">
        <f>E74+D74-C74</f>
        <v/>
      </c>
      <c r="H74" s="21" t="n"/>
      <c r="I74" s="169" t="n"/>
      <c r="J74" s="169" t="n"/>
      <c r="K74" s="169" t="n"/>
      <c r="L74" s="169" t="n"/>
      <c r="M74" s="166" t="n"/>
      <c r="N74" s="176" t="n"/>
    </row>
    <row r="75">
      <c r="C75" s="191" t="n"/>
      <c r="D75" s="191" t="n"/>
      <c r="E75" s="191" t="n"/>
    </row>
    <row r="76">
      <c r="B76" s="169" t="n"/>
      <c r="C76" s="192" t="inlineStr">
        <is>
          <t>Сьогодні</t>
        </is>
      </c>
      <c r="D76" s="192" t="inlineStr">
        <is>
          <t>Грудень</t>
        </is>
      </c>
      <c r="E76" s="192" t="inlineStr">
        <is>
          <t>Cічень</t>
        </is>
      </c>
      <c r="F76" s="192" t="n"/>
      <c r="G76" s="192" t="inlineStr">
        <is>
          <t>результат</t>
        </is>
      </c>
    </row>
    <row r="77">
      <c r="B77" s="176" t="inlineStr">
        <is>
          <t>Cергій</t>
        </is>
      </c>
      <c r="C77" s="191" t="n">
        <v>53240</v>
      </c>
      <c r="D77" s="191" t="n">
        <v>17284</v>
      </c>
      <c r="E77" s="191" t="n">
        <v>28993</v>
      </c>
      <c r="G77" s="21" t="n">
        <v>0</v>
      </c>
    </row>
    <row r="78">
      <c r="C78" s="191" t="n"/>
      <c r="D78" s="191" t="n"/>
      <c r="E78" s="191" t="n"/>
    </row>
    <row r="79">
      <c r="B79" s="169" t="n"/>
      <c r="C79" s="192" t="inlineStr">
        <is>
          <t>Сьогодні</t>
        </is>
      </c>
      <c r="D79" s="192" t="inlineStr">
        <is>
          <t>Грудень</t>
        </is>
      </c>
      <c r="E79" s="192" t="inlineStr">
        <is>
          <t>Cічень</t>
        </is>
      </c>
      <c r="F79" s="192" t="n"/>
      <c r="G79" s="192" t="inlineStr">
        <is>
          <t>результат</t>
        </is>
      </c>
    </row>
    <row r="80">
      <c r="B80" s="176" t="inlineStr">
        <is>
          <t>Андрій</t>
        </is>
      </c>
      <c r="C80" s="191" t="n">
        <v>48500</v>
      </c>
      <c r="D80" s="191" t="n">
        <v>27320</v>
      </c>
      <c r="E80" s="191" t="n">
        <v>38471</v>
      </c>
      <c r="G80" s="190">
        <f>E80+D80-C80</f>
        <v/>
      </c>
    </row>
    <row r="81">
      <c r="C81" s="191" t="n"/>
      <c r="D81" s="191" t="n"/>
      <c r="E81" s="191" t="n"/>
    </row>
    <row r="82">
      <c r="C82" s="191" t="n"/>
      <c r="D82" s="191" t="n"/>
      <c r="E82" s="191" t="n"/>
    </row>
  </sheetData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pane="bottomLeft" activeCell="D63" sqref="D63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98" t="inlineStr">
        <is>
          <t>EMPL 1</t>
        </is>
      </c>
      <c r="G3" s="110" t="inlineStr">
        <is>
          <t>EMPL 2</t>
        </is>
      </c>
      <c r="H3" s="110" t="inlineStr">
        <is>
          <t>EMPL 3</t>
        </is>
      </c>
      <c r="I3" s="98" t="inlineStr">
        <is>
          <t>EMPL 4</t>
        </is>
      </c>
      <c r="J3" s="31" t="inlineStr">
        <is>
          <t>Total EMPL</t>
        </is>
      </c>
      <c r="K3" s="39" t="inlineStr">
        <is>
          <t>STUDIO</t>
        </is>
      </c>
    </row>
    <row r="4">
      <c r="A4" s="141" t="n"/>
      <c r="B4" s="185" t="inlineStr">
        <is>
          <t>DX-VEO-004-002</t>
        </is>
      </c>
      <c r="C4" s="181" t="n">
        <v>0.5</v>
      </c>
      <c r="D4" s="181">
        <f>C4*9</f>
        <v/>
      </c>
      <c r="E4" s="1">
        <f>D4*5</f>
        <v/>
      </c>
      <c r="G4" s="33">
        <f>D4*12</f>
        <v/>
      </c>
      <c r="H4" s="33" t="n"/>
      <c r="I4" s="33" t="n"/>
      <c r="K4" s="33">
        <f>D4*40</f>
        <v/>
      </c>
      <c r="P4" s="33" t="n"/>
    </row>
    <row r="5">
      <c r="A5" s="141" t="n"/>
      <c r="B5" s="185" t="inlineStr">
        <is>
          <t>DX-VEO-008-001</t>
        </is>
      </c>
      <c r="C5" s="181" t="n">
        <v>0.5</v>
      </c>
      <c r="D5" s="181">
        <f>C5*9</f>
        <v/>
      </c>
      <c r="E5" s="1">
        <f>D5*5</f>
        <v/>
      </c>
      <c r="G5" s="33" t="n"/>
      <c r="H5" s="33" t="n"/>
      <c r="I5" s="33">
        <f>D5*15</f>
        <v/>
      </c>
      <c r="K5" s="33">
        <f>D5*40</f>
        <v/>
      </c>
      <c r="P5" s="33" t="n"/>
    </row>
    <row r="6">
      <c r="A6" s="141" t="n"/>
      <c r="B6" s="185" t="inlineStr">
        <is>
          <t>DX-VEO-009-001</t>
        </is>
      </c>
      <c r="C6" s="181" t="n">
        <v>0.5</v>
      </c>
      <c r="D6" s="181">
        <f>C6*9</f>
        <v/>
      </c>
      <c r="E6" s="1">
        <f>D6*5</f>
        <v/>
      </c>
      <c r="F6" s="33" t="n"/>
      <c r="G6" s="33" t="n"/>
      <c r="H6" s="33" t="n"/>
      <c r="I6" s="33">
        <f>D6*15</f>
        <v/>
      </c>
      <c r="K6" s="33">
        <f>D6*40</f>
        <v/>
      </c>
      <c r="P6" s="33" t="n"/>
    </row>
    <row r="7">
      <c r="A7" s="141" t="n"/>
      <c r="B7" s="185" t="inlineStr">
        <is>
          <t>DX-VEO-010-001</t>
        </is>
      </c>
      <c r="C7" s="181" t="n">
        <v>0.5</v>
      </c>
      <c r="D7" s="181">
        <f>C7*9</f>
        <v/>
      </c>
      <c r="E7" s="1">
        <f>D7*5</f>
        <v/>
      </c>
      <c r="F7" s="33" t="n"/>
      <c r="G7" s="33" t="n"/>
      <c r="H7" s="33" t="n"/>
      <c r="I7" s="33">
        <f>D7*15</f>
        <v/>
      </c>
      <c r="K7" s="33">
        <f>D7*40</f>
        <v/>
      </c>
      <c r="P7" s="33" t="n"/>
    </row>
    <row r="8">
      <c r="A8" s="141" t="n"/>
      <c r="B8" s="185" t="inlineStr">
        <is>
          <t>DX-VEO-011-001</t>
        </is>
      </c>
      <c r="C8" s="181" t="n">
        <v>0.5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D8*40</f>
        <v/>
      </c>
      <c r="P8" s="33" t="n"/>
    </row>
    <row r="9">
      <c r="A9" s="141" t="n"/>
      <c r="B9" s="185" t="inlineStr">
        <is>
          <t>DX-B-098-002</t>
        </is>
      </c>
      <c r="C9" s="181" t="n">
        <v>0.5</v>
      </c>
      <c r="D9" s="181">
        <f>C9*9</f>
        <v/>
      </c>
      <c r="E9" s="1">
        <f>D9*5</f>
        <v/>
      </c>
      <c r="F9" s="33" t="n"/>
      <c r="G9" s="33">
        <f>D9*12</f>
        <v/>
      </c>
      <c r="H9" s="33" t="n"/>
      <c r="I9" s="33" t="n"/>
      <c r="K9" s="33">
        <f>D9*40</f>
        <v/>
      </c>
      <c r="P9" s="33" t="n"/>
    </row>
    <row r="10">
      <c r="A10" s="141" t="n"/>
      <c r="B10" s="185" t="inlineStr">
        <is>
          <t>DX-V-118-004_Chef_Smoothie</t>
        </is>
      </c>
      <c r="C10" s="181" t="n">
        <v>1</v>
      </c>
      <c r="D10" s="181">
        <f>C10*9</f>
        <v/>
      </c>
      <c r="E10" s="1">
        <f>D10*5</f>
        <v/>
      </c>
      <c r="F10" s="33" t="n"/>
      <c r="G10" s="33" t="n"/>
      <c r="H10" s="33" t="n"/>
      <c r="I10" s="33">
        <f>D10*15</f>
        <v/>
      </c>
      <c r="K10" s="33">
        <f>D10*40</f>
        <v/>
      </c>
      <c r="P10" s="33" t="n"/>
    </row>
    <row r="11">
      <c r="A11" s="141" t="n"/>
      <c r="B11" s="185" t="inlineStr">
        <is>
          <t>DX-V-119-011_Trails_DX-V-106-009</t>
        </is>
      </c>
      <c r="C11" s="181" t="n">
        <v>1</v>
      </c>
      <c r="D11" s="181">
        <f>C11*9</f>
        <v/>
      </c>
      <c r="E11" s="1">
        <f>D11*5</f>
        <v/>
      </c>
      <c r="F11" s="33" t="n"/>
      <c r="G11" s="33">
        <f>D11*12</f>
        <v/>
      </c>
      <c r="H11" s="33" t="n"/>
      <c r="I11" s="33" t="n"/>
      <c r="K11" s="33">
        <f>D11*40</f>
        <v/>
      </c>
      <c r="P11" s="33" t="n"/>
    </row>
    <row r="12">
      <c r="A12" s="141" t="n"/>
      <c r="B12" s="185" t="inlineStr">
        <is>
          <t>DX-V-122-004</t>
        </is>
      </c>
      <c r="C12" s="181" t="n">
        <v>1</v>
      </c>
      <c r="D12" s="181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K12" s="33">
        <f>D12*40</f>
        <v/>
      </c>
      <c r="P12" s="33" t="n"/>
    </row>
    <row r="13">
      <c r="A13" s="141" t="n"/>
      <c r="B13" s="185" t="inlineStr">
        <is>
          <t>DX-V-128-003</t>
        </is>
      </c>
      <c r="C13" s="181" t="n">
        <v>0.5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K13" s="33">
        <f>D13*40</f>
        <v/>
      </c>
      <c r="P13" s="33" t="n"/>
    </row>
    <row r="14">
      <c r="A14" s="141" t="n"/>
      <c r="B14" s="185" t="inlineStr">
        <is>
          <t>DX-V-141-003</t>
        </is>
      </c>
      <c r="C14" s="181" t="n">
        <v>1</v>
      </c>
      <c r="D14" s="181">
        <f>C14*9</f>
        <v/>
      </c>
      <c r="E14" s="1">
        <f>D14*5</f>
        <v/>
      </c>
      <c r="F14" s="33" t="n"/>
      <c r="G14" s="33" t="n"/>
      <c r="H14" s="33">
        <f>D14*15</f>
        <v/>
      </c>
      <c r="I14" s="33" t="n"/>
      <c r="K14" s="33">
        <f>D14*40</f>
        <v/>
      </c>
      <c r="P14" s="33" t="n"/>
    </row>
    <row r="15">
      <c r="A15" s="141" t="n"/>
      <c r="B15" s="185" t="inlineStr">
        <is>
          <t>DX-B-015-003</t>
        </is>
      </c>
      <c r="C15" s="181" t="n">
        <v>0.3</v>
      </c>
      <c r="D15" s="181">
        <f>C15*9</f>
        <v/>
      </c>
      <c r="E15" s="1">
        <f>D15*5</f>
        <v/>
      </c>
      <c r="F15" s="33" t="n"/>
      <c r="G15" s="33" t="n"/>
      <c r="H15" s="33" t="n"/>
      <c r="I15" s="33">
        <f>D15*15</f>
        <v/>
      </c>
      <c r="K15" s="33">
        <f>D15*40</f>
        <v/>
      </c>
      <c r="P15" s="33" t="n"/>
    </row>
    <row r="16" ht="25" customHeight="1">
      <c r="A16" s="125" t="inlineStr">
        <is>
          <t>DD</t>
        </is>
      </c>
      <c r="B16" s="125" t="inlineStr">
        <is>
          <t>MGX</t>
        </is>
      </c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</row>
    <row r="17">
      <c r="A17" s="141" t="n"/>
      <c r="B17" s="185" t="inlineStr">
        <is>
          <t>DD-V-137-065</t>
        </is>
      </c>
      <c r="C17" s="181" t="n">
        <v>0.3</v>
      </c>
      <c r="D17" s="181">
        <f>C17*9</f>
        <v/>
      </c>
      <c r="E17" s="1">
        <f>D17*5</f>
        <v/>
      </c>
      <c r="F17" s="33" t="n"/>
      <c r="G17" s="33" t="n"/>
      <c r="H17" s="33">
        <f>D17*15</f>
        <v/>
      </c>
      <c r="I17" s="33" t="n"/>
      <c r="K17" s="33">
        <f>D17*35</f>
        <v/>
      </c>
    </row>
    <row r="18">
      <c r="A18" s="141" t="n"/>
      <c r="B18" s="185" t="inlineStr">
        <is>
          <t>DD-V-292-022</t>
        </is>
      </c>
      <c r="C18" s="181" t="n">
        <v>0.2</v>
      </c>
      <c r="D18" s="181">
        <f>C18*9</f>
        <v/>
      </c>
      <c r="E18" s="1">
        <f>D18*5</f>
        <v/>
      </c>
      <c r="F18" s="33">
        <f>D18*15</f>
        <v/>
      </c>
      <c r="G18" s="33" t="n"/>
      <c r="H18" s="33" t="n"/>
      <c r="I18" s="33" t="n"/>
      <c r="K18" s="33">
        <f>D18*35</f>
        <v/>
      </c>
    </row>
    <row r="19">
      <c r="A19" s="141" t="n"/>
      <c r="B19" s="188" t="inlineStr">
        <is>
          <t xml:space="preserve">DD XMAS Resize </t>
        </is>
      </c>
      <c r="C19" s="181" t="n">
        <v>0.5</v>
      </c>
      <c r="D19" s="181">
        <f>C19*9</f>
        <v/>
      </c>
      <c r="E19" s="1">
        <f>D19*5</f>
        <v/>
      </c>
      <c r="F19" s="33">
        <f>D19*15</f>
        <v/>
      </c>
      <c r="G19" s="33" t="n"/>
      <c r="H19" s="33" t="n"/>
      <c r="I19" s="33" t="n"/>
      <c r="K19" s="33">
        <f>D19*35</f>
        <v/>
      </c>
    </row>
    <row r="20">
      <c r="A20" s="141" t="n"/>
      <c r="B20" s="188" t="inlineStr">
        <is>
          <t>DD-V-292-023</t>
        </is>
      </c>
      <c r="C20" s="181" t="n">
        <v>0.3</v>
      </c>
      <c r="D20" s="181">
        <f>C20*9</f>
        <v/>
      </c>
      <c r="E20" s="1">
        <f>D20*5</f>
        <v/>
      </c>
      <c r="F20" s="33">
        <f>D20*15</f>
        <v/>
      </c>
      <c r="G20" s="33" t="n"/>
      <c r="H20" s="33" t="n"/>
      <c r="I20" s="33" t="n"/>
      <c r="K20" s="33">
        <f>D20*35</f>
        <v/>
      </c>
    </row>
    <row r="21">
      <c r="A21" s="141" t="n"/>
      <c r="B21" s="188" t="inlineStr">
        <is>
          <t>DD-SS-003-008</t>
        </is>
      </c>
      <c r="C21" s="181" t="n">
        <v>0.5</v>
      </c>
      <c r="D21" s="181">
        <f>C21*9</f>
        <v/>
      </c>
      <c r="E21" s="1">
        <f>D21*5</f>
        <v/>
      </c>
      <c r="F21" s="33" t="n"/>
      <c r="G21" s="33">
        <f>D21*12</f>
        <v/>
      </c>
      <c r="H21" s="33" t="n"/>
      <c r="I21" s="33" t="n"/>
      <c r="K21" s="33">
        <f>D21*35</f>
        <v/>
      </c>
    </row>
    <row r="22">
      <c r="A22" s="141" t="n"/>
      <c r="B22" s="188" t="inlineStr">
        <is>
          <t>DD - Translate To IT - DD-V-292-022</t>
        </is>
      </c>
      <c r="C22" s="181" t="n">
        <v>0.5</v>
      </c>
      <c r="D22" s="181">
        <f>C22*9</f>
        <v/>
      </c>
      <c r="E22" s="1">
        <f>D22*5</f>
        <v/>
      </c>
      <c r="F22" s="33" t="n"/>
      <c r="G22" s="33">
        <f>D22*12</f>
        <v/>
      </c>
      <c r="H22" s="33" t="n"/>
      <c r="I22" s="33" t="n"/>
      <c r="K22" s="33">
        <f>D22*35</f>
        <v/>
      </c>
    </row>
    <row r="23">
      <c r="A23" s="141" t="n"/>
      <c r="B23" s="188" t="inlineStr">
        <is>
          <t>DD IT Translation - DD-V-295-001_FindPeon</t>
        </is>
      </c>
      <c r="C23" s="181" t="n">
        <v>0.3</v>
      </c>
      <c r="D23" s="181">
        <f>C23*9</f>
        <v/>
      </c>
      <c r="E23" s="1">
        <f>D23*5</f>
        <v/>
      </c>
      <c r="F23" s="33" t="n"/>
      <c r="G23" s="33" t="n"/>
      <c r="H23" s="33" t="n"/>
      <c r="I23" s="33">
        <f>D23*15</f>
        <v/>
      </c>
      <c r="K23" s="33">
        <f>D23*35</f>
        <v/>
      </c>
    </row>
    <row r="24">
      <c r="A24" s="141" t="n"/>
      <c r="B24" s="189" t="inlineStr">
        <is>
          <t>DD IT Translate - DD-V-137-065_FakeTrail</t>
        </is>
      </c>
      <c r="C24" s="181" t="n">
        <v>0.5</v>
      </c>
      <c r="D24" s="181">
        <f>C24*9</f>
        <v/>
      </c>
      <c r="E24" s="1">
        <f>D24*5</f>
        <v/>
      </c>
      <c r="F24" s="33">
        <f>D24*15</f>
        <v/>
      </c>
      <c r="G24" s="33" t="n"/>
      <c r="H24" s="33" t="n"/>
      <c r="I24" s="33" t="n"/>
      <c r="K24" s="33">
        <f>D24*35</f>
        <v/>
      </c>
    </row>
    <row r="25">
      <c r="A25" s="141" t="n"/>
      <c r="B25" s="189" t="inlineStr">
        <is>
          <t>DD IT Translate - DD-V-049-001_Trail_Knight</t>
        </is>
      </c>
      <c r="C25" s="181" t="n">
        <v>0.5</v>
      </c>
      <c r="D25" s="181">
        <f>C25*9</f>
        <v/>
      </c>
      <c r="E25" s="1">
        <f>D25*5</f>
        <v/>
      </c>
      <c r="F25" s="33" t="n"/>
      <c r="G25" s="33">
        <f>D25*12</f>
        <v/>
      </c>
      <c r="H25" s="33" t="n"/>
      <c r="I25" s="33" t="n"/>
      <c r="K25" s="33">
        <f>D25*35</f>
        <v/>
      </c>
    </row>
    <row r="26">
      <c r="A26" s="141" t="n"/>
      <c r="B26" s="189" t="inlineStr">
        <is>
          <t>DD-H-265-001_DailyGift</t>
        </is>
      </c>
      <c r="C26" s="181" t="n">
        <v>0.5</v>
      </c>
      <c r="D26" s="181">
        <f>C26*9</f>
        <v/>
      </c>
      <c r="E26" s="1">
        <f>D26*5</f>
        <v/>
      </c>
      <c r="F26" s="33" t="n"/>
      <c r="G26" s="33">
        <f>D26*12</f>
        <v/>
      </c>
      <c r="H26" s="33" t="n"/>
      <c r="I26" s="33" t="n"/>
      <c r="K26" s="33">
        <f>D26*35</f>
        <v/>
      </c>
    </row>
    <row r="27">
      <c r="A27" s="141" t="n"/>
      <c r="B27" s="189" t="inlineStr">
        <is>
          <t>DD-V-254-004</t>
        </is>
      </c>
      <c r="C27" s="181" t="n">
        <v>1</v>
      </c>
      <c r="D27" s="181">
        <f>C27*9</f>
        <v/>
      </c>
      <c r="E27" s="1">
        <f>D27*5</f>
        <v/>
      </c>
      <c r="F27" s="33" t="n"/>
      <c r="G27" s="33">
        <f>D27*12</f>
        <v/>
      </c>
      <c r="H27" s="33" t="n"/>
      <c r="I27" s="33" t="n"/>
      <c r="K27" s="33">
        <f>D27*35</f>
        <v/>
      </c>
    </row>
    <row r="28">
      <c r="A28" s="141" t="n"/>
      <c r="B28" s="189" t="inlineStr">
        <is>
          <t>DD IT - 3 VEO Hooks  |  VEO Cake</t>
        </is>
      </c>
      <c r="C28" s="181" t="n">
        <v>0.8</v>
      </c>
      <c r="D28" s="181">
        <f>C28*9</f>
        <v/>
      </c>
      <c r="E28" s="1">
        <f>D28*5</f>
        <v/>
      </c>
      <c r="F28" s="33">
        <f>D28*15</f>
        <v/>
      </c>
      <c r="G28" s="33" t="n"/>
      <c r="H28" s="33" t="n"/>
      <c r="I28" s="33" t="n"/>
      <c r="K28" s="33">
        <f>D28*35</f>
        <v/>
      </c>
    </row>
    <row r="29">
      <c r="A29" s="141" t="n"/>
      <c r="B29" s="189" t="inlineStr">
        <is>
          <t>DD IT - 3 VEO Hooks  |  VEO Football</t>
        </is>
      </c>
      <c r="C29" s="181" t="n">
        <v>0.8</v>
      </c>
      <c r="D29" s="181">
        <f>C29*9</f>
        <v/>
      </c>
      <c r="E29" s="1">
        <f>D29*5</f>
        <v/>
      </c>
      <c r="F29" s="33" t="n"/>
      <c r="G29" s="33" t="n"/>
      <c r="H29" s="33">
        <f>D29*15</f>
        <v/>
      </c>
      <c r="I29" s="33" t="n"/>
      <c r="K29" s="33">
        <f>D29*35</f>
        <v/>
      </c>
    </row>
    <row r="30">
      <c r="A30" s="141" t="n"/>
      <c r="B30" s="189" t="inlineStr">
        <is>
          <t>DD IT - 3 VEO Hooks  |  VEO Emily</t>
        </is>
      </c>
      <c r="C30" s="181" t="n">
        <v>0.8</v>
      </c>
      <c r="D30" s="181">
        <f>C30*9</f>
        <v/>
      </c>
      <c r="E30" s="1">
        <f>D30*5</f>
        <v/>
      </c>
      <c r="F30" s="33" t="n"/>
      <c r="G30" s="33" t="n"/>
      <c r="H30" s="33" t="n"/>
      <c r="I30" s="33">
        <f>D30*15</f>
        <v/>
      </c>
      <c r="K30" s="33">
        <f>D30*35</f>
        <v/>
      </c>
    </row>
    <row r="31">
      <c r="A31" s="141" t="n"/>
      <c r="B31" s="189" t="inlineStr">
        <is>
          <t>DD IT Translate - DD-V-292-005_WheelOfFortune</t>
        </is>
      </c>
      <c r="C31" s="181" t="n">
        <v>0.5</v>
      </c>
      <c r="D31" s="181">
        <f>C31*9</f>
        <v/>
      </c>
      <c r="E31" s="1">
        <f>D31*5</f>
        <v/>
      </c>
      <c r="F31" s="33" t="n"/>
      <c r="G31" s="33" t="n"/>
      <c r="H31" s="33">
        <f>D31*15</f>
        <v/>
      </c>
      <c r="I31" s="33" t="n"/>
      <c r="K31" s="33">
        <f>D31*35</f>
        <v/>
      </c>
    </row>
    <row r="32">
      <c r="A32" s="118" t="inlineStr">
        <is>
          <t>total</t>
        </is>
      </c>
      <c r="B32" s="57" t="n"/>
      <c r="C32" s="11">
        <f>SUM(C4:C31)</f>
        <v/>
      </c>
      <c r="D32" s="11">
        <f>SUM(D4:D31)</f>
        <v/>
      </c>
      <c r="E32" s="59">
        <f>SUM(E4:E31)</f>
        <v/>
      </c>
      <c r="F32" s="59">
        <f>SUM(F4:F31)</f>
        <v/>
      </c>
      <c r="G32" s="59">
        <f>SUM(G4:G31)</f>
        <v/>
      </c>
      <c r="H32" s="59">
        <f>SUM(H4:H31)</f>
        <v/>
      </c>
      <c r="I32" s="59">
        <f>SUM(I4:I31)</f>
        <v/>
      </c>
      <c r="J32" s="59">
        <f>SUM(E32:I32)</f>
        <v/>
      </c>
      <c r="K32" s="60">
        <f>SUM(K4:K31)</f>
        <v/>
      </c>
      <c r="L32" s="39" t="n"/>
      <c r="M32" s="29" t="inlineStr">
        <is>
          <t>UAH</t>
        </is>
      </c>
      <c r="N32" s="16" t="inlineStr">
        <is>
          <t>USD</t>
        </is>
      </c>
    </row>
    <row r="33">
      <c r="E33" s="142">
        <f>E32*42</f>
        <v/>
      </c>
      <c r="F33" s="142">
        <f>F32*42</f>
        <v/>
      </c>
      <c r="G33" s="142">
        <f>G32*42</f>
        <v/>
      </c>
      <c r="H33" s="142">
        <f>H32*41.3</f>
        <v/>
      </c>
      <c r="I33" s="142">
        <f>I32*41.3</f>
        <v/>
      </c>
      <c r="J33" s="7">
        <f>J32*40</f>
        <v/>
      </c>
      <c r="K33" s="7">
        <f>K32*40</f>
        <v/>
      </c>
      <c r="L33" s="5" t="inlineStr">
        <is>
          <t>CLIENT IN</t>
        </is>
      </c>
      <c r="M33" s="7">
        <f>N33*40</f>
        <v/>
      </c>
      <c r="N33" s="8">
        <f>K32</f>
        <v/>
      </c>
      <c r="S33" s="4" t="n"/>
    </row>
    <row r="34">
      <c r="G34" s="33" t="n"/>
      <c r="H34" s="123" t="n"/>
      <c r="I34" s="123" t="n"/>
      <c r="L34" s="5" t="inlineStr">
        <is>
          <t>STUDIO (TAX)</t>
        </is>
      </c>
      <c r="M34" s="7">
        <f>N34*40</f>
        <v/>
      </c>
      <c r="N34" s="8">
        <f>N33-N33*0.05</f>
        <v/>
      </c>
    </row>
    <row r="35">
      <c r="B35" s="1" t="n"/>
      <c r="E35" s="21" t="n"/>
      <c r="F35" s="1" t="n">
        <v>45</v>
      </c>
      <c r="G35" s="33" t="n">
        <v>36.9</v>
      </c>
      <c r="H35" s="1" t="n">
        <v>13.5</v>
      </c>
      <c r="I35" s="1" t="n">
        <v>55.8</v>
      </c>
      <c r="L35" s="5" t="inlineStr">
        <is>
          <t>EMPL</t>
        </is>
      </c>
      <c r="M35" s="7">
        <f>N35*40</f>
        <v/>
      </c>
      <c r="N35" s="8">
        <f>J32</f>
        <v/>
      </c>
    </row>
    <row r="36">
      <c r="B36" s="1" t="n"/>
      <c r="F36" s="1">
        <f>F35*15</f>
        <v/>
      </c>
      <c r="G36" s="1">
        <f>G35*15</f>
        <v/>
      </c>
      <c r="H36" s="1">
        <f>H35*15</f>
        <v/>
      </c>
      <c r="I36" s="1">
        <f>I35*15</f>
        <v/>
      </c>
      <c r="L36" s="37" t="inlineStr">
        <is>
          <t>STUDIO</t>
        </is>
      </c>
      <c r="M36" s="7">
        <f>N36*40</f>
        <v/>
      </c>
      <c r="N36" s="8">
        <f>N34-N35</f>
        <v/>
      </c>
    </row>
    <row r="37">
      <c r="B37" s="1" t="n"/>
    </row>
    <row r="38">
      <c r="B38" s="1" t="n"/>
    </row>
    <row r="39">
      <c r="B39" s="1" t="n"/>
    </row>
    <row r="40">
      <c r="B40" s="144" t="n"/>
      <c r="C40" s="166" t="n"/>
      <c r="D40" s="176" t="n"/>
    </row>
    <row r="41">
      <c r="B41" s="169" t="n"/>
      <c r="C41" s="166" t="n"/>
      <c r="D41" s="176" t="n"/>
    </row>
    <row r="42">
      <c r="B42" s="169" t="n"/>
      <c r="C42" s="166" t="n"/>
      <c r="D42" s="176" t="n"/>
    </row>
    <row r="43">
      <c r="B43" s="144" t="n"/>
      <c r="C43" s="166" t="n"/>
      <c r="D43" s="176" t="n"/>
    </row>
    <row r="44">
      <c r="B44" s="167" t="n"/>
      <c r="C44" s="166" t="n"/>
      <c r="D44" s="176" t="n"/>
    </row>
    <row r="45">
      <c r="B45" s="169" t="n"/>
      <c r="C45" s="166" t="n"/>
      <c r="D45" s="176" t="n"/>
      <c r="E45" s="192" t="n"/>
      <c r="I45" s="144" t="n"/>
      <c r="J45" s="166" t="n"/>
      <c r="K45" s="176" t="n"/>
    </row>
    <row r="46">
      <c r="B46" s="176" t="n"/>
      <c r="C46" s="191" t="n"/>
      <c r="D46" s="191" t="n"/>
      <c r="E46" s="21" t="n"/>
      <c r="I46" s="169" t="n"/>
      <c r="J46" s="166" t="n"/>
      <c r="K46" s="176" t="n"/>
    </row>
    <row r="47">
      <c r="B47" s="176" t="n"/>
      <c r="C47" s="191" t="n"/>
      <c r="D47" s="191" t="n"/>
      <c r="E47" s="21" t="n"/>
      <c r="I47" s="169" t="n"/>
      <c r="J47" s="166" t="n"/>
      <c r="K47" s="176" t="n"/>
    </row>
    <row r="48">
      <c r="B48" s="176" t="n"/>
      <c r="C48" s="191" t="n"/>
      <c r="D48" s="191" t="n"/>
      <c r="E48" s="21" t="n"/>
      <c r="I48" s="144" t="n"/>
      <c r="J48" s="166" t="n"/>
      <c r="K48" s="176" t="n"/>
    </row>
    <row r="49">
      <c r="B49" s="176" t="n"/>
      <c r="C49" s="191" t="n"/>
      <c r="D49" s="191" t="n"/>
      <c r="E49" s="21" t="n"/>
      <c r="I49" s="167" t="n"/>
      <c r="J49" s="166" t="n"/>
      <c r="K49" s="176" t="n"/>
    </row>
    <row r="50">
      <c r="B50" s="176" t="n"/>
      <c r="C50" s="191" t="n"/>
      <c r="D50" s="191" t="n"/>
      <c r="E50" s="21" t="n"/>
      <c r="I50" s="169" t="n"/>
      <c r="J50" s="166" t="n"/>
      <c r="K50" s="176" t="n"/>
    </row>
    <row r="51">
      <c r="B51" s="176" t="n"/>
      <c r="C51" s="176" t="n"/>
      <c r="D51" s="176" t="n"/>
      <c r="I51" s="169" t="n"/>
      <c r="J51" s="166" t="n"/>
      <c r="K51" s="176" t="n"/>
    </row>
    <row r="52">
      <c r="B52" s="176" t="n"/>
      <c r="C52" s="176" t="n"/>
      <c r="D52" s="191" t="n"/>
      <c r="I52" s="169" t="n"/>
      <c r="J52" s="166" t="n"/>
      <c r="K52" s="176" t="n"/>
    </row>
    <row r="53">
      <c r="B53" s="176" t="n"/>
      <c r="C53" s="176" t="n"/>
      <c r="D53" s="176" t="n"/>
      <c r="I53" s="169" t="n"/>
      <c r="J53" s="166" t="n"/>
      <c r="K53" s="176" t="n"/>
    </row>
    <row r="54">
      <c r="B54" s="176" t="n"/>
      <c r="C54" s="176" t="n"/>
      <c r="D54" s="176" t="n"/>
      <c r="I54" s="169" t="n"/>
      <c r="J54" s="171" t="n"/>
      <c r="K54" s="176" t="n"/>
    </row>
    <row r="55">
      <c r="B55" s="176" t="n"/>
      <c r="C55" s="176" t="n"/>
      <c r="D55" s="176" t="n"/>
      <c r="I55" s="169" t="n"/>
      <c r="J55" s="171" t="n"/>
      <c r="K55" s="176" t="n"/>
    </row>
    <row r="56">
      <c r="B56" s="176" t="n"/>
      <c r="C56" s="176" t="n"/>
      <c r="D56" s="176" t="n"/>
      <c r="I56" s="169" t="n"/>
      <c r="J56" s="171" t="n"/>
      <c r="K56" s="176" t="n"/>
    </row>
    <row r="57">
      <c r="B57" s="176" t="n"/>
      <c r="C57" s="176" t="n"/>
      <c r="D57" s="176" t="n"/>
      <c r="I57" s="169" t="n"/>
      <c r="J57" s="166" t="n"/>
      <c r="K57" s="176" t="n"/>
    </row>
  </sheetData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71"/>
  <sheetViews>
    <sheetView zoomScaleNormal="100" workbookViewId="0">
      <pane ySplit="2" topLeftCell="A3" activePane="bottomLeft" state="frozen"/>
      <selection pane="bottomLeft" activeCell="F60" sqref="F60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98" t="inlineStr">
        <is>
          <t>EMPL 1</t>
        </is>
      </c>
      <c r="G3" s="110" t="inlineStr">
        <is>
          <t>EMPL 2</t>
        </is>
      </c>
      <c r="H3" s="110" t="inlineStr">
        <is>
          <t>EMPL 3</t>
        </is>
      </c>
      <c r="I3" s="98" t="inlineStr">
        <is>
          <t>EMPL 4</t>
        </is>
      </c>
      <c r="J3" s="31" t="inlineStr">
        <is>
          <t>Total EMPL</t>
        </is>
      </c>
      <c r="K3" s="39" t="inlineStr">
        <is>
          <t>STUDIO</t>
        </is>
      </c>
    </row>
    <row r="4">
      <c r="A4" s="141" t="n"/>
      <c r="B4" s="144" t="inlineStr">
        <is>
          <t>DX-V-002-038</t>
        </is>
      </c>
      <c r="C4" s="181" t="n">
        <v>0.2</v>
      </c>
      <c r="D4" s="181">
        <f>C4*9</f>
        <v/>
      </c>
      <c r="E4" s="1">
        <f>D4*5</f>
        <v/>
      </c>
      <c r="G4" s="33">
        <f>D4*12</f>
        <v/>
      </c>
      <c r="H4" s="33" t="n"/>
      <c r="I4" s="33" t="n"/>
      <c r="K4" s="33">
        <f>D4*40</f>
        <v/>
      </c>
      <c r="P4" s="33" t="n"/>
    </row>
    <row r="5">
      <c r="A5" s="141" t="n"/>
      <c r="B5" s="144" t="inlineStr">
        <is>
          <t>DX-VEO-005-001</t>
        </is>
      </c>
      <c r="C5" s="181" t="n">
        <v>0.5</v>
      </c>
      <c r="D5" s="181">
        <f>C5*9</f>
        <v/>
      </c>
      <c r="E5" s="1">
        <f>D5*5</f>
        <v/>
      </c>
      <c r="G5" s="33" t="n"/>
      <c r="H5" s="33" t="n"/>
      <c r="I5" s="33">
        <f>D5*15</f>
        <v/>
      </c>
      <c r="K5" s="33">
        <f>D5*40</f>
        <v/>
      </c>
      <c r="P5" s="33" t="n"/>
    </row>
    <row r="6">
      <c r="A6" s="140" t="n"/>
      <c r="B6" s="144" t="inlineStr">
        <is>
          <t>DX-VEO-006-001</t>
        </is>
      </c>
      <c r="C6" s="181" t="n">
        <v>0.5</v>
      </c>
      <c r="D6" s="181">
        <f>C6*9</f>
        <v/>
      </c>
      <c r="E6" s="1">
        <f>D6*5</f>
        <v/>
      </c>
      <c r="F6" s="33" t="n"/>
      <c r="G6" s="33" t="n"/>
      <c r="H6" s="33" t="n"/>
      <c r="I6" s="33">
        <f>D6*15</f>
        <v/>
      </c>
      <c r="K6" s="33">
        <f>D6*40</f>
        <v/>
      </c>
      <c r="P6" s="33" t="n"/>
    </row>
    <row r="7">
      <c r="A7" s="141" t="n"/>
      <c r="B7" s="144" t="inlineStr">
        <is>
          <t>DX-VEO-007-001</t>
        </is>
      </c>
      <c r="C7" s="181" t="n">
        <v>0.5</v>
      </c>
      <c r="D7" s="181">
        <f>C7*9</f>
        <v/>
      </c>
      <c r="E7" s="1">
        <f>D7*5</f>
        <v/>
      </c>
      <c r="F7" s="33" t="n"/>
      <c r="G7" s="33" t="n"/>
      <c r="H7" s="33" t="n"/>
      <c r="I7" s="33">
        <f>D7*15</f>
        <v/>
      </c>
      <c r="K7" s="33">
        <f>D7*40</f>
        <v/>
      </c>
      <c r="P7" s="33" t="n"/>
    </row>
    <row r="8">
      <c r="A8" s="141" t="n"/>
      <c r="B8" s="144" t="inlineStr">
        <is>
          <t>DX-B-087-003</t>
        </is>
      </c>
      <c r="C8" s="181" t="n">
        <v>0.2</v>
      </c>
      <c r="D8" s="18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D8*40</f>
        <v/>
      </c>
      <c r="P8" s="33" t="n"/>
    </row>
    <row r="9">
      <c r="A9" s="141" t="n"/>
      <c r="B9" s="144" t="inlineStr">
        <is>
          <t>DX-V-107-014</t>
        </is>
      </c>
      <c r="C9" s="181" t="n">
        <v>0.3</v>
      </c>
      <c r="D9" s="181">
        <f>C9*9</f>
        <v/>
      </c>
      <c r="E9" s="1">
        <f>D9*5</f>
        <v/>
      </c>
      <c r="F9" s="33" t="n"/>
      <c r="G9" s="33">
        <f>D9*12</f>
        <v/>
      </c>
      <c r="H9" s="33" t="n"/>
      <c r="I9" s="33" t="n"/>
      <c r="K9" s="33">
        <f>D9*40</f>
        <v/>
      </c>
      <c r="P9" s="33" t="n"/>
    </row>
    <row r="10">
      <c r="A10" s="140" t="n"/>
      <c r="B10" s="144" t="inlineStr">
        <is>
          <t>DX-V-127-003</t>
        </is>
      </c>
      <c r="C10" s="181" t="n">
        <v>1</v>
      </c>
      <c r="D10" s="181">
        <f>C10*9</f>
        <v/>
      </c>
      <c r="E10" s="1">
        <f>D10*5</f>
        <v/>
      </c>
      <c r="F10" s="33" t="n"/>
      <c r="G10" s="33" t="n"/>
      <c r="H10" s="33" t="n"/>
      <c r="I10" s="33">
        <f>D10*15</f>
        <v/>
      </c>
      <c r="K10" s="33">
        <f>D10*40</f>
        <v/>
      </c>
      <c r="P10" s="33" t="n"/>
    </row>
    <row r="11">
      <c r="A11" s="141" t="n"/>
      <c r="B11" s="144" t="inlineStr">
        <is>
          <t>DX-V-128-002</t>
        </is>
      </c>
      <c r="C11" s="181" t="n">
        <v>0.3</v>
      </c>
      <c r="D11" s="181">
        <f>C11*9</f>
        <v/>
      </c>
      <c r="E11" s="1">
        <f>D11*5</f>
        <v/>
      </c>
      <c r="F11" s="33" t="n"/>
      <c r="G11" s="33">
        <f>D11*12</f>
        <v/>
      </c>
      <c r="H11" s="33" t="n"/>
      <c r="I11" s="33" t="n"/>
      <c r="K11" s="33">
        <f>D11*40</f>
        <v/>
      </c>
      <c r="P11" s="33" t="n"/>
    </row>
    <row r="12">
      <c r="A12" s="140" t="n"/>
      <c r="B12" s="144" t="inlineStr">
        <is>
          <t>DX-V-136-002</t>
        </is>
      </c>
      <c r="C12" s="181" t="n">
        <v>1.5</v>
      </c>
      <c r="D12" s="181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K12" s="33">
        <f>D12*40</f>
        <v/>
      </c>
      <c r="P12" s="33" t="n"/>
    </row>
    <row r="13">
      <c r="A13" s="140" t="n"/>
      <c r="B13" s="144" t="inlineStr">
        <is>
          <t>DX-V-122-001</t>
        </is>
      </c>
      <c r="C13" s="181" t="n">
        <v>1.5</v>
      </c>
      <c r="D13" s="181">
        <f>C13*9</f>
        <v/>
      </c>
      <c r="E13" s="1">
        <f>D13*5</f>
        <v/>
      </c>
      <c r="F13" s="33" t="n"/>
      <c r="G13" s="33" t="n"/>
      <c r="H13" s="33">
        <f>D13*15</f>
        <v/>
      </c>
      <c r="I13" s="33" t="n"/>
      <c r="K13" s="33">
        <f>D13*40</f>
        <v/>
      </c>
      <c r="P13" s="33" t="n"/>
    </row>
    <row r="14">
      <c r="A14" s="141" t="n"/>
      <c r="B14" s="144" t="inlineStr">
        <is>
          <t>DX-V-119-008</t>
        </is>
      </c>
      <c r="C14" s="181" t="n">
        <v>2.3</v>
      </c>
      <c r="D14" s="181">
        <f>C14*9</f>
        <v/>
      </c>
      <c r="E14" s="1">
        <f>D14*5</f>
        <v/>
      </c>
      <c r="F14" s="33" t="n"/>
      <c r="G14" s="33" t="n"/>
      <c r="H14" s="33">
        <f>D14*15</f>
        <v/>
      </c>
      <c r="I14" s="33" t="n"/>
      <c r="K14" s="33">
        <f>D14*40</f>
        <v/>
      </c>
      <c r="P14" s="33" t="n"/>
    </row>
    <row r="15">
      <c r="A15" s="141" t="n"/>
      <c r="B15" s="144" t="inlineStr">
        <is>
          <t>DX-V-122-002</t>
        </is>
      </c>
      <c r="C15" s="181" t="n">
        <v>1.5</v>
      </c>
      <c r="D15" s="181">
        <f>C15*9</f>
        <v/>
      </c>
      <c r="E15" s="1">
        <f>D15*5</f>
        <v/>
      </c>
      <c r="F15" s="33" t="n"/>
      <c r="G15" s="33" t="n"/>
      <c r="H15" s="33" t="n"/>
      <c r="I15" s="33">
        <f>D15*15</f>
        <v/>
      </c>
      <c r="K15" s="33">
        <f>D15*40</f>
        <v/>
      </c>
      <c r="P15" s="33" t="n"/>
    </row>
    <row r="16">
      <c r="A16" s="141" t="n"/>
      <c r="B16" s="144" t="inlineStr">
        <is>
          <t>DX-V-119-001</t>
        </is>
      </c>
      <c r="C16" s="181" t="n">
        <v>1</v>
      </c>
      <c r="D16" s="181">
        <f>C16*9</f>
        <v/>
      </c>
      <c r="E16" s="1">
        <f>D16*5</f>
        <v/>
      </c>
      <c r="F16" s="33" t="n"/>
      <c r="G16" s="33" t="n"/>
      <c r="H16" s="33">
        <f>D16*15</f>
        <v/>
      </c>
      <c r="I16" s="33" t="n"/>
      <c r="K16" s="33">
        <f>D16*40</f>
        <v/>
      </c>
      <c r="P16" s="33" t="n"/>
    </row>
    <row r="17">
      <c r="A17" s="141" t="n"/>
      <c r="B17" s="144" t="inlineStr">
        <is>
          <t>DX-V-128-001</t>
        </is>
      </c>
      <c r="C17" s="181" t="n">
        <v>0.5</v>
      </c>
      <c r="D17" s="181">
        <f>C17*9</f>
        <v/>
      </c>
      <c r="E17" s="1">
        <f>D17*5</f>
        <v/>
      </c>
      <c r="F17" s="33">
        <f>D17*15</f>
        <v/>
      </c>
      <c r="G17" s="33" t="n"/>
      <c r="H17" s="33" t="n"/>
      <c r="I17" s="33" t="n"/>
      <c r="K17" s="33">
        <f>D17*40</f>
        <v/>
      </c>
      <c r="P17" s="33" t="n"/>
    </row>
    <row r="18">
      <c r="A18" s="141" t="n"/>
      <c r="B18" s="144" t="inlineStr">
        <is>
          <t>DX-SS-019-002</t>
        </is>
      </c>
      <c r="C18" s="181" t="n">
        <v>1</v>
      </c>
      <c r="D18" s="181">
        <f>C18*9</f>
        <v/>
      </c>
      <c r="E18" s="1">
        <f>D18*5</f>
        <v/>
      </c>
      <c r="F18" s="33">
        <f>D18*15</f>
        <v/>
      </c>
      <c r="G18" s="33" t="n"/>
      <c r="H18" s="33" t="n"/>
      <c r="I18" s="33" t="n"/>
      <c r="K18" s="33">
        <f>D18*40</f>
        <v/>
      </c>
      <c r="P18" s="33" t="n"/>
    </row>
    <row r="19">
      <c r="A19" s="141" t="n"/>
      <c r="B19" s="144" t="inlineStr">
        <is>
          <t>DX-V-135-002</t>
        </is>
      </c>
      <c r="C19" s="181" t="n">
        <v>0.6</v>
      </c>
      <c r="D19" s="181">
        <f>C19*9</f>
        <v/>
      </c>
      <c r="E19" s="1">
        <f>D19*5</f>
        <v/>
      </c>
      <c r="F19" s="33" t="n"/>
      <c r="G19" s="33" t="n"/>
      <c r="H19" s="33" t="n"/>
      <c r="I19" s="33">
        <f>D19*15</f>
        <v/>
      </c>
      <c r="K19" s="33">
        <f>D19*40</f>
        <v/>
      </c>
      <c r="P19" s="33" t="n"/>
    </row>
    <row r="20" ht="25" customHeight="1">
      <c r="A20" s="125" t="inlineStr">
        <is>
          <t>DD</t>
        </is>
      </c>
      <c r="B20" s="125" t="inlineStr">
        <is>
          <t>MGX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</row>
    <row r="21">
      <c r="A21" s="141" t="n"/>
      <c r="B21" s="144" t="inlineStr">
        <is>
          <t>Cameo UGC | NEW  |  Video ITR</t>
        </is>
      </c>
      <c r="C21" s="181" t="n">
        <v>0.3</v>
      </c>
      <c r="D21" s="181">
        <f>C21*9</f>
        <v/>
      </c>
      <c r="E21" s="1">
        <f>D21*5</f>
        <v/>
      </c>
      <c r="F21" s="33" t="n"/>
      <c r="G21" s="33" t="n"/>
      <c r="H21" s="33">
        <f>D21*15</f>
        <v/>
      </c>
      <c r="I21" s="33" t="n"/>
      <c r="K21" s="33">
        <f>D21*35</f>
        <v/>
      </c>
    </row>
    <row r="22">
      <c r="A22" s="141" t="n"/>
      <c r="B22" s="144" t="inlineStr">
        <is>
          <t xml:space="preserve">DD-V-078_FirePhoneSwipe </t>
        </is>
      </c>
      <c r="C22" s="181" t="n">
        <v>0.3</v>
      </c>
      <c r="D22" s="181">
        <f>C22*9</f>
        <v/>
      </c>
      <c r="E22" s="1">
        <f>D22*5</f>
        <v/>
      </c>
      <c r="F22" s="33">
        <f>D22*15</f>
        <v/>
      </c>
      <c r="G22" s="33" t="n"/>
      <c r="H22" s="33" t="n"/>
      <c r="I22" s="33" t="n"/>
      <c r="K22" s="33">
        <f>D22*35</f>
        <v/>
      </c>
    </row>
    <row r="23">
      <c r="A23" s="141" t="n"/>
      <c r="B23" s="169" t="inlineStr">
        <is>
          <t>DD-V-078__NoDiceTryItYourself</t>
        </is>
      </c>
      <c r="C23" s="181" t="n">
        <v>0.3</v>
      </c>
      <c r="D23" s="181">
        <f>C23*9</f>
        <v/>
      </c>
      <c r="E23" s="1">
        <f>D23*5</f>
        <v/>
      </c>
      <c r="F23" s="33">
        <f>D23*15</f>
        <v/>
      </c>
      <c r="G23" s="33" t="n"/>
      <c r="H23" s="33" t="n"/>
      <c r="I23" s="33" t="n"/>
      <c r="K23" s="33">
        <f>D23*35</f>
        <v/>
      </c>
    </row>
    <row r="24">
      <c r="A24" s="141" t="n"/>
      <c r="B24" s="169" t="inlineStr">
        <is>
          <t>DD-UGC-300</t>
        </is>
      </c>
      <c r="C24" s="181" t="n">
        <v>0.3</v>
      </c>
      <c r="D24" s="181">
        <f>C24*9</f>
        <v/>
      </c>
      <c r="E24" s="1">
        <f>D24*5</f>
        <v/>
      </c>
      <c r="F24" s="33">
        <f>D24*15</f>
        <v/>
      </c>
      <c r="G24" s="33" t="n"/>
      <c r="H24" s="33" t="n"/>
      <c r="I24" s="33" t="n"/>
      <c r="K24" s="33">
        <f>D24*35</f>
        <v/>
      </c>
    </row>
    <row r="25">
      <c r="A25" s="141" t="n"/>
      <c r="B25" s="169" t="inlineStr">
        <is>
          <t>DD-V-292</t>
        </is>
      </c>
      <c r="C25" s="181" t="n">
        <v>0.3</v>
      </c>
      <c r="D25" s="181">
        <f>C25*9</f>
        <v/>
      </c>
      <c r="E25" s="1">
        <f>D25*5</f>
        <v/>
      </c>
      <c r="F25" s="33" t="n"/>
      <c r="G25" s="33">
        <f>D25*12</f>
        <v/>
      </c>
      <c r="H25" s="33" t="n"/>
      <c r="I25" s="33" t="n"/>
      <c r="K25" s="33">
        <f>D25*35</f>
        <v/>
      </c>
    </row>
    <row r="26">
      <c r="A26" s="141" t="n"/>
      <c r="B26" s="168" t="inlineStr">
        <is>
          <t>DD-V-049</t>
        </is>
      </c>
      <c r="C26" s="181" t="n">
        <v>0.3</v>
      </c>
      <c r="D26" s="181">
        <f>C26*9</f>
        <v/>
      </c>
      <c r="E26" s="1">
        <f>D26*5</f>
        <v/>
      </c>
      <c r="F26" s="33" t="n"/>
      <c r="G26" s="33">
        <f>D26*12</f>
        <v/>
      </c>
      <c r="H26" s="33" t="n"/>
      <c r="I26" s="33" t="n"/>
      <c r="K26" s="33">
        <f>D26*35</f>
        <v/>
      </c>
    </row>
    <row r="27">
      <c r="A27" s="141" t="n"/>
      <c r="B27" s="167" t="inlineStr">
        <is>
          <t>DD-V-292-007</t>
        </is>
      </c>
      <c r="C27" s="181" t="n">
        <v>0.3</v>
      </c>
      <c r="D27" s="181">
        <f>C27*9</f>
        <v/>
      </c>
      <c r="E27" s="1">
        <f>D27*5</f>
        <v/>
      </c>
      <c r="F27" s="33" t="n"/>
      <c r="G27" s="33" t="n"/>
      <c r="H27" s="33" t="n"/>
      <c r="I27" s="33">
        <f>D27*15</f>
        <v/>
      </c>
      <c r="K27" s="33">
        <f>D27*35</f>
        <v/>
      </c>
    </row>
    <row r="28">
      <c r="A28" s="141" t="n"/>
      <c r="B28" s="167" t="inlineStr">
        <is>
          <t>DD-UGC-300-009</t>
        </is>
      </c>
      <c r="C28" s="181" t="n">
        <v>0.3</v>
      </c>
      <c r="D28" s="181">
        <f>C28*9</f>
        <v/>
      </c>
      <c r="E28" s="1">
        <f>D28*5</f>
        <v/>
      </c>
      <c r="F28" s="33">
        <f>D28*15</f>
        <v/>
      </c>
      <c r="G28" s="33" t="n"/>
      <c r="H28" s="33" t="n"/>
      <c r="I28" s="33" t="n"/>
      <c r="K28" s="33">
        <f>D28*35</f>
        <v/>
      </c>
    </row>
    <row r="29">
      <c r="A29" s="141" t="n"/>
      <c r="B29" s="167" t="inlineStr">
        <is>
          <t>DD-V-292-010</t>
        </is>
      </c>
      <c r="C29" s="181" t="n">
        <v>0.3</v>
      </c>
      <c r="D29" s="181">
        <f>C29*9</f>
        <v/>
      </c>
      <c r="E29" s="1">
        <f>D29*5</f>
        <v/>
      </c>
      <c r="F29" s="33" t="n"/>
      <c r="G29" s="33">
        <f>D29*12</f>
        <v/>
      </c>
      <c r="H29" s="33" t="n"/>
      <c r="I29" s="33" t="n"/>
      <c r="K29" s="33">
        <f>D29*35</f>
        <v/>
      </c>
    </row>
    <row r="30">
      <c r="A30" s="141" t="n"/>
      <c r="B30" s="167" t="inlineStr">
        <is>
          <t>DD-V-279-002</t>
        </is>
      </c>
      <c r="C30" s="181" t="n">
        <v>0.3</v>
      </c>
      <c r="D30" s="181">
        <f>C30*9</f>
        <v/>
      </c>
      <c r="E30" s="1">
        <f>D30*5</f>
        <v/>
      </c>
      <c r="F30" s="33" t="n"/>
      <c r="G30" s="33">
        <f>D30*12</f>
        <v/>
      </c>
      <c r="H30" s="33" t="n"/>
      <c r="I30" s="33" t="n"/>
      <c r="K30" s="33">
        <f>D30*35</f>
        <v/>
      </c>
    </row>
    <row r="31">
      <c r="A31" s="141" t="n"/>
      <c r="B31" s="167" t="inlineStr">
        <is>
          <t>DD-V-195-010</t>
        </is>
      </c>
      <c r="C31" s="181" t="n">
        <v>0.3</v>
      </c>
      <c r="D31" s="181">
        <f>C31*9</f>
        <v/>
      </c>
      <c r="E31" s="1">
        <f>D31*5</f>
        <v/>
      </c>
      <c r="F31" s="33" t="n"/>
      <c r="G31" s="33">
        <f>D31*12</f>
        <v/>
      </c>
      <c r="H31" s="33" t="n"/>
      <c r="I31" s="33" t="n"/>
      <c r="K31" s="33">
        <f>D31*35</f>
        <v/>
      </c>
    </row>
    <row r="32">
      <c r="A32" s="141" t="n"/>
      <c r="B32" s="167" t="inlineStr">
        <is>
          <t>DD-AIV-107-002</t>
        </is>
      </c>
      <c r="C32" s="181" t="n">
        <v>0.3</v>
      </c>
      <c r="D32" s="181">
        <f>C32*9</f>
        <v/>
      </c>
      <c r="E32" s="1">
        <f>D32*5</f>
        <v/>
      </c>
      <c r="F32" s="33">
        <f>D32*15</f>
        <v/>
      </c>
      <c r="G32" s="33" t="n"/>
      <c r="H32" s="33" t="n"/>
      <c r="I32" s="33" t="n"/>
      <c r="K32" s="33">
        <f>D32*35</f>
        <v/>
      </c>
    </row>
    <row r="33">
      <c r="A33" s="141" t="n"/>
      <c r="B33" s="167" t="inlineStr">
        <is>
          <t>DD-V-211-007</t>
        </is>
      </c>
      <c r="C33" s="181" t="n">
        <v>1</v>
      </c>
      <c r="D33" s="181">
        <f>C33*9</f>
        <v/>
      </c>
      <c r="E33" s="1">
        <f>D33*5</f>
        <v/>
      </c>
      <c r="F33" s="33" t="n"/>
      <c r="G33" s="33" t="n"/>
      <c r="H33" s="33">
        <f>D33*15</f>
        <v/>
      </c>
      <c r="I33" s="33" t="n"/>
      <c r="K33" s="33">
        <f>D33*35</f>
        <v/>
      </c>
    </row>
    <row r="34">
      <c r="A34" s="141" t="n"/>
      <c r="B34" s="167" t="inlineStr">
        <is>
          <t>DD-VEO-009</t>
        </is>
      </c>
      <c r="C34" s="181" t="n">
        <v>0.5</v>
      </c>
      <c r="D34" s="181">
        <f>C34*9</f>
        <v/>
      </c>
      <c r="E34" s="1">
        <f>D34*5</f>
        <v/>
      </c>
      <c r="F34" s="33" t="n"/>
      <c r="G34" s="33" t="n"/>
      <c r="H34" s="33" t="n"/>
      <c r="I34" s="33">
        <f>D34*15</f>
        <v/>
      </c>
      <c r="K34" s="33">
        <f>D34*35</f>
        <v/>
      </c>
    </row>
    <row r="35">
      <c r="A35" s="183" t="n"/>
      <c r="B35" s="157" t="inlineStr">
        <is>
          <t>DD-V-292-013</t>
        </is>
      </c>
      <c r="C35" s="182" t="n">
        <v>0.8</v>
      </c>
      <c r="D35" s="182">
        <f>C35*9</f>
        <v/>
      </c>
      <c r="E35" s="1">
        <f>D35*5</f>
        <v/>
      </c>
      <c r="F35" s="33" t="n"/>
      <c r="G35" s="33" t="n"/>
      <c r="H35" s="33">
        <f>D35*15</f>
        <v/>
      </c>
      <c r="I35" s="33" t="n"/>
      <c r="K35" s="33">
        <f>D35*35</f>
        <v/>
      </c>
    </row>
    <row r="36">
      <c r="A36" s="141" t="n"/>
      <c r="B36" s="157" t="inlineStr">
        <is>
          <t>DD-V-292-015</t>
        </is>
      </c>
      <c r="C36" s="181" t="n">
        <v>0.5</v>
      </c>
      <c r="D36" s="181">
        <f>C36*9</f>
        <v/>
      </c>
      <c r="E36" s="1">
        <f>D36*5</f>
        <v/>
      </c>
      <c r="F36" s="33" t="n"/>
      <c r="G36" s="33" t="n"/>
      <c r="H36" s="33" t="n"/>
      <c r="I36" s="33">
        <f>D36*15</f>
        <v/>
      </c>
      <c r="K36" s="33">
        <f>D36*35</f>
        <v/>
      </c>
    </row>
    <row r="37">
      <c r="A37" s="141" t="n"/>
      <c r="B37" s="157" t="inlineStr">
        <is>
          <t>DD-V-292-017</t>
        </is>
      </c>
      <c r="C37" s="181" t="n">
        <v>0.8</v>
      </c>
      <c r="D37" s="181">
        <f>C37*9</f>
        <v/>
      </c>
      <c r="E37" s="1">
        <f>D37*5</f>
        <v/>
      </c>
      <c r="F37" s="33" t="n"/>
      <c r="G37" s="33" t="n"/>
      <c r="H37" s="33" t="n"/>
      <c r="I37" s="33">
        <f>D37*15</f>
        <v/>
      </c>
      <c r="K37" s="33">
        <f>D37*35</f>
        <v/>
      </c>
    </row>
    <row r="38">
      <c r="A38" s="141" t="n"/>
      <c r="B38" s="167" t="inlineStr">
        <is>
          <t>DD-V-292-005</t>
        </is>
      </c>
      <c r="C38" s="181" t="n">
        <v>1</v>
      </c>
      <c r="D38" s="181">
        <f>C38*9</f>
        <v/>
      </c>
      <c r="E38" s="1">
        <f>D38*5</f>
        <v/>
      </c>
      <c r="F38" s="33" t="n"/>
      <c r="G38" s="33" t="n"/>
      <c r="H38" s="33">
        <f>D38*15</f>
        <v/>
      </c>
      <c r="I38" s="33" t="n"/>
      <c r="K38" s="33">
        <f>D38*35</f>
        <v/>
      </c>
    </row>
    <row r="39">
      <c r="A39" s="141" t="n"/>
      <c r="B39" s="167" t="inlineStr">
        <is>
          <t>DD-V-292-013</t>
        </is>
      </c>
      <c r="C39" s="181" t="n">
        <v>0.3</v>
      </c>
      <c r="D39" s="181">
        <f>C39*9</f>
        <v/>
      </c>
      <c r="E39" s="1">
        <f>D39*5</f>
        <v/>
      </c>
      <c r="F39" s="33" t="n"/>
      <c r="G39" s="33" t="n"/>
      <c r="H39" s="33">
        <f>D39*15</f>
        <v/>
      </c>
      <c r="I39" s="33" t="n"/>
      <c r="K39" s="33">
        <f>D39*35</f>
        <v/>
      </c>
    </row>
    <row r="40">
      <c r="A40" s="141" t="n"/>
      <c r="B40" s="167" t="inlineStr">
        <is>
          <t>DD-VEO-006</t>
        </is>
      </c>
      <c r="C40" s="181" t="n">
        <v>0.8</v>
      </c>
      <c r="D40" s="181">
        <f>C40*9</f>
        <v/>
      </c>
      <c r="E40" s="1">
        <f>D40*5</f>
        <v/>
      </c>
      <c r="F40" s="33" t="n"/>
      <c r="G40" s="33">
        <f>D40*12</f>
        <v/>
      </c>
      <c r="H40" s="33" t="n"/>
      <c r="I40" s="33" t="n"/>
      <c r="K40" s="33">
        <f>D40*35</f>
        <v/>
      </c>
    </row>
    <row r="41">
      <c r="A41" s="140" t="n"/>
      <c r="B41" s="167" t="inlineStr">
        <is>
          <t>DD-UGC-300-012</t>
        </is>
      </c>
      <c r="C41" s="181" t="n">
        <v>0.3</v>
      </c>
      <c r="D41" s="181">
        <f>C41*9</f>
        <v/>
      </c>
      <c r="E41" s="1">
        <f>D41*5</f>
        <v/>
      </c>
      <c r="F41" s="33" t="n"/>
      <c r="G41" s="33">
        <f>D41*12</f>
        <v/>
      </c>
      <c r="I41" s="33" t="n"/>
      <c r="K41" s="33">
        <f>D41*35</f>
        <v/>
      </c>
    </row>
    <row r="42">
      <c r="A42" s="140" t="n"/>
      <c r="B42" s="167" t="inlineStr">
        <is>
          <t>DD-VEO-010-001</t>
        </is>
      </c>
      <c r="C42" s="181" t="n">
        <v>0.8</v>
      </c>
      <c r="D42" s="181">
        <f>C42*9</f>
        <v/>
      </c>
      <c r="E42" s="1">
        <f>D42*5</f>
        <v/>
      </c>
      <c r="F42" s="33" t="n"/>
      <c r="G42" s="33" t="n"/>
      <c r="H42" s="33">
        <f>D42*15</f>
        <v/>
      </c>
      <c r="I42" s="33" t="n"/>
      <c r="K42" s="33">
        <f>D42*35</f>
        <v/>
      </c>
    </row>
    <row r="43">
      <c r="A43" s="140" t="n"/>
      <c r="B43" s="167" t="inlineStr">
        <is>
          <t>DD-VEO-010+011-001</t>
        </is>
      </c>
      <c r="C43" s="181" t="n">
        <v>0.5</v>
      </c>
      <c r="D43" s="181">
        <f>C43*9</f>
        <v/>
      </c>
      <c r="E43" s="1">
        <f>D43*5</f>
        <v/>
      </c>
      <c r="F43" s="33" t="n"/>
      <c r="G43" s="33" t="n"/>
      <c r="H43" s="33" t="n"/>
      <c r="I43" s="33">
        <f>D43*15</f>
        <v/>
      </c>
      <c r="K43" s="33">
        <f>D43*35</f>
        <v/>
      </c>
    </row>
    <row r="44">
      <c r="A44" s="140" t="n"/>
      <c r="B44" s="167" t="inlineStr">
        <is>
          <t>DD-V-295-001</t>
        </is>
      </c>
      <c r="C44" s="181" t="n">
        <v>1.5</v>
      </c>
      <c r="D44" s="181">
        <f>C44*9</f>
        <v/>
      </c>
      <c r="E44" s="1">
        <f>D44*5</f>
        <v/>
      </c>
      <c r="F44" s="33" t="n"/>
      <c r="G44" s="33" t="n"/>
      <c r="H44" s="33">
        <f>D44*15</f>
        <v/>
      </c>
      <c r="I44" s="33" t="n"/>
      <c r="K44" s="33">
        <f>D44*35</f>
        <v/>
      </c>
    </row>
    <row r="45">
      <c r="A45" s="140" t="n"/>
      <c r="B45" s="167" t="inlineStr">
        <is>
          <t>DD-V-292-019</t>
        </is>
      </c>
      <c r="C45" s="181" t="n">
        <v>0.3</v>
      </c>
      <c r="D45" s="181">
        <f>C45*9</f>
        <v/>
      </c>
      <c r="E45" s="1">
        <f>D45*5</f>
        <v/>
      </c>
      <c r="F45" s="33" t="n"/>
      <c r="G45" s="33" t="n"/>
      <c r="H45" s="33">
        <f>D45*15</f>
        <v/>
      </c>
      <c r="I45" s="33" t="n"/>
      <c r="K45" s="33">
        <f>D45*35</f>
        <v/>
      </c>
    </row>
    <row r="46">
      <c r="A46" s="118" t="inlineStr">
        <is>
          <t>total</t>
        </is>
      </c>
      <c r="B46" s="57" t="n"/>
      <c r="C46" s="11">
        <f>SUM(C4:C45)</f>
        <v/>
      </c>
      <c r="D46" s="11">
        <f>SUM(D4:D45)</f>
        <v/>
      </c>
      <c r="E46" s="59">
        <f>SUM(E4:E45)</f>
        <v/>
      </c>
      <c r="F46" s="59">
        <f>SUM(F4:F44)</f>
        <v/>
      </c>
      <c r="G46" s="59">
        <f>SUM(G4:G45)</f>
        <v/>
      </c>
      <c r="H46" s="59">
        <f>SUM(H4:H45)</f>
        <v/>
      </c>
      <c r="I46" s="59">
        <f>SUM(I4:I45)</f>
        <v/>
      </c>
      <c r="J46" s="59">
        <f>SUM(E46:I46)</f>
        <v/>
      </c>
      <c r="K46" s="60">
        <f>SUM(K4:K45)</f>
        <v/>
      </c>
      <c r="L46" s="39" t="n"/>
      <c r="M46" s="29" t="inlineStr">
        <is>
          <t>UAH</t>
        </is>
      </c>
      <c r="N46" s="16" t="inlineStr">
        <is>
          <t>USD</t>
        </is>
      </c>
    </row>
    <row r="47">
      <c r="E47" s="142">
        <f>E46*40</f>
        <v/>
      </c>
      <c r="F47" s="142">
        <f>F46*40</f>
        <v/>
      </c>
      <c r="G47" s="142">
        <f>G46*40</f>
        <v/>
      </c>
      <c r="H47" s="142">
        <f>H46*41.3</f>
        <v/>
      </c>
      <c r="I47" s="142">
        <f>I46*41.3</f>
        <v/>
      </c>
      <c r="J47" s="142">
        <f>J46*40</f>
        <v/>
      </c>
      <c r="K47" s="7">
        <f>K46*40</f>
        <v/>
      </c>
      <c r="L47" s="5" t="inlineStr">
        <is>
          <t>CLIENT IN</t>
        </is>
      </c>
      <c r="M47" s="7">
        <f>N47*40</f>
        <v/>
      </c>
      <c r="N47" s="8">
        <f>K46</f>
        <v/>
      </c>
      <c r="S47" s="4" t="n"/>
    </row>
    <row r="48">
      <c r="G48" s="33" t="n"/>
      <c r="H48" s="123" t="n"/>
      <c r="I48" s="123" t="n"/>
      <c r="L48" s="5" t="inlineStr">
        <is>
          <t>STUDIO (TAX)</t>
        </is>
      </c>
      <c r="M48" s="7">
        <f>N48*40</f>
        <v/>
      </c>
      <c r="N48" s="8">
        <f>N47-N47*0.05</f>
        <v/>
      </c>
    </row>
    <row r="49">
      <c r="B49" s="1" t="n"/>
      <c r="E49" s="21" t="n"/>
      <c r="G49" s="33" t="n"/>
      <c r="L49" s="5" t="inlineStr">
        <is>
          <t>EMPL</t>
        </is>
      </c>
      <c r="M49" s="7">
        <f>N49*40</f>
        <v/>
      </c>
      <c r="N49" s="8">
        <f>J46</f>
        <v/>
      </c>
    </row>
    <row r="50">
      <c r="B50" s="1" t="n"/>
      <c r="L50" s="37" t="inlineStr">
        <is>
          <t>STUDIO</t>
        </is>
      </c>
      <c r="M50" s="7">
        <f>N50*40</f>
        <v/>
      </c>
      <c r="N50" s="8">
        <f>N48-N49</f>
        <v/>
      </c>
    </row>
    <row r="51">
      <c r="B51" s="1" t="n"/>
    </row>
    <row r="52">
      <c r="B52" s="1" t="n"/>
    </row>
    <row r="53">
      <c r="B53" s="1" t="n"/>
    </row>
    <row r="54">
      <c r="B54" s="144" t="n"/>
      <c r="C54" s="166" t="n"/>
      <c r="D54" s="176" t="n"/>
    </row>
    <row r="55">
      <c r="B55" s="169" t="n"/>
      <c r="C55" s="166" t="n"/>
      <c r="D55" s="176" t="n"/>
    </row>
    <row r="56">
      <c r="B56" s="169" t="n"/>
      <c r="C56" s="166" t="n"/>
      <c r="D56" s="176" t="n"/>
    </row>
    <row r="57">
      <c r="B57" s="144" t="n"/>
      <c r="C57" s="166" t="n"/>
      <c r="D57" s="176" t="n"/>
    </row>
    <row r="58">
      <c r="B58" s="167" t="n"/>
      <c r="C58" s="166" t="n"/>
      <c r="D58" s="176" t="n"/>
    </row>
    <row r="59">
      <c r="B59" s="169" t="n"/>
      <c r="C59" s="166" t="n"/>
      <c r="D59" s="176" t="n"/>
      <c r="I59" s="144" t="n"/>
      <c r="J59" s="166" t="n"/>
      <c r="K59" s="176" t="n"/>
    </row>
    <row r="60">
      <c r="B60" s="169" t="n"/>
      <c r="C60" s="166" t="n"/>
      <c r="D60" s="176" t="n"/>
      <c r="I60" s="169" t="n"/>
      <c r="J60" s="166" t="n"/>
      <c r="K60" s="176" t="n"/>
    </row>
    <row r="61">
      <c r="B61" s="169" t="n"/>
      <c r="C61" s="166" t="n"/>
      <c r="D61" s="176" t="n"/>
      <c r="I61" s="169" t="n"/>
      <c r="J61" s="166" t="n"/>
      <c r="K61" s="176" t="n"/>
    </row>
    <row r="62">
      <c r="B62" s="169" t="n"/>
      <c r="C62" s="166" t="n"/>
      <c r="D62" s="176" t="n"/>
      <c r="I62" s="144" t="n"/>
      <c r="J62" s="166" t="n"/>
      <c r="K62" s="176" t="n"/>
    </row>
    <row r="63">
      <c r="B63" s="169" t="n"/>
      <c r="C63" s="171" t="n"/>
      <c r="D63" s="176" t="n"/>
      <c r="I63" s="167" t="n"/>
      <c r="J63" s="166" t="n"/>
      <c r="K63" s="176" t="n"/>
    </row>
    <row r="64">
      <c r="B64" s="169" t="n"/>
      <c r="C64" s="171" t="n"/>
      <c r="D64" s="176" t="n"/>
      <c r="I64" s="169" t="n"/>
      <c r="J64" s="166" t="n"/>
      <c r="K64" s="176" t="n"/>
    </row>
    <row r="65">
      <c r="B65" s="169" t="n"/>
      <c r="C65" s="171" t="n"/>
      <c r="D65" s="176" t="n"/>
      <c r="I65" s="169" t="n"/>
      <c r="J65" s="166" t="n"/>
      <c r="K65" s="176" t="n"/>
    </row>
    <row r="66">
      <c r="B66" s="169" t="n"/>
      <c r="C66" s="166" t="n"/>
      <c r="D66" s="176" t="n"/>
      <c r="I66" s="169" t="n"/>
      <c r="J66" s="166" t="n"/>
      <c r="K66" s="176" t="n"/>
    </row>
    <row r="67">
      <c r="B67" s="1" t="n"/>
      <c r="I67" s="169" t="n"/>
      <c r="J67" s="166" t="n"/>
      <c r="K67" s="176" t="n"/>
    </row>
    <row r="68">
      <c r="B68" s="1" t="n"/>
      <c r="I68" s="169" t="n"/>
      <c r="J68" s="171" t="n"/>
      <c r="K68" s="176" t="n"/>
    </row>
    <row r="69">
      <c r="I69" s="169" t="n"/>
      <c r="J69" s="171" t="n"/>
      <c r="K69" s="176" t="n"/>
    </row>
    <row r="70">
      <c r="I70" s="169" t="n"/>
      <c r="J70" s="171" t="n"/>
      <c r="K70" s="176" t="n"/>
    </row>
    <row r="71">
      <c r="I71" s="169" t="n"/>
      <c r="J71" s="166" t="n"/>
      <c r="K71" s="176" t="n"/>
    </row>
  </sheetData>
  <pageMargins left="0.7" right="0.7" top="0.75" bottom="0.75" header="0.3" footer="0.3"/>
  <pageSetup orientation="portrait" paperSize="9" horizontalDpi="0" verticalDpi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66"/>
  <sheetViews>
    <sheetView zoomScaleNormal="100" workbookViewId="0">
      <pane ySplit="2" topLeftCell="A3" activePane="bottomLeft" state="frozen"/>
      <selection pane="bottomLeft" activeCell="H40" sqref="H40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 ht="25" customHeight="1">
      <c r="A3" s="125" t="inlineStr">
        <is>
          <t>DX</t>
        </is>
      </c>
      <c r="B3" s="125" t="inlineStr">
        <is>
          <t>MGX</t>
        </is>
      </c>
      <c r="C3" s="127" t="inlineStr">
        <is>
          <t>SHIFTS</t>
        </is>
      </c>
      <c r="D3" s="25" t="inlineStr">
        <is>
          <t>HOURS</t>
        </is>
      </c>
      <c r="E3" s="165" t="inlineStr">
        <is>
          <t>ADMIN</t>
        </is>
      </c>
      <c r="F3" s="98" t="inlineStr">
        <is>
          <t>EMPL 1</t>
        </is>
      </c>
      <c r="G3" s="110" t="inlineStr">
        <is>
          <t>EMPL 2</t>
        </is>
      </c>
      <c r="H3" s="110" t="inlineStr">
        <is>
          <t>EMPL 3</t>
        </is>
      </c>
      <c r="I3" s="98" t="inlineStr">
        <is>
          <t>EMPL 4</t>
        </is>
      </c>
      <c r="J3" s="31" t="inlineStr">
        <is>
          <t>Total EMPL</t>
        </is>
      </c>
      <c r="K3" s="39" t="inlineStr">
        <is>
          <t>STUDIO</t>
        </is>
      </c>
    </row>
    <row r="4">
      <c r="A4" s="141" t="n"/>
      <c r="B4" s="144" t="inlineStr">
        <is>
          <t>DX-V-083-011</t>
        </is>
      </c>
      <c r="C4" s="177" t="n">
        <v>0.3</v>
      </c>
      <c r="D4" s="177">
        <f>C4*9</f>
        <v/>
      </c>
      <c r="E4" s="1">
        <f>D4*5</f>
        <v/>
      </c>
      <c r="G4" s="33">
        <f>D4*12</f>
        <v/>
      </c>
      <c r="H4" s="33" t="n"/>
      <c r="I4" s="33" t="n"/>
      <c r="K4" s="33">
        <f>D4*40</f>
        <v/>
      </c>
      <c r="P4" s="33" t="n"/>
    </row>
    <row r="5">
      <c r="A5" s="141" t="n"/>
      <c r="B5" s="144" t="inlineStr">
        <is>
          <t>DX-V-119-008</t>
        </is>
      </c>
      <c r="C5" s="177" t="n">
        <v>0.3</v>
      </c>
      <c r="D5" s="177">
        <f>C5*9</f>
        <v/>
      </c>
      <c r="E5" s="1">
        <f>D5*5</f>
        <v/>
      </c>
      <c r="G5" s="33">
        <f>D5*12</f>
        <v/>
      </c>
      <c r="H5" s="33" t="n"/>
      <c r="I5" s="33" t="n"/>
      <c r="K5" s="33">
        <f>D5*40</f>
        <v/>
      </c>
      <c r="P5" s="33" t="n"/>
    </row>
    <row r="6">
      <c r="A6" s="141" t="n"/>
      <c r="B6" s="144" t="inlineStr">
        <is>
          <t>DX-V-119-009</t>
        </is>
      </c>
      <c r="C6" s="177" t="n">
        <v>0.3</v>
      </c>
      <c r="D6" s="177">
        <f>C6*9</f>
        <v/>
      </c>
      <c r="E6" s="1">
        <f>D6*5</f>
        <v/>
      </c>
      <c r="F6" s="33" t="n"/>
      <c r="G6" s="33">
        <f>D6*12</f>
        <v/>
      </c>
      <c r="H6" s="33" t="n"/>
      <c r="I6" s="33" t="n"/>
      <c r="K6" s="33">
        <f>D6*40</f>
        <v/>
      </c>
      <c r="P6" s="33" t="n"/>
    </row>
    <row r="7">
      <c r="A7" s="141" t="n"/>
      <c r="B7" s="144" t="inlineStr">
        <is>
          <t>DX-V-083-012</t>
        </is>
      </c>
      <c r="C7" s="177" t="n">
        <v>0.3</v>
      </c>
      <c r="D7" s="177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K7" s="33">
        <f>D7*40</f>
        <v/>
      </c>
      <c r="P7" s="33" t="n"/>
    </row>
    <row r="8">
      <c r="A8" s="141" t="n"/>
      <c r="B8" s="144" t="inlineStr">
        <is>
          <t>DX-AIV-0197-004</t>
        </is>
      </c>
      <c r="C8" s="177" t="n">
        <v>0.3</v>
      </c>
      <c r="D8" s="177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D8*40</f>
        <v/>
      </c>
      <c r="P8" s="33" t="n"/>
    </row>
    <row r="9">
      <c r="A9" s="141" t="n"/>
      <c r="B9" s="144" t="inlineStr">
        <is>
          <t>DX-V-015-023</t>
        </is>
      </c>
      <c r="C9" s="177" t="n">
        <v>0.3</v>
      </c>
      <c r="D9" s="177">
        <f>C9*9</f>
        <v/>
      </c>
      <c r="E9" s="1">
        <f>D9*5</f>
        <v/>
      </c>
      <c r="F9" s="33" t="n"/>
      <c r="G9" s="33" t="n"/>
      <c r="H9" s="33" t="n"/>
      <c r="I9" s="33">
        <f>D9*15</f>
        <v/>
      </c>
      <c r="K9" s="33">
        <f>D9*40</f>
        <v/>
      </c>
      <c r="P9" s="33" t="n"/>
    </row>
    <row r="10">
      <c r="A10" s="141" t="n"/>
      <c r="B10" s="144" t="inlineStr">
        <is>
          <t>DX-V-092-003</t>
        </is>
      </c>
      <c r="C10" s="177" t="n">
        <v>0.5</v>
      </c>
      <c r="D10" s="177">
        <f>C10*9</f>
        <v/>
      </c>
      <c r="E10" s="1">
        <f>D10*5</f>
        <v/>
      </c>
      <c r="F10" s="33">
        <f>D10*15</f>
        <v/>
      </c>
      <c r="G10" s="33" t="n"/>
      <c r="H10" s="33" t="n"/>
      <c r="I10" s="33" t="n"/>
      <c r="K10" s="33">
        <f>D10*40</f>
        <v/>
      </c>
      <c r="P10" s="33" t="n"/>
    </row>
    <row r="11">
      <c r="A11" s="141" t="n"/>
      <c r="B11" s="144" t="inlineStr">
        <is>
          <t>DX-V-115-002</t>
        </is>
      </c>
      <c r="C11" s="177" t="n">
        <v>0.5</v>
      </c>
      <c r="D11" s="177">
        <f>C11*9</f>
        <v/>
      </c>
      <c r="E11" s="1">
        <f>D11*5</f>
        <v/>
      </c>
      <c r="F11" s="33">
        <f>D11*15</f>
        <v/>
      </c>
      <c r="G11" s="33" t="n"/>
      <c r="H11" s="33" t="n"/>
      <c r="I11" s="33" t="n"/>
      <c r="K11" s="33">
        <f>D11*40</f>
        <v/>
      </c>
      <c r="P11" s="33" t="n"/>
    </row>
    <row r="12">
      <c r="A12" s="141" t="n"/>
      <c r="B12" s="144" t="inlineStr">
        <is>
          <t>DX-V-119-006</t>
        </is>
      </c>
      <c r="C12" s="177" t="n">
        <v>0.7</v>
      </c>
      <c r="D12" s="177">
        <f>C12*9</f>
        <v/>
      </c>
      <c r="E12" s="1">
        <f>D12*5</f>
        <v/>
      </c>
      <c r="F12" s="33" t="n"/>
      <c r="G12" s="33" t="n"/>
      <c r="H12" s="33" t="n"/>
      <c r="I12" s="33">
        <f>D12*15</f>
        <v/>
      </c>
      <c r="K12" s="33">
        <f>D12*40</f>
        <v/>
      </c>
      <c r="P12" s="33" t="n"/>
    </row>
    <row r="13">
      <c r="A13" s="141" t="n"/>
      <c r="B13" s="144" t="inlineStr">
        <is>
          <t>DX-AIV-139-001</t>
        </is>
      </c>
      <c r="C13" s="177" t="n">
        <v>0.3</v>
      </c>
      <c r="D13" s="177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K13" s="33">
        <f>D13*40</f>
        <v/>
      </c>
      <c r="P13" s="33" t="n"/>
    </row>
    <row r="14">
      <c r="A14" s="141" t="n"/>
      <c r="B14" s="144" t="inlineStr">
        <is>
          <t>DX-V-083-013</t>
        </is>
      </c>
      <c r="C14" s="177" t="n">
        <v>0.5</v>
      </c>
      <c r="D14" s="177">
        <f>C14*9</f>
        <v/>
      </c>
      <c r="E14" s="1">
        <f>D14*5</f>
        <v/>
      </c>
      <c r="F14" s="33" t="n"/>
      <c r="G14" s="33" t="n"/>
      <c r="H14" s="33" t="n"/>
      <c r="I14" s="33">
        <f>D14*15</f>
        <v/>
      </c>
      <c r="K14" s="33">
        <f>D14*40</f>
        <v/>
      </c>
      <c r="P14" s="33" t="n"/>
    </row>
    <row r="15">
      <c r="A15" s="141" t="n"/>
      <c r="B15" s="144" t="inlineStr">
        <is>
          <t>DX-AIV-139-002</t>
        </is>
      </c>
      <c r="C15" s="177" t="n">
        <v>0.3</v>
      </c>
      <c r="D15" s="177">
        <f>C15*9</f>
        <v/>
      </c>
      <c r="E15" s="1">
        <f>D15*5</f>
        <v/>
      </c>
      <c r="F15" s="33">
        <f>D15*15</f>
        <v/>
      </c>
      <c r="G15" s="33" t="n"/>
      <c r="H15" s="33" t="n"/>
      <c r="I15" s="33" t="n"/>
      <c r="K15" s="33">
        <f>D15*40</f>
        <v/>
      </c>
      <c r="P15" s="33" t="n"/>
    </row>
    <row r="16">
      <c r="A16" s="141" t="n"/>
      <c r="B16" s="144" t="inlineStr">
        <is>
          <t>DX-V-115-003</t>
        </is>
      </c>
      <c r="C16" s="177" t="n">
        <v>0.3</v>
      </c>
      <c r="D16" s="177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K16" s="33">
        <f>D16*40</f>
        <v/>
      </c>
      <c r="P16" s="33" t="n"/>
    </row>
    <row r="17">
      <c r="A17" s="141" t="n"/>
      <c r="B17" s="144" t="inlineStr">
        <is>
          <t>DX-V-115-004</t>
        </is>
      </c>
      <c r="C17" s="177" t="n">
        <v>0.3</v>
      </c>
      <c r="D17" s="177">
        <f>C17*9</f>
        <v/>
      </c>
      <c r="E17" s="1">
        <f>D17*5</f>
        <v/>
      </c>
      <c r="F17" s="33" t="n"/>
      <c r="G17" s="33">
        <f>D17*12</f>
        <v/>
      </c>
      <c r="H17" s="33" t="n"/>
      <c r="I17" s="33" t="n"/>
      <c r="K17" s="33">
        <f>D17*40</f>
        <v/>
      </c>
      <c r="P17" s="33" t="n"/>
    </row>
    <row r="18">
      <c r="A18" s="140" t="n"/>
      <c r="B18" s="144" t="inlineStr">
        <is>
          <t>DX-V-116-003</t>
        </is>
      </c>
      <c r="C18" s="177" t="n">
        <v>0.3</v>
      </c>
      <c r="D18" s="177">
        <f>C18*9</f>
        <v/>
      </c>
      <c r="E18" s="1">
        <f>D18*5</f>
        <v/>
      </c>
      <c r="F18" s="33">
        <f>D18*15</f>
        <v/>
      </c>
      <c r="G18" s="33" t="n"/>
      <c r="H18" s="33" t="n"/>
      <c r="I18" s="33" t="n"/>
      <c r="K18" s="33">
        <f>D18*40</f>
        <v/>
      </c>
      <c r="P18" s="33" t="n"/>
    </row>
    <row r="19">
      <c r="A19" s="178" t="n"/>
      <c r="B19" s="179" t="inlineStr">
        <is>
          <t>DX-V-116-004</t>
        </is>
      </c>
      <c r="C19" s="180" t="n">
        <v>0.3</v>
      </c>
      <c r="D19" s="180">
        <f>C19*9</f>
        <v/>
      </c>
      <c r="E19" s="1">
        <f>D19*5</f>
        <v/>
      </c>
      <c r="F19" s="33">
        <f>D19*15</f>
        <v/>
      </c>
      <c r="G19" s="33" t="n"/>
      <c r="H19" s="33" t="n"/>
      <c r="I19" s="33" t="n"/>
      <c r="K19" s="33">
        <f>D19*40</f>
        <v/>
      </c>
      <c r="P19" s="33" t="n"/>
    </row>
    <row r="20">
      <c r="A20" s="141" t="n"/>
      <c r="B20" s="144" t="inlineStr">
        <is>
          <t>DX-V-127-002</t>
        </is>
      </c>
      <c r="C20" s="177" t="n">
        <v>0.3</v>
      </c>
      <c r="D20" s="177">
        <f>C20*9</f>
        <v/>
      </c>
      <c r="E20" s="1">
        <f>D20*5</f>
        <v/>
      </c>
      <c r="F20" s="33">
        <f>D20*15</f>
        <v/>
      </c>
      <c r="G20" s="33" t="n"/>
      <c r="H20" s="33" t="n"/>
      <c r="I20" s="33" t="n"/>
      <c r="K20" s="33">
        <f>D20*40</f>
        <v/>
      </c>
      <c r="P20" s="33" t="n"/>
    </row>
    <row r="21">
      <c r="A21" s="141" t="n"/>
      <c r="B21" s="144" t="inlineStr">
        <is>
          <t>DX-V-110-002</t>
        </is>
      </c>
      <c r="C21" s="177" t="n">
        <v>0.3</v>
      </c>
      <c r="D21" s="177">
        <f>C21*9</f>
        <v/>
      </c>
      <c r="E21" s="1">
        <f>D21*5</f>
        <v/>
      </c>
      <c r="F21" s="33" t="n"/>
      <c r="G21" s="33">
        <f>D21*12</f>
        <v/>
      </c>
      <c r="H21" s="33" t="n"/>
      <c r="I21" s="33" t="n"/>
      <c r="K21" s="33">
        <f>D21*40</f>
        <v/>
      </c>
      <c r="P21" s="33" t="n"/>
    </row>
    <row r="22">
      <c r="A22" s="141" t="n"/>
      <c r="B22" s="144" t="inlineStr">
        <is>
          <t>DX-V-107-013</t>
        </is>
      </c>
      <c r="C22" s="177" t="n">
        <v>0.3</v>
      </c>
      <c r="D22" s="177">
        <f>C22*9</f>
        <v/>
      </c>
      <c r="E22" s="1">
        <f>D22*5</f>
        <v/>
      </c>
      <c r="F22" s="33" t="n"/>
      <c r="G22" s="33">
        <f>D22*12</f>
        <v/>
      </c>
      <c r="H22" s="33" t="n"/>
      <c r="I22" s="33" t="n"/>
      <c r="K22" s="33">
        <f>D22*40</f>
        <v/>
      </c>
      <c r="P22" s="33" t="n"/>
    </row>
    <row r="23">
      <c r="A23" s="140" t="n"/>
      <c r="B23" s="144" t="inlineStr">
        <is>
          <t>DX-V-002-038</t>
        </is>
      </c>
      <c r="C23" s="177" t="n">
        <v>0.3</v>
      </c>
      <c r="D23" s="177">
        <f>C23*9</f>
        <v/>
      </c>
      <c r="E23" s="1">
        <f>D23*5</f>
        <v/>
      </c>
      <c r="F23" s="33" t="n"/>
      <c r="G23" s="33">
        <f>D23*12</f>
        <v/>
      </c>
      <c r="H23" s="33" t="n"/>
      <c r="I23" s="33" t="n"/>
      <c r="K23" s="33">
        <f>D23*40</f>
        <v/>
      </c>
      <c r="P23" s="33" t="n"/>
    </row>
    <row r="24">
      <c r="A24" s="141" t="n"/>
      <c r="B24" s="144" t="inlineStr">
        <is>
          <t>DX-V-060-026</t>
        </is>
      </c>
      <c r="C24" s="177" t="n">
        <v>1</v>
      </c>
      <c r="D24" s="177">
        <f>C24*9</f>
        <v/>
      </c>
      <c r="E24" s="1">
        <f>D24*5</f>
        <v/>
      </c>
      <c r="F24" s="33" t="n"/>
      <c r="G24" s="33" t="n"/>
      <c r="H24" s="33" t="n"/>
      <c r="I24" s="33">
        <f>D24*15</f>
        <v/>
      </c>
      <c r="K24" s="33">
        <f>D24*40</f>
        <v/>
      </c>
      <c r="P24" s="33" t="n"/>
    </row>
    <row r="25">
      <c r="A25" s="141" t="n"/>
      <c r="B25" s="144" t="inlineStr">
        <is>
          <t>DX-V-119-010</t>
        </is>
      </c>
      <c r="C25" s="177" t="n">
        <v>0.3</v>
      </c>
      <c r="D25" s="177">
        <f>C25*9</f>
        <v/>
      </c>
      <c r="E25" s="1">
        <f>D25*5</f>
        <v/>
      </c>
      <c r="F25" s="33">
        <f>D25*15</f>
        <v/>
      </c>
      <c r="G25" s="33" t="n"/>
      <c r="H25" s="33" t="n"/>
      <c r="I25" s="33" t="n"/>
      <c r="K25" s="33">
        <f>D25*40</f>
        <v/>
      </c>
      <c r="P25" s="33" t="n"/>
    </row>
    <row r="26">
      <c r="A26" s="141" t="n"/>
      <c r="B26" s="144" t="inlineStr">
        <is>
          <t>DX-V-112-010</t>
        </is>
      </c>
      <c r="C26" s="177" t="n">
        <v>0.5</v>
      </c>
      <c r="D26" s="177">
        <f>C26*9</f>
        <v/>
      </c>
      <c r="E26" s="1">
        <f>D26*5</f>
        <v/>
      </c>
      <c r="F26" s="33">
        <f>D26*15</f>
        <v/>
      </c>
      <c r="G26" s="33" t="n"/>
      <c r="H26" s="33" t="n"/>
      <c r="I26" s="33" t="n"/>
      <c r="K26" s="33">
        <f>D26*40</f>
        <v/>
      </c>
      <c r="P26" s="33" t="n"/>
    </row>
    <row r="27">
      <c r="A27" s="141" t="n"/>
      <c r="B27" s="144" t="inlineStr">
        <is>
          <t>DX-V-136-002</t>
        </is>
      </c>
      <c r="C27" s="177" t="n">
        <v>0.3</v>
      </c>
      <c r="D27" s="177">
        <f>C27*9</f>
        <v/>
      </c>
      <c r="E27" s="1">
        <f>D27*5</f>
        <v/>
      </c>
      <c r="F27" s="33" t="n"/>
      <c r="G27" s="33" t="n"/>
      <c r="H27" s="33" t="n"/>
      <c r="I27" s="33">
        <f>D27*15</f>
        <v/>
      </c>
      <c r="K27" s="33">
        <f>D27*40</f>
        <v/>
      </c>
      <c r="P27" s="33" t="n"/>
    </row>
    <row r="28">
      <c r="A28" s="141" t="n"/>
      <c r="B28" s="144" t="inlineStr">
        <is>
          <t>DX-AIV-0213-004</t>
        </is>
      </c>
      <c r="C28" s="177" t="n">
        <v>0.3</v>
      </c>
      <c r="D28" s="177">
        <f>C28*9</f>
        <v/>
      </c>
      <c r="E28" s="1">
        <f>D28*5</f>
        <v/>
      </c>
      <c r="F28" s="33" t="n"/>
      <c r="G28" s="33">
        <f>D28*12</f>
        <v/>
      </c>
      <c r="H28" s="33" t="n"/>
      <c r="I28" s="33" t="n"/>
      <c r="K28" s="33">
        <f>D28*40</f>
        <v/>
      </c>
      <c r="P28" s="33" t="n"/>
    </row>
    <row r="29">
      <c r="A29" s="140" t="n"/>
      <c r="B29" s="144" t="inlineStr">
        <is>
          <t>DX-VEO-004-001</t>
        </is>
      </c>
      <c r="C29" s="177" t="n">
        <v>0.5</v>
      </c>
      <c r="D29" s="177">
        <f>C29*9</f>
        <v/>
      </c>
      <c r="E29" s="1">
        <f>D29*5</f>
        <v/>
      </c>
      <c r="F29" s="33" t="n"/>
      <c r="G29" s="33" t="n"/>
      <c r="H29" s="33" t="n"/>
      <c r="I29" s="33">
        <f>D29*15</f>
        <v/>
      </c>
      <c r="K29" s="33">
        <f>D29*40</f>
        <v/>
      </c>
      <c r="P29" s="33" t="n"/>
    </row>
    <row r="30">
      <c r="A30" s="141" t="n"/>
      <c r="B30" s="144" t="inlineStr">
        <is>
          <t>DX-V-136-003</t>
        </is>
      </c>
      <c r="C30" s="177" t="n">
        <v>0.3</v>
      </c>
      <c r="D30" s="177">
        <f>C30*9</f>
        <v/>
      </c>
      <c r="E30" s="1">
        <f>D30*5</f>
        <v/>
      </c>
      <c r="F30" s="33" t="n"/>
      <c r="G30" s="33">
        <f>D30*12</f>
        <v/>
      </c>
      <c r="H30" s="33" t="n"/>
      <c r="I30" s="33" t="n"/>
      <c r="K30" s="33">
        <f>D30*40</f>
        <v/>
      </c>
      <c r="P30" s="33" t="n"/>
    </row>
    <row r="31">
      <c r="A31" s="141" t="n"/>
      <c r="B31" s="144" t="inlineStr">
        <is>
          <t>DX-V-050-016</t>
        </is>
      </c>
      <c r="C31" s="177" t="n">
        <v>0.3</v>
      </c>
      <c r="D31" s="177">
        <f>C31*9</f>
        <v/>
      </c>
      <c r="E31" s="1">
        <f>D31*5</f>
        <v/>
      </c>
      <c r="F31" s="33" t="n"/>
      <c r="G31" s="33">
        <f>D31*12</f>
        <v/>
      </c>
      <c r="H31" s="33" t="n"/>
      <c r="I31" s="33" t="n"/>
      <c r="K31" s="33">
        <f>D31*40</f>
        <v/>
      </c>
      <c r="P31" s="33" t="n"/>
    </row>
    <row r="32" ht="25" customHeight="1">
      <c r="A32" s="125" t="inlineStr">
        <is>
          <t>DD</t>
        </is>
      </c>
      <c r="B32" s="125" t="inlineStr">
        <is>
          <t>MGX</t>
        </is>
      </c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>
      <c r="A33" s="141" t="n"/>
      <c r="B33" s="144" t="inlineStr">
        <is>
          <t>DD-VEO-004_Gingerbread_EN_08s | HC</t>
        </is>
      </c>
      <c r="C33" s="177" t="n">
        <v>1.4</v>
      </c>
      <c r="D33" s="177">
        <f>C33*9</f>
        <v/>
      </c>
      <c r="E33" s="1">
        <f>D33*5</f>
        <v/>
      </c>
      <c r="F33" s="33" t="n"/>
      <c r="G33" s="33" t="n"/>
      <c r="H33" s="33" t="n"/>
      <c r="I33" s="33">
        <f>D33*15</f>
        <v/>
      </c>
      <c r="K33" s="33">
        <f>D33*35</f>
        <v/>
      </c>
    </row>
    <row r="34">
      <c r="A34" s="141" t="n"/>
      <c r="B34" s="169" t="inlineStr">
        <is>
          <t>DD-VEO-004_Gingerbread_EN_08s | HC2</t>
        </is>
      </c>
      <c r="C34" s="177" t="n">
        <v>0.3</v>
      </c>
      <c r="D34" s="177">
        <f>C34*9</f>
        <v/>
      </c>
      <c r="E34" s="1">
        <f>D34*5</f>
        <v/>
      </c>
      <c r="F34" s="33">
        <f>D34*15</f>
        <v/>
      </c>
      <c r="G34" s="33" t="n"/>
      <c r="I34" s="33" t="n"/>
      <c r="K34" s="33">
        <f>D34*35</f>
        <v/>
      </c>
    </row>
    <row r="35">
      <c r="A35" s="141" t="n"/>
      <c r="B35" s="169" t="inlineStr">
        <is>
          <t>DD-VEO-004_Gingerbread_EN_08s | HC3</t>
        </is>
      </c>
      <c r="C35" s="177" t="n">
        <v>0.3</v>
      </c>
      <c r="D35" s="177">
        <f>C35*9</f>
        <v/>
      </c>
      <c r="E35" s="1">
        <f>D35*5</f>
        <v/>
      </c>
      <c r="F35" s="33">
        <f>D35*15</f>
        <v/>
      </c>
      <c r="G35" s="33" t="n"/>
      <c r="H35" s="33" t="n"/>
      <c r="I35" s="33" t="n"/>
      <c r="K35" s="33">
        <f>D35*35</f>
        <v/>
      </c>
    </row>
    <row r="36">
      <c r="A36" s="141" t="n"/>
      <c r="B36" s="144" t="inlineStr">
        <is>
          <t>DD-V-257-004</t>
        </is>
      </c>
      <c r="C36" s="177" t="n">
        <v>0.3</v>
      </c>
      <c r="D36" s="177">
        <f>C36*9</f>
        <v/>
      </c>
      <c r="E36" s="1">
        <f>D36*5</f>
        <v/>
      </c>
      <c r="F36" s="33" t="n"/>
      <c r="G36" s="33">
        <f>D36*12</f>
        <v/>
      </c>
      <c r="I36" s="33" t="n"/>
      <c r="K36" s="33">
        <f>D36*35</f>
        <v/>
      </c>
    </row>
    <row r="37">
      <c r="A37" s="141" t="n"/>
      <c r="B37" s="167" t="inlineStr">
        <is>
          <t>DD-V-137</t>
        </is>
      </c>
      <c r="C37" s="177" t="n">
        <v>0.5</v>
      </c>
      <c r="D37" s="177">
        <f>C37*9</f>
        <v/>
      </c>
      <c r="E37" s="1">
        <f>D37*5</f>
        <v/>
      </c>
      <c r="F37" s="33" t="n"/>
      <c r="G37" s="33">
        <f>D37*12</f>
        <v/>
      </c>
      <c r="H37" s="33" t="n"/>
      <c r="I37" s="33" t="n"/>
      <c r="K37" s="33">
        <f>D37*35</f>
        <v/>
      </c>
    </row>
    <row r="38">
      <c r="A38" s="141" t="n"/>
      <c r="B38" s="167" t="inlineStr">
        <is>
          <t>DD-VEO-008-001</t>
        </is>
      </c>
      <c r="C38" s="177" t="n">
        <v>0.5</v>
      </c>
      <c r="D38" s="177">
        <f>C38*9</f>
        <v/>
      </c>
      <c r="E38" s="1">
        <f>D38*5</f>
        <v/>
      </c>
      <c r="F38" s="33">
        <f>D38*15</f>
        <v/>
      </c>
      <c r="G38" s="33" t="n"/>
      <c r="H38" s="33" t="n"/>
      <c r="I38" s="33" t="n"/>
      <c r="K38" s="33">
        <f>D38*35</f>
        <v/>
      </c>
    </row>
    <row r="39">
      <c r="A39" s="141" t="n"/>
      <c r="B39" s="167" t="inlineStr">
        <is>
          <t>DD-VEO-007-002</t>
        </is>
      </c>
      <c r="C39" s="177" t="n">
        <v>1.5</v>
      </c>
      <c r="D39" s="177">
        <f>C39*9</f>
        <v/>
      </c>
      <c r="E39" s="1">
        <f>D39*5</f>
        <v/>
      </c>
      <c r="F39" s="33" t="n"/>
      <c r="G39" s="33" t="n"/>
      <c r="H39" s="33">
        <f>D39*15</f>
        <v/>
      </c>
      <c r="I39" s="33" t="n"/>
      <c r="K39" s="33">
        <f>D39*35</f>
        <v/>
      </c>
    </row>
    <row r="40">
      <c r="A40" s="141" t="n"/>
      <c r="B40" s="167" t="inlineStr">
        <is>
          <t>DD-V-211-006</t>
        </is>
      </c>
      <c r="C40" s="177" t="n">
        <v>1.5</v>
      </c>
      <c r="D40" s="177">
        <f>C40*9</f>
        <v/>
      </c>
      <c r="E40" s="1">
        <f>D40*5</f>
        <v/>
      </c>
      <c r="F40" s="33" t="n"/>
      <c r="G40" s="33" t="n"/>
      <c r="H40" s="33" t="n"/>
      <c r="I40" s="33">
        <f>D40*15</f>
        <v/>
      </c>
      <c r="K40" s="33">
        <f>D40*35</f>
        <v/>
      </c>
    </row>
    <row r="41">
      <c r="A41" s="118" t="inlineStr">
        <is>
          <t>total</t>
        </is>
      </c>
      <c r="B41" s="57" t="n"/>
      <c r="C41" s="11">
        <f>SUM(C4:C40)</f>
        <v/>
      </c>
      <c r="D41" s="11">
        <f>SUM(D4:D40)</f>
        <v/>
      </c>
      <c r="E41" s="112">
        <f>SUM(E4:E40)</f>
        <v/>
      </c>
      <c r="F41" s="112">
        <f>SUM(F4:F39)</f>
        <v/>
      </c>
      <c r="G41" s="112">
        <f>SUM(G4:G40)</f>
        <v/>
      </c>
      <c r="H41" s="112">
        <f>SUM(H4:H40)</f>
        <v/>
      </c>
      <c r="I41" s="112">
        <f>SUM(I4:I40)</f>
        <v/>
      </c>
      <c r="J41" s="59">
        <f>SUM(E41:I41)</f>
        <v/>
      </c>
      <c r="K41" s="60">
        <f>SUM(K4:K40)</f>
        <v/>
      </c>
      <c r="L41" s="39" t="n"/>
      <c r="M41" s="29" t="inlineStr">
        <is>
          <t>UAH</t>
        </is>
      </c>
      <c r="N41" s="16" t="inlineStr">
        <is>
          <t>USD</t>
        </is>
      </c>
    </row>
    <row r="42">
      <c r="E42" s="7">
        <f>E41*40</f>
        <v/>
      </c>
      <c r="F42" s="7">
        <f>F41*40</f>
        <v/>
      </c>
      <c r="G42" s="7">
        <f>G41*40</f>
        <v/>
      </c>
      <c r="H42" s="7">
        <f>H41*41.3</f>
        <v/>
      </c>
      <c r="I42" s="7">
        <f>I41*41.3</f>
        <v/>
      </c>
      <c r="J42" s="7">
        <f>J41*40</f>
        <v/>
      </c>
      <c r="K42" s="7">
        <f>K41*40</f>
        <v/>
      </c>
      <c r="L42" s="5" t="inlineStr">
        <is>
          <t>CLIENT IN</t>
        </is>
      </c>
      <c r="M42" s="7">
        <f>N42*40</f>
        <v/>
      </c>
      <c r="N42" s="8">
        <f>K41</f>
        <v/>
      </c>
      <c r="S42" s="4" t="n"/>
    </row>
    <row r="43">
      <c r="G43" s="33" t="n"/>
      <c r="H43" s="123" t="n"/>
      <c r="I43" s="123" t="n"/>
      <c r="L43" s="5" t="inlineStr">
        <is>
          <t>STUDIO (TAX)</t>
        </is>
      </c>
      <c r="M43" s="7">
        <f>N43*40</f>
        <v/>
      </c>
      <c r="N43" s="8">
        <f>N42-N42*0.05</f>
        <v/>
      </c>
    </row>
    <row r="44">
      <c r="B44" s="1" t="n"/>
      <c r="E44" s="21" t="n"/>
      <c r="F44" s="1" t="n">
        <v>45</v>
      </c>
      <c r="G44" s="33" t="n">
        <v>36.9</v>
      </c>
      <c r="H44" s="1" t="n">
        <v>13.5</v>
      </c>
      <c r="I44" s="1" t="n">
        <v>55.8</v>
      </c>
      <c r="L44" s="5" t="inlineStr">
        <is>
          <t>EMPL</t>
        </is>
      </c>
      <c r="M44" s="7">
        <f>N44*40</f>
        <v/>
      </c>
      <c r="N44" s="8">
        <f>J41</f>
        <v/>
      </c>
    </row>
    <row r="45">
      <c r="B45" s="1" t="n"/>
      <c r="F45" s="1">
        <f>F44*15</f>
        <v/>
      </c>
      <c r="G45" s="1">
        <f>G44*15</f>
        <v/>
      </c>
      <c r="H45" s="1">
        <f>H44*15</f>
        <v/>
      </c>
      <c r="I45" s="1">
        <f>I44*15</f>
        <v/>
      </c>
      <c r="L45" s="37" t="inlineStr">
        <is>
          <t>STUDIO</t>
        </is>
      </c>
      <c r="M45" s="7">
        <f>N45*40</f>
        <v/>
      </c>
      <c r="N45" s="8">
        <f>N43-N44</f>
        <v/>
      </c>
    </row>
    <row r="46">
      <c r="B46" s="1" t="n"/>
    </row>
    <row r="47">
      <c r="B47" s="1" t="n"/>
    </row>
    <row r="48">
      <c r="B48" s="1" t="n"/>
    </row>
    <row r="49">
      <c r="B49" s="144" t="n"/>
      <c r="C49" s="166" t="n"/>
      <c r="D49" s="176" t="n"/>
    </row>
    <row r="50">
      <c r="B50" s="169" t="n"/>
      <c r="C50" s="166" t="n"/>
      <c r="D50" s="176" t="n"/>
    </row>
    <row r="51">
      <c r="B51" s="169" t="n"/>
      <c r="C51" s="166" t="n"/>
      <c r="D51" s="176" t="n"/>
    </row>
    <row r="52">
      <c r="B52" s="144" t="n"/>
      <c r="C52" s="166" t="n"/>
      <c r="D52" s="176" t="n"/>
    </row>
    <row r="53">
      <c r="B53" s="167" t="n"/>
      <c r="C53" s="166" t="n"/>
      <c r="D53" s="176" t="n"/>
    </row>
    <row r="54">
      <c r="B54" s="169" t="n"/>
      <c r="C54" s="166" t="n"/>
      <c r="D54" s="176" t="n"/>
      <c r="I54" s="144" t="n"/>
      <c r="J54" s="166" t="n"/>
      <c r="K54" s="176" t="n"/>
    </row>
    <row r="55">
      <c r="B55" s="169" t="n"/>
      <c r="C55" s="166" t="n"/>
      <c r="D55" s="176" t="n"/>
      <c r="I55" s="169" t="n"/>
      <c r="J55" s="166" t="n"/>
      <c r="K55" s="176" t="n"/>
    </row>
    <row r="56">
      <c r="B56" s="169" t="n"/>
      <c r="C56" s="166" t="n"/>
      <c r="D56" s="176" t="n"/>
      <c r="I56" s="169" t="n"/>
      <c r="J56" s="166" t="n"/>
      <c r="K56" s="176" t="n"/>
    </row>
    <row r="57">
      <c r="B57" s="169" t="n"/>
      <c r="C57" s="166" t="n"/>
      <c r="D57" s="176" t="n"/>
      <c r="I57" s="144" t="n"/>
      <c r="J57" s="166" t="n"/>
      <c r="K57" s="176" t="n"/>
    </row>
    <row r="58">
      <c r="B58" s="169" t="n"/>
      <c r="C58" s="171" t="n"/>
      <c r="D58" s="176" t="n"/>
      <c r="I58" s="167" t="n"/>
      <c r="J58" s="166" t="n"/>
      <c r="K58" s="176" t="n"/>
    </row>
    <row r="59">
      <c r="B59" s="169" t="n"/>
      <c r="C59" s="171" t="n"/>
      <c r="D59" s="176" t="n"/>
      <c r="I59" s="169" t="n"/>
      <c r="J59" s="166" t="n"/>
      <c r="K59" s="176" t="n"/>
    </row>
    <row r="60">
      <c r="B60" s="169" t="n"/>
      <c r="C60" s="171" t="n"/>
      <c r="D60" s="176" t="n"/>
      <c r="I60" s="169" t="n"/>
      <c r="J60" s="166" t="n"/>
      <c r="K60" s="176" t="n"/>
    </row>
    <row r="61">
      <c r="B61" s="169" t="n"/>
      <c r="C61" s="166" t="n"/>
      <c r="D61" s="176" t="n"/>
      <c r="I61" s="169" t="n"/>
      <c r="J61" s="166" t="n"/>
      <c r="K61" s="176" t="n"/>
    </row>
    <row r="62">
      <c r="B62" s="1" t="n"/>
      <c r="I62" s="169" t="n"/>
      <c r="J62" s="166" t="n"/>
      <c r="K62" s="176" t="n"/>
    </row>
    <row r="63">
      <c r="B63" s="1" t="n"/>
      <c r="I63" s="169" t="n"/>
      <c r="J63" s="171" t="n"/>
      <c r="K63" s="176" t="n"/>
    </row>
    <row r="64">
      <c r="I64" s="169" t="n"/>
      <c r="J64" s="171" t="n"/>
      <c r="K64" s="176" t="n"/>
    </row>
    <row r="65">
      <c r="I65" s="169" t="n"/>
      <c r="J65" s="171" t="n"/>
      <c r="K65" s="176" t="n"/>
    </row>
    <row r="66">
      <c r="I66" s="169" t="n"/>
      <c r="J66" s="166" t="n"/>
      <c r="K66" s="176" t="n"/>
    </row>
  </sheetData>
  <pageMargins left="0.7" right="0.7" top="0.75" bottom="0.75" header="0.3" footer="0.3"/>
  <pageSetup orientation="portrait" paperSize="9" horizontalDpi="0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1"/>
  <sheetViews>
    <sheetView zoomScaleNormal="100" workbookViewId="0">
      <pane ySplit="2" topLeftCell="A3" activePane="bottomLeft" state="frozen"/>
      <selection pane="bottomLeft" activeCell="B48" sqref="B48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165" t="inlineStr">
        <is>
          <t>ADMIN</t>
        </is>
      </c>
      <c r="F5" s="98" t="inlineStr">
        <is>
          <t>EMPL 1</t>
        </is>
      </c>
      <c r="G5" s="110" t="inlineStr">
        <is>
          <t>EMPL 2</t>
        </is>
      </c>
      <c r="H5" s="110" t="inlineStr">
        <is>
          <t>EMPL 3</t>
        </is>
      </c>
      <c r="I5" s="98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173" t="n"/>
      <c r="B6" s="144" t="inlineStr">
        <is>
          <t>DX-V-113-004</t>
        </is>
      </c>
      <c r="C6" s="166" t="n">
        <v>0.2</v>
      </c>
      <c r="D6" s="172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K6" s="33">
        <f>D6*40</f>
        <v/>
      </c>
      <c r="P6" s="33" t="n"/>
    </row>
    <row r="7">
      <c r="B7" s="144" t="inlineStr">
        <is>
          <t>DX-VEO-001-001</t>
        </is>
      </c>
      <c r="C7" s="166" t="n">
        <v>0.3</v>
      </c>
      <c r="D7" s="134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K7" s="33">
        <f>D7*40</f>
        <v/>
      </c>
      <c r="P7" s="33" t="n"/>
    </row>
    <row r="8">
      <c r="B8" s="144" t="inlineStr">
        <is>
          <t>DX-VEO-002-001</t>
        </is>
      </c>
      <c r="C8" s="166" t="n">
        <v>0.3</v>
      </c>
      <c r="D8" s="134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D8*40</f>
        <v/>
      </c>
      <c r="P8" s="33" t="n"/>
    </row>
    <row r="9">
      <c r="B9" s="144" t="inlineStr">
        <is>
          <t>DX-VEO-003-001</t>
        </is>
      </c>
      <c r="C9" s="166" t="n">
        <v>0.3</v>
      </c>
      <c r="D9" s="134">
        <f>C9*9</f>
        <v/>
      </c>
      <c r="E9" s="1">
        <f>D9*5</f>
        <v/>
      </c>
      <c r="F9" s="33">
        <f>D9*15</f>
        <v/>
      </c>
      <c r="G9" s="33" t="n"/>
      <c r="H9" s="33" t="n"/>
      <c r="I9" s="33" t="n"/>
      <c r="K9" s="33">
        <f>D9*40</f>
        <v/>
      </c>
      <c r="P9" s="33" t="n"/>
    </row>
    <row r="10">
      <c r="B10" s="144" t="n"/>
      <c r="C10" s="166" t="n"/>
      <c r="D10" s="134" t="n"/>
      <c r="G10" s="33" t="n"/>
      <c r="H10" s="33" t="n"/>
      <c r="I10" s="33" t="n"/>
      <c r="K10" s="33" t="n"/>
      <c r="P10" s="33" t="n"/>
    </row>
    <row r="11" ht="25" customHeight="1">
      <c r="A11" s="125" t="inlineStr">
        <is>
          <t>DD</t>
        </is>
      </c>
      <c r="B11" s="125" t="inlineStr">
        <is>
          <t>MGX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</row>
    <row r="12">
      <c r="A12" s="174" t="n"/>
      <c r="B12" s="144" t="inlineStr">
        <is>
          <t>DD-V-049-073</t>
        </is>
      </c>
      <c r="C12" s="166" t="n">
        <v>0.3</v>
      </c>
      <c r="D12" s="176" t="n">
        <v>2.7</v>
      </c>
      <c r="E12" s="1">
        <f>D12*5</f>
        <v/>
      </c>
      <c r="F12" s="33" t="n"/>
      <c r="G12" s="33">
        <f>D12*12</f>
        <v/>
      </c>
      <c r="H12" s="33" t="n"/>
      <c r="I12" s="33" t="n"/>
      <c r="K12" s="33">
        <f>D12*35</f>
        <v/>
      </c>
    </row>
    <row r="13">
      <c r="A13" s="174" t="n"/>
      <c r="B13" s="169" t="inlineStr">
        <is>
          <t>DD-V-137-059</t>
        </is>
      </c>
      <c r="C13" s="166" t="n">
        <v>0.3</v>
      </c>
      <c r="D13" s="176" t="n">
        <v>2.7</v>
      </c>
      <c r="E13" s="1">
        <f>D13*5</f>
        <v/>
      </c>
      <c r="F13" s="33" t="n"/>
      <c r="G13" s="33">
        <f>D13*12</f>
        <v/>
      </c>
      <c r="I13" s="33" t="n"/>
      <c r="K13" s="33">
        <f>D13*35</f>
        <v/>
      </c>
    </row>
    <row r="14">
      <c r="A14" s="174" t="n"/>
      <c r="B14" s="169" t="inlineStr">
        <is>
          <t>DD-V-212-002</t>
        </is>
      </c>
      <c r="C14" s="166" t="n">
        <v>0.3</v>
      </c>
      <c r="D14" s="176" t="n">
        <v>2.7</v>
      </c>
      <c r="E14" s="1">
        <f>D14*5</f>
        <v/>
      </c>
      <c r="F14" s="33" t="n"/>
      <c r="G14" s="33">
        <f>D14*12</f>
        <v/>
      </c>
      <c r="H14" s="33" t="n"/>
      <c r="I14" s="33" t="n"/>
      <c r="K14" s="33">
        <f>D14*35</f>
        <v/>
      </c>
    </row>
    <row r="15">
      <c r="A15" s="174" t="n"/>
      <c r="B15" s="144" t="inlineStr">
        <is>
          <t>DD-P-021</t>
        </is>
      </c>
      <c r="C15" s="166" t="n">
        <v>1.5</v>
      </c>
      <c r="D15" s="176" t="n">
        <v>13.5</v>
      </c>
      <c r="E15" s="1">
        <f>D15*5</f>
        <v/>
      </c>
      <c r="F15" s="33" t="n"/>
      <c r="H15" s="33">
        <f>D15*15</f>
        <v/>
      </c>
      <c r="I15" s="33" t="n"/>
      <c r="K15" s="33">
        <f>D15*35</f>
        <v/>
      </c>
    </row>
    <row r="16">
      <c r="A16" s="174" t="n"/>
      <c r="B16" s="167" t="inlineStr">
        <is>
          <t>DD-V-289-002</t>
        </is>
      </c>
      <c r="C16" s="166" t="n">
        <v>1.13</v>
      </c>
      <c r="D16" s="176" t="n">
        <v>10.17</v>
      </c>
      <c r="E16" s="1">
        <f>D16*5</f>
        <v/>
      </c>
      <c r="F16" s="33" t="n"/>
      <c r="G16" s="33" t="n"/>
      <c r="H16" s="33" t="n"/>
      <c r="I16" s="33">
        <f>D16*15</f>
        <v/>
      </c>
      <c r="K16" s="33">
        <f>D16*35</f>
        <v/>
      </c>
    </row>
    <row r="17">
      <c r="A17" s="174" t="n"/>
      <c r="B17" s="169" t="inlineStr">
        <is>
          <t>DD-V-195-008</t>
        </is>
      </c>
      <c r="C17" s="166" t="n">
        <v>0.3</v>
      </c>
      <c r="D17" s="176" t="n">
        <v>2.7</v>
      </c>
      <c r="E17" s="1">
        <f>D17*5</f>
        <v/>
      </c>
      <c r="F17" s="33">
        <f>D17*15</f>
        <v/>
      </c>
      <c r="G17" s="33" t="n"/>
      <c r="H17" s="33" t="n"/>
      <c r="I17" s="33" t="n"/>
      <c r="K17" s="33">
        <f>D17*35</f>
        <v/>
      </c>
    </row>
    <row r="18">
      <c r="A18" s="174" t="n"/>
      <c r="B18" s="169" t="inlineStr">
        <is>
          <t>DD-AIV-202-002</t>
        </is>
      </c>
      <c r="C18" s="166" t="n">
        <v>0.3</v>
      </c>
      <c r="D18" s="176" t="n">
        <v>2.7</v>
      </c>
      <c r="E18" s="1">
        <f>D18*5</f>
        <v/>
      </c>
      <c r="F18" s="33">
        <f>D18*15</f>
        <v/>
      </c>
      <c r="G18" s="33" t="n"/>
      <c r="H18" s="33" t="n"/>
      <c r="I18" s="33" t="n"/>
      <c r="K18" s="33">
        <f>D18*35</f>
        <v/>
      </c>
    </row>
    <row r="19">
      <c r="A19" s="174" t="n"/>
      <c r="B19" s="169" t="inlineStr">
        <is>
          <t>DD-G-287-002</t>
        </is>
      </c>
      <c r="C19" s="166" t="n">
        <v>0.3</v>
      </c>
      <c r="D19" s="176" t="n">
        <v>2.7</v>
      </c>
      <c r="E19" s="1">
        <f>D19*5</f>
        <v/>
      </c>
      <c r="F19" s="33" t="n"/>
      <c r="G19" s="33">
        <f>D19*12</f>
        <v/>
      </c>
      <c r="H19" s="33" t="n"/>
      <c r="I19" s="33" t="n"/>
      <c r="K19" s="33">
        <f>D19*35</f>
        <v/>
      </c>
    </row>
    <row r="20">
      <c r="A20" s="174" t="n"/>
      <c r="B20" s="169" t="inlineStr">
        <is>
          <t>DD-V-195-009</t>
        </is>
      </c>
      <c r="C20" s="166" t="n">
        <v>0.3</v>
      </c>
      <c r="D20" s="176" t="n">
        <v>2.7</v>
      </c>
      <c r="E20" s="1">
        <f>D20*5</f>
        <v/>
      </c>
      <c r="F20" s="33">
        <f>D20*15</f>
        <v/>
      </c>
      <c r="G20" s="33" t="n"/>
      <c r="H20" s="33" t="n"/>
      <c r="I20" s="33" t="n"/>
      <c r="K20" s="33">
        <f>D20*35</f>
        <v/>
      </c>
      <c r="L20" s="33" t="n"/>
    </row>
    <row r="21">
      <c r="A21" s="174" t="n"/>
      <c r="B21" s="169" t="inlineStr">
        <is>
          <t>DD-AIV-207-002</t>
        </is>
      </c>
      <c r="C21" s="171" t="n">
        <v>0.5</v>
      </c>
      <c r="D21" s="176" t="n">
        <v>4.5</v>
      </c>
      <c r="E21" s="1">
        <f>D21*5</f>
        <v/>
      </c>
      <c r="F21" s="33" t="n"/>
      <c r="G21" s="33" t="n"/>
      <c r="H21" s="33" t="n"/>
      <c r="I21" s="33">
        <f>D21*15</f>
        <v/>
      </c>
      <c r="K21" s="33">
        <f>D21*35</f>
        <v/>
      </c>
      <c r="L21" s="33" t="n"/>
    </row>
    <row r="22">
      <c r="A22" s="174" t="n"/>
      <c r="B22" s="169" t="inlineStr">
        <is>
          <t>DD-V-137-060</t>
        </is>
      </c>
      <c r="C22" s="171" t="n">
        <v>0.8</v>
      </c>
      <c r="D22" s="176" t="n">
        <v>7.2</v>
      </c>
      <c r="E22" s="1">
        <f>D22*5</f>
        <v/>
      </c>
      <c r="F22" s="33">
        <f>D22*15</f>
        <v/>
      </c>
      <c r="G22" s="33" t="n"/>
      <c r="H22" s="33" t="n"/>
      <c r="I22" s="33" t="n"/>
      <c r="K22" s="33">
        <f>D22*35</f>
        <v/>
      </c>
      <c r="L22" s="33" t="n"/>
    </row>
    <row r="23">
      <c r="A23" s="174" t="n"/>
      <c r="B23" s="169" t="inlineStr">
        <is>
          <t>DD-V-293_001</t>
        </is>
      </c>
      <c r="C23" s="171" t="n">
        <v>0.8</v>
      </c>
      <c r="D23" s="176" t="n">
        <v>7.2</v>
      </c>
      <c r="E23" s="1">
        <f>D23*5</f>
        <v/>
      </c>
      <c r="F23" s="33" t="n"/>
      <c r="G23" s="33" t="n"/>
      <c r="H23" s="33" t="n"/>
      <c r="I23" s="33">
        <f>D23*15</f>
        <v/>
      </c>
      <c r="K23" s="33">
        <f>D23*35</f>
        <v/>
      </c>
      <c r="L23" s="33" t="n"/>
    </row>
    <row r="24">
      <c r="A24" s="174" t="n"/>
      <c r="B24" s="169" t="inlineStr">
        <is>
          <t>DD-V-229-034</t>
        </is>
      </c>
      <c r="C24" s="166" t="n">
        <v>0.3</v>
      </c>
      <c r="D24" s="176" t="n">
        <v>2.7</v>
      </c>
      <c r="E24" s="1">
        <f>D24*5</f>
        <v/>
      </c>
      <c r="F24" s="33">
        <f>D24*15</f>
        <v/>
      </c>
      <c r="G24" s="33" t="n"/>
      <c r="H24" s="33" t="n"/>
      <c r="I24" s="33" t="n"/>
      <c r="K24" s="33">
        <f>D24*35</f>
        <v/>
      </c>
      <c r="L24" s="33" t="n"/>
    </row>
    <row r="25">
      <c r="B25" s="105" t="n"/>
      <c r="C25" s="128" t="n"/>
      <c r="F25" s="33" t="n"/>
      <c r="G25" s="33" t="n"/>
      <c r="H25" s="33" t="n"/>
      <c r="I25" s="33" t="n"/>
      <c r="K25" s="33" t="n"/>
    </row>
    <row r="26">
      <c r="A26" s="118" t="inlineStr">
        <is>
          <t>total</t>
        </is>
      </c>
      <c r="B26" s="57" t="n"/>
      <c r="C26" s="11">
        <f>SUM(C6:C25)</f>
        <v/>
      </c>
      <c r="D26" s="11">
        <f>SUM(D6:D25)</f>
        <v/>
      </c>
      <c r="E26" s="59">
        <f>SUM(E6:E25)</f>
        <v/>
      </c>
      <c r="F26" s="59">
        <f>SUM(F6:F25)</f>
        <v/>
      </c>
      <c r="G26" s="59">
        <f>SUM(G6:G25)</f>
        <v/>
      </c>
      <c r="H26" s="59">
        <f>SUM(H6:H25)</f>
        <v/>
      </c>
      <c r="I26" s="59">
        <f>SUM(I6:I25)</f>
        <v/>
      </c>
      <c r="J26" s="59">
        <f>SUM(E26:I26)</f>
        <v/>
      </c>
      <c r="K26" s="60">
        <f>SUM(K6:K24)</f>
        <v/>
      </c>
      <c r="L26" s="39" t="n"/>
      <c r="M26" s="29" t="inlineStr">
        <is>
          <t>UAH</t>
        </is>
      </c>
      <c r="N26" s="16" t="inlineStr">
        <is>
          <t>USD</t>
        </is>
      </c>
    </row>
    <row r="27">
      <c r="E27" s="164">
        <f>E26*40</f>
        <v/>
      </c>
      <c r="F27" s="164">
        <f>F26*40</f>
        <v/>
      </c>
      <c r="G27" s="164">
        <f>G26*40</f>
        <v/>
      </c>
      <c r="H27" s="164">
        <f>H26*41.3</f>
        <v/>
      </c>
      <c r="I27" s="164">
        <f>I26*41.3</f>
        <v/>
      </c>
      <c r="J27" s="7">
        <f>J26*40</f>
        <v/>
      </c>
      <c r="K27" s="7">
        <f>K26*40</f>
        <v/>
      </c>
      <c r="L27" s="5" t="inlineStr">
        <is>
          <t>CLIENT IN</t>
        </is>
      </c>
      <c r="M27" s="7">
        <f>N27*40</f>
        <v/>
      </c>
      <c r="N27" s="8">
        <f>K26</f>
        <v/>
      </c>
      <c r="S27" s="4" t="n"/>
    </row>
    <row r="28">
      <c r="G28" s="33" t="n"/>
      <c r="H28" s="123" t="n"/>
      <c r="I28" s="123" t="n"/>
      <c r="L28" s="5" t="inlineStr">
        <is>
          <t>STUDIO (TAX)</t>
        </is>
      </c>
      <c r="M28" s="7">
        <f>N28*40</f>
        <v/>
      </c>
      <c r="N28" s="8">
        <f>N27-N27*0.05</f>
        <v/>
      </c>
    </row>
    <row r="29">
      <c r="B29" s="1" t="n"/>
      <c r="E29" s="21" t="n"/>
      <c r="G29" s="33" t="n"/>
      <c r="L29" s="5" t="inlineStr">
        <is>
          <t>EMPL</t>
        </is>
      </c>
      <c r="M29" s="7">
        <f>N29*40</f>
        <v/>
      </c>
      <c r="N29" s="8">
        <f>J26</f>
        <v/>
      </c>
    </row>
    <row r="30">
      <c r="B30" s="1" t="n"/>
      <c r="L30" s="37" t="inlineStr">
        <is>
          <t>STUDIO</t>
        </is>
      </c>
      <c r="M30" s="7">
        <f>N30*40</f>
        <v/>
      </c>
      <c r="N30" s="8">
        <f>N28-N29</f>
        <v/>
      </c>
    </row>
    <row r="31">
      <c r="B31" s="1" t="n"/>
    </row>
    <row r="32">
      <c r="B32" s="1" t="n"/>
    </row>
    <row r="33">
      <c r="B33" s="1" t="n"/>
    </row>
    <row r="34">
      <c r="B34" s="144" t="n"/>
      <c r="C34" s="166" t="n"/>
      <c r="D34" s="176" t="n"/>
    </row>
    <row r="35">
      <c r="B35" s="169" t="n"/>
      <c r="C35" s="166" t="n"/>
      <c r="D35" s="176" t="n"/>
    </row>
    <row r="36">
      <c r="B36" s="169" t="n"/>
      <c r="C36" s="166" t="n"/>
      <c r="D36" s="176" t="n"/>
    </row>
    <row r="37">
      <c r="B37" s="144" t="n"/>
      <c r="C37" s="166" t="n"/>
      <c r="D37" s="176" t="n"/>
    </row>
    <row r="38">
      <c r="B38" s="167" t="n"/>
      <c r="C38" s="166" t="n"/>
      <c r="D38" s="176" t="n"/>
    </row>
    <row r="39">
      <c r="B39" s="169" t="n"/>
      <c r="C39" s="166" t="n"/>
      <c r="D39" s="176" t="n"/>
      <c r="I39" s="144" t="n"/>
      <c r="J39" s="166" t="n"/>
      <c r="K39" s="176" t="n"/>
    </row>
    <row r="40">
      <c r="B40" s="169" t="n"/>
      <c r="C40" s="166" t="n"/>
      <c r="D40" s="176" t="n"/>
      <c r="I40" s="169" t="n"/>
      <c r="J40" s="166" t="n"/>
      <c r="K40" s="176" t="n"/>
    </row>
    <row r="41">
      <c r="B41" s="169" t="n"/>
      <c r="C41" s="166" t="n"/>
      <c r="D41" s="176" t="n"/>
      <c r="I41" s="169" t="n"/>
      <c r="J41" s="166" t="n"/>
      <c r="K41" s="176" t="n"/>
    </row>
    <row r="42">
      <c r="B42" s="169" t="n"/>
      <c r="C42" s="166" t="n"/>
      <c r="D42" s="176" t="n"/>
      <c r="I42" s="144" t="n"/>
      <c r="J42" s="166" t="n"/>
      <c r="K42" s="176" t="n"/>
    </row>
    <row r="43">
      <c r="B43" s="169" t="n"/>
      <c r="C43" s="171" t="n"/>
      <c r="D43" s="176" t="n"/>
      <c r="I43" s="167" t="n"/>
      <c r="J43" s="166" t="n"/>
      <c r="K43" s="176" t="n"/>
    </row>
    <row r="44">
      <c r="B44" s="169" t="n"/>
      <c r="C44" s="171" t="n"/>
      <c r="D44" s="176" t="n"/>
      <c r="I44" s="169" t="n"/>
      <c r="J44" s="166" t="n"/>
      <c r="K44" s="176" t="n"/>
    </row>
    <row r="45">
      <c r="B45" s="169" t="n"/>
      <c r="C45" s="171" t="n"/>
      <c r="D45" s="176" t="n"/>
      <c r="I45" s="169" t="n"/>
      <c r="J45" s="166" t="n"/>
      <c r="K45" s="176" t="n"/>
    </row>
    <row r="46">
      <c r="B46" s="169" t="n"/>
      <c r="C46" s="166" t="n"/>
      <c r="D46" s="176" t="n"/>
      <c r="I46" s="169" t="n"/>
      <c r="J46" s="166" t="n"/>
      <c r="K46" s="176" t="n"/>
    </row>
    <row r="47">
      <c r="B47" s="1" t="n"/>
      <c r="I47" s="169" t="n"/>
      <c r="J47" s="166" t="n"/>
      <c r="K47" s="176" t="n"/>
    </row>
    <row r="48">
      <c r="B48" s="1" t="n"/>
      <c r="I48" s="169" t="n"/>
      <c r="J48" s="171" t="n"/>
      <c r="K48" s="176" t="n"/>
    </row>
    <row r="49">
      <c r="I49" s="169" t="n"/>
      <c r="J49" s="171" t="n"/>
      <c r="K49" s="176" t="n"/>
    </row>
    <row r="50">
      <c r="I50" s="169" t="n"/>
      <c r="J50" s="171" t="n"/>
      <c r="K50" s="176" t="n"/>
    </row>
    <row r="51">
      <c r="I51" s="169" t="n"/>
      <c r="J51" s="166" t="n"/>
      <c r="K51" s="176" t="n"/>
    </row>
  </sheetData>
  <pageMargins left="0.7" right="0.7" top="0.75" bottom="0.75" header="0.3" footer="0.3"/>
  <pageSetup orientation="portrait" paperSize="9" horizontalDpi="0" verticalDpi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44"/>
  <sheetViews>
    <sheetView zoomScaleNormal="100" workbookViewId="0">
      <pane ySplit="2" topLeftCell="A3" activePane="bottomLeft" state="frozen"/>
      <selection pane="bottomLeft" activeCell="H37" sqref="H37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165" t="inlineStr">
        <is>
          <t>ADMIN</t>
        </is>
      </c>
      <c r="F5" s="98" t="inlineStr">
        <is>
          <t>EMPL 1</t>
        </is>
      </c>
      <c r="G5" s="110" t="inlineStr">
        <is>
          <t>EMPL 2</t>
        </is>
      </c>
      <c r="H5" s="110" t="inlineStr">
        <is>
          <t>EMPL 3</t>
        </is>
      </c>
      <c r="I5" s="98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173" t="n"/>
      <c r="B6" s="144" t="inlineStr">
        <is>
          <t>DX-V-122-002</t>
        </is>
      </c>
      <c r="C6" s="166" t="n">
        <v>0.3</v>
      </c>
      <c r="D6" s="134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K6" s="33">
        <f>D6*40</f>
        <v/>
      </c>
      <c r="P6" s="33" t="n"/>
    </row>
    <row r="7">
      <c r="B7" s="144" t="inlineStr">
        <is>
          <t>DX-V-122-001</t>
        </is>
      </c>
      <c r="C7" s="166" t="n">
        <v>0.3</v>
      </c>
      <c r="D7" s="134">
        <f>C7*9</f>
        <v/>
      </c>
      <c r="E7" s="1">
        <f>D7*5</f>
        <v/>
      </c>
      <c r="G7" s="33">
        <f>D7*12</f>
        <v/>
      </c>
      <c r="H7" s="33" t="n"/>
      <c r="I7" s="33" t="n"/>
      <c r="K7" s="33">
        <f>D7*40</f>
        <v/>
      </c>
      <c r="P7" s="33" t="n"/>
    </row>
    <row r="8">
      <c r="B8" s="144" t="inlineStr">
        <is>
          <t>DX-V-116-002</t>
        </is>
      </c>
      <c r="C8" s="166" t="n">
        <v>0.3</v>
      </c>
      <c r="D8" s="134">
        <f>C8*9</f>
        <v/>
      </c>
      <c r="E8" s="1">
        <f>D8*5</f>
        <v/>
      </c>
      <c r="G8" s="33">
        <f>D8*12</f>
        <v/>
      </c>
      <c r="H8" s="33" t="n"/>
      <c r="I8" s="33" t="n"/>
      <c r="K8" s="33">
        <f>D8*40</f>
        <v/>
      </c>
      <c r="P8" s="33" t="n"/>
    </row>
    <row r="9">
      <c r="B9" s="144" t="inlineStr">
        <is>
          <t>DX-V-113-003</t>
        </is>
      </c>
      <c r="C9" s="166" t="n">
        <v>0.3</v>
      </c>
      <c r="D9" s="134">
        <f>C9*9</f>
        <v/>
      </c>
      <c r="E9" s="1">
        <f>D9*5</f>
        <v/>
      </c>
      <c r="F9" s="33">
        <f>D9*15</f>
        <v/>
      </c>
      <c r="G9" s="33" t="n"/>
      <c r="H9" s="33" t="n"/>
      <c r="I9" s="33" t="n"/>
      <c r="K9" s="33">
        <f>D9*40</f>
        <v/>
      </c>
      <c r="P9" s="33" t="n"/>
    </row>
    <row r="10">
      <c r="B10" s="144" t="inlineStr">
        <is>
          <t>DX-V-107-012</t>
        </is>
      </c>
      <c r="C10" s="166" t="n">
        <v>0.3</v>
      </c>
      <c r="D10" s="134">
        <f>C10*9</f>
        <v/>
      </c>
      <c r="E10" s="1">
        <f>D10*5</f>
        <v/>
      </c>
      <c r="G10" s="33">
        <f>D10*12</f>
        <v/>
      </c>
      <c r="H10" s="33" t="n"/>
      <c r="I10" s="33" t="n"/>
      <c r="K10" s="33">
        <f>D10*40</f>
        <v/>
      </c>
      <c r="P10" s="33" t="n"/>
    </row>
    <row r="11" ht="25" customHeight="1">
      <c r="A11" s="125" t="inlineStr">
        <is>
          <t>DD</t>
        </is>
      </c>
      <c r="B11" s="125" t="inlineStr">
        <is>
          <t>MGX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</row>
    <row r="12">
      <c r="A12" s="174" t="n"/>
      <c r="B12" s="144" t="inlineStr">
        <is>
          <t>DD-V-273-005</t>
        </is>
      </c>
      <c r="C12" s="166" t="n">
        <v>0.5</v>
      </c>
      <c r="D12" s="172">
        <f>C12*9</f>
        <v/>
      </c>
      <c r="E12" s="1">
        <f>D12*5</f>
        <v/>
      </c>
      <c r="F12" s="33" t="n"/>
      <c r="G12" s="33">
        <f>D12*12</f>
        <v/>
      </c>
      <c r="H12" s="33">
        <f>D12*15</f>
        <v/>
      </c>
      <c r="I12" s="33" t="n"/>
      <c r="K12" s="33">
        <f>D12*35</f>
        <v/>
      </c>
    </row>
    <row r="13">
      <c r="A13" s="174" t="n"/>
      <c r="B13" s="169" t="inlineStr">
        <is>
          <t>DD-V-195-007</t>
        </is>
      </c>
      <c r="C13" s="166" t="n">
        <v>0.3</v>
      </c>
      <c r="D13" s="172">
        <f>C13*9</f>
        <v/>
      </c>
      <c r="E13" s="1">
        <f>D13*5</f>
        <v/>
      </c>
      <c r="F13" s="33">
        <f>D13*15</f>
        <v/>
      </c>
      <c r="G13" s="135" t="n"/>
      <c r="I13" s="33" t="n"/>
      <c r="K13" s="33">
        <f>D13*35</f>
        <v/>
      </c>
    </row>
    <row r="14">
      <c r="A14" s="174" t="n"/>
      <c r="B14" s="169" t="inlineStr">
        <is>
          <t>DD-V-281-005</t>
        </is>
      </c>
      <c r="C14" s="166" t="n">
        <v>0.3</v>
      </c>
      <c r="D14" s="172">
        <f>C14*9</f>
        <v/>
      </c>
      <c r="E14" s="1">
        <f>D14*5</f>
        <v/>
      </c>
      <c r="F14" s="33" t="n"/>
      <c r="G14" s="33">
        <f>D14*12</f>
        <v/>
      </c>
      <c r="H14" s="33" t="n"/>
      <c r="I14" s="33" t="n"/>
      <c r="K14" s="33">
        <f>D14*35</f>
        <v/>
      </c>
    </row>
    <row r="15">
      <c r="A15" s="174" t="n"/>
      <c r="B15" s="144" t="inlineStr">
        <is>
          <t>DD-V-137-057</t>
        </is>
      </c>
      <c r="C15" s="166" t="n">
        <v>0.3</v>
      </c>
      <c r="D15" s="172">
        <f>C15*9</f>
        <v/>
      </c>
      <c r="E15" s="1">
        <f>D15*5</f>
        <v/>
      </c>
      <c r="F15" s="33">
        <f>D15*15</f>
        <v/>
      </c>
      <c r="H15" s="33" t="n"/>
      <c r="I15" s="33" t="n"/>
      <c r="K15" s="33">
        <f>D15*35</f>
        <v/>
      </c>
    </row>
    <row r="16">
      <c r="A16" s="174" t="n"/>
      <c r="B16" s="167" t="inlineStr">
        <is>
          <t>DD-V-137-058</t>
        </is>
      </c>
      <c r="C16" s="166" t="n">
        <v>0.3</v>
      </c>
      <c r="D16" s="172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K16" s="33">
        <f>D16*35</f>
        <v/>
      </c>
    </row>
    <row r="17">
      <c r="A17" s="174" t="n"/>
      <c r="B17" s="169" t="inlineStr">
        <is>
          <t>DD-V-223-046</t>
        </is>
      </c>
      <c r="C17" s="166" t="n">
        <v>0.3</v>
      </c>
      <c r="D17" s="172">
        <f>C17*9</f>
        <v/>
      </c>
      <c r="E17" s="1">
        <f>D17*5</f>
        <v/>
      </c>
      <c r="F17" s="33">
        <f>D17*15</f>
        <v/>
      </c>
      <c r="G17" s="33" t="n"/>
      <c r="H17" s="33" t="n"/>
      <c r="I17" s="33" t="n"/>
      <c r="K17" s="33">
        <f>D17*35</f>
        <v/>
      </c>
    </row>
    <row r="18">
      <c r="A18" s="174" t="n"/>
      <c r="B18" s="169" t="inlineStr">
        <is>
          <t>DD-V-223-047</t>
        </is>
      </c>
      <c r="C18" s="166" t="n">
        <v>0.3</v>
      </c>
      <c r="D18" s="172">
        <f>C18*9</f>
        <v/>
      </c>
      <c r="E18" s="1">
        <f>D18*5</f>
        <v/>
      </c>
      <c r="F18" s="33" t="n"/>
      <c r="G18" s="33">
        <f>D18*12</f>
        <v/>
      </c>
      <c r="H18" s="33" t="n"/>
      <c r="I18" s="33" t="n"/>
      <c r="K18" s="33">
        <f>D18*35</f>
        <v/>
      </c>
    </row>
    <row r="19">
      <c r="A19" s="174" t="n"/>
      <c r="B19" s="169" t="inlineStr">
        <is>
          <t>DD-V-229-032</t>
        </is>
      </c>
      <c r="C19" s="166" t="n">
        <v>0.3</v>
      </c>
      <c r="D19" s="172">
        <f>C19*9</f>
        <v/>
      </c>
      <c r="E19" s="1">
        <f>D19*5</f>
        <v/>
      </c>
      <c r="F19" s="33">
        <f>D19*15</f>
        <v/>
      </c>
      <c r="G19" s="33" t="n"/>
      <c r="H19" s="33" t="n"/>
      <c r="I19" s="33" t="n"/>
      <c r="K19" s="33">
        <f>D19*35</f>
        <v/>
      </c>
    </row>
    <row r="20">
      <c r="A20" s="174" t="n"/>
      <c r="B20" s="169" t="inlineStr">
        <is>
          <t>DD-V-229-033</t>
        </is>
      </c>
      <c r="C20" s="166" t="n">
        <v>0.3</v>
      </c>
      <c r="D20" s="172">
        <f>C20*9</f>
        <v/>
      </c>
      <c r="E20" s="1">
        <f>D20*5</f>
        <v/>
      </c>
      <c r="F20" s="33" t="n"/>
      <c r="G20" s="33">
        <f>D20*12</f>
        <v/>
      </c>
      <c r="H20" s="33" t="n"/>
      <c r="I20" s="33" t="n"/>
      <c r="K20" s="33">
        <f>D20*35</f>
        <v/>
      </c>
      <c r="L20" s="33" t="n"/>
    </row>
    <row r="21">
      <c r="B21" s="105" t="n"/>
      <c r="C21" s="128" t="n"/>
      <c r="F21" s="33" t="n"/>
      <c r="G21" s="33" t="n"/>
      <c r="H21" s="33" t="n"/>
      <c r="I21" s="33" t="n"/>
      <c r="K21" s="33" t="n"/>
    </row>
    <row r="22">
      <c r="A22" s="118" t="inlineStr">
        <is>
          <t>total</t>
        </is>
      </c>
      <c r="B22" s="57" t="n"/>
      <c r="C22" s="11">
        <f>SUM(C6:C21)</f>
        <v/>
      </c>
      <c r="D22" s="11">
        <f>SUM(D6:D21)</f>
        <v/>
      </c>
      <c r="E22" s="59">
        <f>SUM(E6:E21)</f>
        <v/>
      </c>
      <c r="F22" s="59">
        <f>SUM(F6:F21)</f>
        <v/>
      </c>
      <c r="G22" s="59">
        <f>SUM(G6:G21)</f>
        <v/>
      </c>
      <c r="H22" s="59">
        <f>SUM(H6:H21)</f>
        <v/>
      </c>
      <c r="I22" s="59">
        <f>SUM(I6:I21)</f>
        <v/>
      </c>
      <c r="J22" s="59">
        <f>SUM(E22:I22)</f>
        <v/>
      </c>
      <c r="K22" s="60">
        <f>SUM(K6:K20)</f>
        <v/>
      </c>
      <c r="L22" s="39" t="n"/>
      <c r="M22" s="29" t="inlineStr">
        <is>
          <t>UAH</t>
        </is>
      </c>
      <c r="N22" s="16" t="inlineStr">
        <is>
          <t>USD</t>
        </is>
      </c>
    </row>
    <row r="23">
      <c r="E23" s="142">
        <f>E22*40</f>
        <v/>
      </c>
      <c r="F23" s="142">
        <f>F22*40</f>
        <v/>
      </c>
      <c r="G23" s="142">
        <f>G22*40</f>
        <v/>
      </c>
      <c r="H23" s="142">
        <f>H22*40</f>
        <v/>
      </c>
      <c r="I23" s="7">
        <f>I22*40</f>
        <v/>
      </c>
      <c r="J23" s="7">
        <f>J22*40</f>
        <v/>
      </c>
      <c r="K23" s="7">
        <f>K22*40</f>
        <v/>
      </c>
      <c r="L23" s="5" t="inlineStr">
        <is>
          <t>CLIENT IN</t>
        </is>
      </c>
      <c r="M23" s="7">
        <f>N23*40</f>
        <v/>
      </c>
      <c r="N23" s="8">
        <f>K22</f>
        <v/>
      </c>
      <c r="S23" s="4" t="n"/>
    </row>
    <row r="24">
      <c r="G24" s="33" t="n"/>
      <c r="H24" s="123" t="n"/>
      <c r="I24" s="123" t="n"/>
      <c r="L24" s="5" t="inlineStr">
        <is>
          <t>STUDIO (TAX)</t>
        </is>
      </c>
      <c r="M24" s="7">
        <f>N24*40</f>
        <v/>
      </c>
      <c r="N24" s="8">
        <f>N23-N23*0.05</f>
        <v/>
      </c>
    </row>
    <row r="25">
      <c r="B25" s="1" t="n"/>
      <c r="E25" s="21" t="n"/>
      <c r="G25" s="33" t="n"/>
      <c r="L25" s="5" t="inlineStr">
        <is>
          <t>EMPL</t>
        </is>
      </c>
      <c r="M25" s="7">
        <f>N25*40</f>
        <v/>
      </c>
      <c r="N25" s="8">
        <f>J22</f>
        <v/>
      </c>
    </row>
    <row r="26">
      <c r="B26" s="1" t="n"/>
      <c r="L26" s="37" t="inlineStr">
        <is>
          <t>STUDIO</t>
        </is>
      </c>
      <c r="M26" s="7">
        <f>N26*40</f>
        <v/>
      </c>
      <c r="N26" s="8">
        <f>N24-N25</f>
        <v/>
      </c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</sheetData>
  <pageMargins left="0.7" right="0.7" top="0.75" bottom="0.75" header="0.3" footer="0.3"/>
  <pageSetup orientation="portrait" paperSize="9" horizontalDpi="0" verticalDpi="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8"/>
  <sheetViews>
    <sheetView zoomScaleNormal="100" workbookViewId="0">
      <pane ySplit="2" topLeftCell="A3" activePane="bottomLeft" state="frozen"/>
      <selection pane="bottomLeft" activeCell="I6" sqref="I6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2.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170" t="inlineStr">
        <is>
          <t>Анастасія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165" t="inlineStr">
        <is>
          <t>ADMIN</t>
        </is>
      </c>
      <c r="F5" s="98" t="inlineStr">
        <is>
          <t>EMPL 1</t>
        </is>
      </c>
      <c r="G5" s="110" t="inlineStr">
        <is>
          <t>EMPL 2</t>
        </is>
      </c>
      <c r="H5" s="110" t="inlineStr">
        <is>
          <t>EMPL 3</t>
        </is>
      </c>
      <c r="I5" s="98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141" t="n"/>
      <c r="B6" s="144" t="inlineStr">
        <is>
          <t>DX-H-128-001</t>
        </is>
      </c>
      <c r="C6" s="166" t="n">
        <v>0.8</v>
      </c>
      <c r="D6" s="134">
        <f>C6*9</f>
        <v/>
      </c>
      <c r="E6" s="1">
        <f>D6*5</f>
        <v/>
      </c>
      <c r="F6" s="33" t="n"/>
      <c r="G6" s="33" t="n"/>
      <c r="H6" s="33" t="n"/>
      <c r="I6" s="33">
        <f>D6*15</f>
        <v/>
      </c>
      <c r="K6" s="33">
        <f>D6*40</f>
        <v/>
      </c>
      <c r="P6" s="33" t="n"/>
    </row>
    <row r="7">
      <c r="B7" s="144" t="n"/>
      <c r="C7" s="166" t="n"/>
      <c r="D7" s="134" t="n"/>
      <c r="G7" s="33" t="n"/>
      <c r="H7" s="33" t="n"/>
      <c r="I7" s="33" t="n"/>
      <c r="K7" s="33" t="n"/>
      <c r="P7" s="33" t="n"/>
    </row>
    <row r="8">
      <c r="B8" s="144" t="n"/>
      <c r="C8" s="166" t="n"/>
      <c r="D8" s="134" t="n"/>
      <c r="F8" s="33" t="n"/>
      <c r="G8" s="33" t="n"/>
      <c r="H8" s="33" t="n"/>
      <c r="I8" s="33" t="n"/>
      <c r="K8" s="33" t="n"/>
      <c r="P8" s="33" t="n"/>
    </row>
    <row r="9" ht="25" customHeight="1">
      <c r="A9" s="125" t="inlineStr">
        <is>
          <t>DD</t>
        </is>
      </c>
      <c r="B9" s="125" t="inlineStr">
        <is>
          <t>MGX</t>
        </is>
      </c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</row>
    <row r="10">
      <c r="A10" s="152" t="n"/>
      <c r="B10" s="144" t="inlineStr">
        <is>
          <t>DD-V-137-054</t>
        </is>
      </c>
      <c r="C10" s="166" t="n">
        <v>0.3</v>
      </c>
      <c r="D10" s="172">
        <f>C10*9</f>
        <v/>
      </c>
      <c r="E10" s="1">
        <f>D10*5</f>
        <v/>
      </c>
      <c r="F10" s="33" t="n"/>
      <c r="G10" s="33">
        <f>D10*12</f>
        <v/>
      </c>
      <c r="H10" s="33" t="n"/>
      <c r="I10" s="33" t="n"/>
      <c r="K10" s="33">
        <f>D10*35</f>
        <v/>
      </c>
    </row>
    <row r="11">
      <c r="A11" s="152" t="n"/>
      <c r="B11" s="169" t="inlineStr">
        <is>
          <t>DD-V-229-028</t>
        </is>
      </c>
      <c r="C11" s="166" t="n">
        <v>0.3</v>
      </c>
      <c r="D11" s="172">
        <f>C11*9</f>
        <v/>
      </c>
      <c r="E11" s="1">
        <f>D11*5</f>
        <v/>
      </c>
      <c r="F11" s="33">
        <f>D11*15</f>
        <v/>
      </c>
      <c r="G11" s="135" t="n"/>
      <c r="I11" s="33" t="n"/>
      <c r="K11" s="33">
        <f>D11*35</f>
        <v/>
      </c>
    </row>
    <row r="12">
      <c r="A12" s="152" t="n"/>
      <c r="B12" s="169" t="inlineStr">
        <is>
          <t>DD-V-229-029</t>
        </is>
      </c>
      <c r="C12" s="166" t="n">
        <v>0.3</v>
      </c>
      <c r="D12" s="172">
        <f>C12*9</f>
        <v/>
      </c>
      <c r="E12" s="1">
        <f>D12*5</f>
        <v/>
      </c>
      <c r="F12" s="33">
        <f>D12*15</f>
        <v/>
      </c>
      <c r="H12" s="33" t="n"/>
      <c r="I12" s="33" t="n"/>
      <c r="K12" s="33">
        <f>D12*35</f>
        <v/>
      </c>
    </row>
    <row r="13">
      <c r="A13" s="152" t="n"/>
      <c r="B13" s="144" t="inlineStr">
        <is>
          <t>DD-V-223-038</t>
        </is>
      </c>
      <c r="C13" s="166" t="n">
        <v>0.3</v>
      </c>
      <c r="D13" s="172">
        <f>C13*9</f>
        <v/>
      </c>
      <c r="E13" s="1">
        <f>D13*5</f>
        <v/>
      </c>
      <c r="F13" s="33">
        <f>D13*15</f>
        <v/>
      </c>
      <c r="H13" s="33" t="n"/>
      <c r="I13" s="33" t="n"/>
      <c r="K13" s="33">
        <f>D13*35</f>
        <v/>
      </c>
    </row>
    <row r="14">
      <c r="A14" s="152" t="n"/>
      <c r="B14" s="167" t="inlineStr">
        <is>
          <t>DD-V-223-039</t>
        </is>
      </c>
      <c r="C14" s="166" t="n">
        <v>0.3</v>
      </c>
      <c r="D14" s="172">
        <f>C14*9</f>
        <v/>
      </c>
      <c r="E14" s="1">
        <f>D14*5</f>
        <v/>
      </c>
      <c r="F14" s="33">
        <f>D14*15</f>
        <v/>
      </c>
      <c r="G14" s="33" t="n"/>
      <c r="H14" s="33" t="n"/>
      <c r="I14" s="33" t="n"/>
      <c r="K14" s="33">
        <f>D14*35</f>
        <v/>
      </c>
    </row>
    <row r="15">
      <c r="A15" s="152" t="n"/>
      <c r="B15" s="167" t="inlineStr">
        <is>
          <t>DD-V-137-055</t>
        </is>
      </c>
      <c r="C15" s="166" t="n">
        <v>0.3</v>
      </c>
      <c r="D15" s="172">
        <f>C15*9</f>
        <v/>
      </c>
      <c r="E15" s="1">
        <f>D15*5</f>
        <v/>
      </c>
      <c r="F15" s="33" t="n"/>
      <c r="G15" s="33">
        <f>D15*12</f>
        <v/>
      </c>
      <c r="H15" s="33" t="n"/>
      <c r="I15" s="33" t="n"/>
      <c r="K15" s="33">
        <f>D15*35</f>
        <v/>
      </c>
    </row>
    <row r="16">
      <c r="A16" s="152" t="n"/>
      <c r="B16" s="169" t="inlineStr">
        <is>
          <t>DD-V-137-056</t>
        </is>
      </c>
      <c r="C16" s="166" t="n">
        <v>0.3</v>
      </c>
      <c r="D16" s="172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K16" s="33">
        <f>D16*35</f>
        <v/>
      </c>
    </row>
    <row r="17">
      <c r="A17" s="152" t="n"/>
      <c r="B17" s="169" t="inlineStr">
        <is>
          <t>DD-V-137-057</t>
        </is>
      </c>
      <c r="C17" s="166" t="n">
        <v>0.3</v>
      </c>
      <c r="D17" s="172">
        <f>C17*9</f>
        <v/>
      </c>
      <c r="E17" s="1">
        <f>D17*5</f>
        <v/>
      </c>
      <c r="F17" s="33" t="n"/>
      <c r="G17" s="33">
        <f>D17*12</f>
        <v/>
      </c>
      <c r="H17" s="33" t="n"/>
      <c r="I17" s="33" t="n"/>
      <c r="K17" s="33">
        <f>D17*35</f>
        <v/>
      </c>
    </row>
    <row r="18">
      <c r="A18" s="152" t="n"/>
      <c r="B18" s="169" t="inlineStr">
        <is>
          <t>DD-UGC-300-004</t>
        </is>
      </c>
      <c r="C18" s="166" t="n">
        <v>0.5</v>
      </c>
      <c r="D18" s="172">
        <f>C18*9</f>
        <v/>
      </c>
      <c r="E18" s="1">
        <f>D18*5</f>
        <v/>
      </c>
      <c r="F18" s="33" t="n"/>
      <c r="G18" s="33" t="n"/>
      <c r="H18" s="33" t="n"/>
      <c r="I18" s="33">
        <f>D18*15</f>
        <v/>
      </c>
      <c r="K18" s="33">
        <f>D18*35</f>
        <v/>
      </c>
      <c r="L18" s="33" t="n"/>
    </row>
    <row r="19">
      <c r="A19" s="152" t="n"/>
      <c r="B19" s="169" t="inlineStr">
        <is>
          <t>DD-V-223-044</t>
        </is>
      </c>
      <c r="C19" s="166" t="n">
        <v>0.5</v>
      </c>
      <c r="D19" s="172">
        <f>C19*9</f>
        <v/>
      </c>
      <c r="E19" s="1">
        <f>D19*5</f>
        <v/>
      </c>
      <c r="F19" s="33" t="n"/>
      <c r="G19" s="33">
        <f>D19*12</f>
        <v/>
      </c>
      <c r="H19" s="33" t="n"/>
      <c r="I19" s="33" t="n"/>
      <c r="K19" s="33">
        <f>D19*35</f>
        <v/>
      </c>
    </row>
    <row r="20">
      <c r="A20" s="152" t="n"/>
      <c r="B20" s="169" t="inlineStr">
        <is>
          <t>DD-V-241-002</t>
        </is>
      </c>
      <c r="C20" s="166" t="n">
        <v>0.5</v>
      </c>
      <c r="D20" s="171">
        <f>C20*9</f>
        <v/>
      </c>
      <c r="E20" s="1">
        <f>D20*5</f>
        <v/>
      </c>
      <c r="F20" s="33" t="n"/>
      <c r="G20" s="33" t="n"/>
      <c r="H20" s="33" t="n"/>
      <c r="I20" s="33">
        <f>D20*15</f>
        <v/>
      </c>
      <c r="K20" s="33">
        <f>D20*35</f>
        <v/>
      </c>
    </row>
    <row r="21">
      <c r="A21" s="152" t="n"/>
      <c r="B21" s="169" t="inlineStr">
        <is>
          <t>DD-V-049-071</t>
        </is>
      </c>
      <c r="C21" s="171" t="n">
        <v>0.3</v>
      </c>
      <c r="D21" s="171">
        <f>C21*9</f>
        <v/>
      </c>
      <c r="E21" s="1">
        <f>D21*5</f>
        <v/>
      </c>
      <c r="F21" s="33" t="n"/>
      <c r="G21" s="33" t="n"/>
      <c r="H21" s="33" t="n"/>
      <c r="I21" s="33">
        <f>D21*15</f>
        <v/>
      </c>
      <c r="K21" s="33">
        <f>D21*35</f>
        <v/>
      </c>
    </row>
    <row r="22">
      <c r="A22" s="152" t="n"/>
      <c r="B22" s="169" t="inlineStr">
        <is>
          <t>DD-V-229-031</t>
        </is>
      </c>
      <c r="C22" s="171" t="n">
        <v>0.3</v>
      </c>
      <c r="D22" s="171">
        <f>C22*9</f>
        <v/>
      </c>
      <c r="E22" s="1">
        <f>D22*5</f>
        <v/>
      </c>
      <c r="F22" s="33">
        <f>D22*15</f>
        <v/>
      </c>
      <c r="G22" s="33" t="n"/>
      <c r="H22" s="33" t="n"/>
      <c r="I22" s="33" t="n"/>
      <c r="K22" s="33">
        <f>D22*35</f>
        <v/>
      </c>
    </row>
    <row r="23">
      <c r="A23" s="152" t="n"/>
      <c r="B23" s="169" t="inlineStr">
        <is>
          <t>DD-V-223-045</t>
        </is>
      </c>
      <c r="C23" s="171" t="n">
        <v>0.3</v>
      </c>
      <c r="D23" s="171">
        <f>C23*9</f>
        <v/>
      </c>
      <c r="E23" s="1">
        <f>D23*5</f>
        <v/>
      </c>
      <c r="F23" s="33" t="n"/>
      <c r="G23" s="33">
        <f>D23*12</f>
        <v/>
      </c>
      <c r="H23" s="33" t="n"/>
      <c r="I23" s="33" t="n"/>
      <c r="K23" s="33">
        <f>D23*35</f>
        <v/>
      </c>
    </row>
    <row r="24">
      <c r="A24" s="152" t="n"/>
      <c r="B24" s="169" t="inlineStr">
        <is>
          <t>DD-V-049-072</t>
        </is>
      </c>
      <c r="C24" s="171" t="n">
        <v>0.3</v>
      </c>
      <c r="D24" s="171">
        <f>C24*9</f>
        <v/>
      </c>
      <c r="E24" s="1">
        <f>D24*5</f>
        <v/>
      </c>
      <c r="F24" s="33">
        <f>D24*15</f>
        <v/>
      </c>
      <c r="G24" s="33" t="n"/>
      <c r="H24" s="33" t="n"/>
      <c r="I24" s="33" t="n"/>
      <c r="K24" s="33">
        <f>D24*35</f>
        <v/>
      </c>
    </row>
    <row r="25">
      <c r="B25" s="105" t="n"/>
      <c r="C25" s="128" t="n"/>
      <c r="F25" s="33" t="n"/>
      <c r="G25" s="33" t="n"/>
      <c r="H25" s="33" t="n"/>
      <c r="I25" s="33" t="n"/>
      <c r="K25" s="33" t="n"/>
    </row>
    <row r="26">
      <c r="A26" s="118" t="inlineStr">
        <is>
          <t>total</t>
        </is>
      </c>
      <c r="B26" s="57" t="n"/>
      <c r="C26" s="11">
        <f>SUM(C6:C25)</f>
        <v/>
      </c>
      <c r="D26" s="11">
        <f>SUM(D6:D25)</f>
        <v/>
      </c>
      <c r="E26" s="59">
        <f>SUM(E6:E25)</f>
        <v/>
      </c>
      <c r="F26" s="59">
        <f>SUM(F6:F25)</f>
        <v/>
      </c>
      <c r="G26" s="59">
        <f>SUM(G6:G25)</f>
        <v/>
      </c>
      <c r="H26" s="59">
        <f>SUM(H6:H25)</f>
        <v/>
      </c>
      <c r="I26" s="59">
        <f>SUM(I6:I25)</f>
        <v/>
      </c>
      <c r="J26" s="59">
        <f>SUM(E26:I26)</f>
        <v/>
      </c>
      <c r="K26" s="60">
        <f>SUM(K6:K24)</f>
        <v/>
      </c>
      <c r="L26" s="39" t="n"/>
      <c r="M26" s="29" t="inlineStr">
        <is>
          <t>UAH</t>
        </is>
      </c>
      <c r="N26" s="16" t="inlineStr">
        <is>
          <t>USD</t>
        </is>
      </c>
    </row>
    <row r="27">
      <c r="E27" s="142">
        <f>E26*40</f>
        <v/>
      </c>
      <c r="F27" s="142">
        <f>F26*40</f>
        <v/>
      </c>
      <c r="G27" s="142">
        <f>G26*40</f>
        <v/>
      </c>
      <c r="H27" s="7">
        <f>H26*40</f>
        <v/>
      </c>
      <c r="I27" s="142">
        <f>I26*40</f>
        <v/>
      </c>
      <c r="J27" s="7">
        <f>J26*40</f>
        <v/>
      </c>
      <c r="K27" s="7">
        <f>K26*40</f>
        <v/>
      </c>
      <c r="L27" s="5" t="inlineStr">
        <is>
          <t>CLIENT IN</t>
        </is>
      </c>
      <c r="M27" s="7">
        <f>N27*40</f>
        <v/>
      </c>
      <c r="N27" s="8">
        <f>K26</f>
        <v/>
      </c>
      <c r="S27" s="4" t="n"/>
    </row>
    <row r="28">
      <c r="G28" s="33" t="n"/>
      <c r="H28" s="123" t="n"/>
      <c r="I28" s="123" t="n"/>
      <c r="L28" s="5" t="inlineStr">
        <is>
          <t>STUDIO (TAX)</t>
        </is>
      </c>
      <c r="M28" s="7">
        <f>N28*40</f>
        <v/>
      </c>
      <c r="N28" s="8">
        <f>N27-N27*0.05</f>
        <v/>
      </c>
    </row>
    <row r="29">
      <c r="B29" s="1" t="n"/>
      <c r="E29" s="21" t="n"/>
      <c r="G29" s="33" t="n"/>
      <c r="L29" s="5" t="inlineStr">
        <is>
          <t>EMPL</t>
        </is>
      </c>
      <c r="M29" s="7">
        <f>N29*40</f>
        <v/>
      </c>
      <c r="N29" s="8">
        <f>J26</f>
        <v/>
      </c>
    </row>
    <row r="30">
      <c r="B30" s="1" t="n"/>
      <c r="L30" s="37" t="inlineStr">
        <is>
          <t>STUDIO</t>
        </is>
      </c>
      <c r="M30" s="7">
        <f>N30*40</f>
        <v/>
      </c>
      <c r="N30" s="8">
        <f>N28-N29</f>
        <v/>
      </c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</sheetData>
  <pageMargins left="0.7" right="0.7" top="0.75" bottom="0.75" header="0.3" footer="0.3"/>
  <pageSetup orientation="portrait" paperSize="9" horizontalDpi="0" verticalDpi="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60"/>
  <sheetViews>
    <sheetView zoomScaleNormal="100" workbookViewId="0">
      <pane ySplit="2" topLeftCell="A3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3.1640625" customWidth="1" style="1" min="11" max="11"/>
    <col width="15.3320312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165" t="inlineStr">
        <is>
          <t>ADMIN</t>
        </is>
      </c>
      <c r="F5" s="98" t="inlineStr">
        <is>
          <t>EMPL 1</t>
        </is>
      </c>
      <c r="G5" s="110" t="inlineStr">
        <is>
          <t>EMPL 2</t>
        </is>
      </c>
      <c r="H5" s="110" t="inlineStr">
        <is>
          <t>EMPL 3</t>
        </is>
      </c>
      <c r="I5" s="98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141" t="n"/>
      <c r="B6" s="144" t="inlineStr">
        <is>
          <t>DX-V-090-001</t>
        </is>
      </c>
      <c r="C6" s="166" t="n">
        <v>0.6</v>
      </c>
      <c r="D6" s="134">
        <f>C6*9</f>
        <v/>
      </c>
      <c r="E6" s="1">
        <f>D6*5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141" t="n"/>
      <c r="B7" s="144" t="inlineStr">
        <is>
          <t>DX-V-112-008</t>
        </is>
      </c>
      <c r="C7" s="166" t="n">
        <v>0.5</v>
      </c>
      <c r="D7" s="134">
        <f>C7*9</f>
        <v/>
      </c>
      <c r="E7" s="1">
        <f>D7*5</f>
        <v/>
      </c>
      <c r="G7" s="33" t="n"/>
      <c r="H7" s="33">
        <f>D7*15</f>
        <v/>
      </c>
      <c r="I7" s="33" t="n"/>
      <c r="K7" s="33">
        <f>D7*35</f>
        <v/>
      </c>
      <c r="P7" s="33" t="n"/>
    </row>
    <row r="8">
      <c r="A8" s="141" t="n"/>
      <c r="B8" s="144" t="inlineStr">
        <is>
          <t>DX-V-084-001</t>
        </is>
      </c>
      <c r="C8" s="166" t="n">
        <v>0.3</v>
      </c>
      <c r="D8" s="134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D8*35</f>
        <v/>
      </c>
      <c r="P8" s="33" t="n"/>
    </row>
    <row r="9">
      <c r="A9" s="141" t="n"/>
      <c r="B9" s="167" t="inlineStr">
        <is>
          <t>DX-V-002-037</t>
        </is>
      </c>
      <c r="C9" s="166" t="n">
        <v>0.5</v>
      </c>
      <c r="D9" s="134">
        <f>C9*9</f>
        <v/>
      </c>
      <c r="E9" s="1">
        <f>D9*5</f>
        <v/>
      </c>
      <c r="G9" s="33" t="n"/>
      <c r="H9" s="33">
        <f>D9*15</f>
        <v/>
      </c>
      <c r="I9" s="33" t="n"/>
      <c r="K9" s="33">
        <f>D9*35</f>
        <v/>
      </c>
      <c r="P9" s="33" t="n"/>
    </row>
    <row r="10">
      <c r="A10" s="141" t="n"/>
      <c r="B10" s="144" t="inlineStr">
        <is>
          <t>DX-V-083-001</t>
        </is>
      </c>
      <c r="C10" s="166" t="n">
        <v>0.5</v>
      </c>
      <c r="D10" s="134">
        <f>C10*9</f>
        <v/>
      </c>
      <c r="E10" s="1">
        <f>D10*5</f>
        <v/>
      </c>
      <c r="G10" s="33" t="n"/>
      <c r="H10" s="33" t="n"/>
      <c r="I10" s="33">
        <f>4.5*12</f>
        <v/>
      </c>
      <c r="K10" s="33">
        <f>D10*35</f>
        <v/>
      </c>
      <c r="P10" s="33" t="n"/>
    </row>
    <row r="11">
      <c r="A11" s="141" t="n"/>
      <c r="B11" s="144" t="inlineStr">
        <is>
          <t>DX-V-119-002</t>
        </is>
      </c>
      <c r="C11" s="166" t="n">
        <v>0.5</v>
      </c>
      <c r="D11" s="134">
        <f>C11*9</f>
        <v/>
      </c>
      <c r="E11" s="1">
        <f>D11*5</f>
        <v/>
      </c>
      <c r="F11" s="33" t="n"/>
      <c r="G11" s="33" t="n"/>
      <c r="H11" s="33" t="n"/>
      <c r="I11" s="33">
        <f>4.5*12</f>
        <v/>
      </c>
      <c r="K11" s="33">
        <f>D11*35</f>
        <v/>
      </c>
      <c r="P11" s="33" t="n"/>
    </row>
    <row r="12">
      <c r="A12" s="141" t="n"/>
      <c r="B12" s="144" t="inlineStr">
        <is>
          <t>DX-V-112-007</t>
        </is>
      </c>
      <c r="C12" s="166" t="n">
        <v>0.2</v>
      </c>
      <c r="D12" s="134">
        <f>C12*9</f>
        <v/>
      </c>
      <c r="E12" s="1">
        <f>D12*5</f>
        <v/>
      </c>
      <c r="F12" s="33">
        <f>D12*15</f>
        <v/>
      </c>
      <c r="G12" s="33" t="n"/>
      <c r="H12" s="33" t="n"/>
      <c r="I12" s="33" t="n"/>
      <c r="K12" s="33">
        <f>D12*35</f>
        <v/>
      </c>
      <c r="P12" s="33" t="n"/>
    </row>
    <row r="13">
      <c r="A13" s="141" t="n"/>
      <c r="B13" s="168" t="inlineStr">
        <is>
          <t>DX-V-107-009</t>
        </is>
      </c>
      <c r="C13" s="166" t="n">
        <v>0.5</v>
      </c>
      <c r="D13" s="134">
        <f>C13*9</f>
        <v/>
      </c>
      <c r="E13" s="1">
        <f>D13*5</f>
        <v/>
      </c>
      <c r="F13" s="33">
        <f>D13*15</f>
        <v/>
      </c>
      <c r="G13" s="33" t="n"/>
      <c r="H13" s="33" t="n"/>
      <c r="I13" s="33" t="n"/>
      <c r="K13" s="33">
        <f>D13*35</f>
        <v/>
      </c>
      <c r="P13" s="33" t="n"/>
    </row>
    <row r="14">
      <c r="A14" s="141" t="n"/>
      <c r="B14" s="168" t="inlineStr">
        <is>
          <t>DX-V-114-004</t>
        </is>
      </c>
      <c r="C14" s="166" t="n">
        <v>0.5</v>
      </c>
      <c r="D14" s="134">
        <f>C14*9</f>
        <v/>
      </c>
      <c r="E14" s="1">
        <f>D14*5</f>
        <v/>
      </c>
      <c r="F14" s="33" t="n"/>
      <c r="G14" s="33">
        <f>D14*12</f>
        <v/>
      </c>
      <c r="H14" s="33" t="n"/>
      <c r="I14" s="33" t="n"/>
      <c r="K14" s="33">
        <f>D14*35</f>
        <v/>
      </c>
      <c r="P14" s="33" t="n"/>
    </row>
    <row r="15">
      <c r="A15" s="141" t="n"/>
      <c r="B15" s="168" t="inlineStr">
        <is>
          <t>DX-V-106-016</t>
        </is>
      </c>
      <c r="C15" s="166" t="n">
        <v>0.5</v>
      </c>
      <c r="D15" s="134">
        <f>C15*9</f>
        <v/>
      </c>
      <c r="E15" s="1">
        <f>D15*5</f>
        <v/>
      </c>
      <c r="F15" s="33">
        <f>D15*15</f>
        <v/>
      </c>
      <c r="G15" s="33" t="n"/>
      <c r="H15" s="33" t="n"/>
      <c r="I15" s="33" t="n"/>
      <c r="K15" s="33">
        <f>D15*35</f>
        <v/>
      </c>
      <c r="P15" s="33" t="n"/>
    </row>
    <row r="16">
      <c r="A16" s="141" t="n"/>
      <c r="B16" s="144" t="inlineStr">
        <is>
          <t>DX-V-119-001</t>
        </is>
      </c>
      <c r="C16" s="166" t="n">
        <v>1.3</v>
      </c>
      <c r="D16" s="134">
        <f>C16*9</f>
        <v/>
      </c>
      <c r="E16" s="1">
        <f>D16*5</f>
        <v/>
      </c>
      <c r="G16" s="33" t="n"/>
      <c r="H16" s="33">
        <f>D16*15</f>
        <v/>
      </c>
      <c r="I16" s="33" t="n"/>
      <c r="K16" s="33">
        <f>D16*35</f>
        <v/>
      </c>
      <c r="P16" s="33" t="n"/>
    </row>
    <row r="17">
      <c r="A17" s="141" t="n"/>
      <c r="B17" s="144" t="inlineStr">
        <is>
          <t>DX-V-113-001</t>
        </is>
      </c>
      <c r="C17" s="166" t="n">
        <v>0.5</v>
      </c>
      <c r="D17" s="134">
        <f>C17*9</f>
        <v/>
      </c>
      <c r="E17" s="1">
        <f>D17*5</f>
        <v/>
      </c>
      <c r="F17" s="33">
        <f>D17*15</f>
        <v/>
      </c>
      <c r="G17" s="33" t="n"/>
      <c r="H17" s="33" t="n"/>
      <c r="I17" s="33" t="n"/>
      <c r="K17" s="33">
        <f>D17*35</f>
        <v/>
      </c>
      <c r="P17" s="33" t="n"/>
    </row>
    <row r="18">
      <c r="B18" s="144" t="n"/>
      <c r="C18" s="166" t="n"/>
      <c r="D18" s="134" t="n"/>
      <c r="F18" s="33" t="n"/>
      <c r="G18" s="33" t="n"/>
      <c r="H18" s="33" t="n"/>
      <c r="I18" s="33" t="n"/>
      <c r="K18" s="33" t="n"/>
      <c r="P18" s="33" t="n"/>
    </row>
    <row r="19">
      <c r="B19" s="144" t="n"/>
      <c r="C19" s="166" t="n"/>
      <c r="D19" s="134" t="n"/>
      <c r="F19" s="33" t="n"/>
      <c r="G19" s="33" t="n"/>
      <c r="H19" s="33" t="n"/>
      <c r="I19" s="33" t="n"/>
      <c r="K19" s="33" t="n"/>
      <c r="P19" s="33" t="n"/>
    </row>
    <row r="20" ht="25" customHeight="1">
      <c r="A20" s="125" t="inlineStr">
        <is>
          <t>DD</t>
        </is>
      </c>
      <c r="B20" s="125" t="inlineStr">
        <is>
          <t>MGX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</row>
    <row r="21">
      <c r="A21" s="152" t="n"/>
      <c r="B21" s="144" t="inlineStr">
        <is>
          <t>DD-V-223-001</t>
        </is>
      </c>
      <c r="C21" s="166" t="n">
        <v>0.9</v>
      </c>
      <c r="D21" s="134" t="n">
        <v>8.1</v>
      </c>
      <c r="E21" s="1">
        <f>D21*5</f>
        <v/>
      </c>
      <c r="F21" s="33" t="n"/>
      <c r="G21" s="33" t="n"/>
      <c r="H21" s="33" t="n"/>
      <c r="I21" s="33">
        <f>4.5*12</f>
        <v/>
      </c>
      <c r="K21" s="33">
        <f>D21*35</f>
        <v/>
      </c>
    </row>
    <row r="22">
      <c r="A22" s="152" t="n"/>
      <c r="B22" s="144" t="inlineStr">
        <is>
          <t>DD-H-277-001</t>
        </is>
      </c>
      <c r="C22" s="166" t="n">
        <v>0.5</v>
      </c>
      <c r="D22" s="134" t="n">
        <v>4.5</v>
      </c>
      <c r="E22" s="1">
        <f>D22*5</f>
        <v/>
      </c>
      <c r="F22" s="33" t="n"/>
      <c r="G22" s="135" t="n"/>
      <c r="H22" s="33">
        <f>D22*15</f>
        <v/>
      </c>
      <c r="I22" s="33" t="n"/>
      <c r="K22" s="33">
        <f>D22*35</f>
        <v/>
      </c>
    </row>
    <row r="23">
      <c r="A23" s="152" t="n"/>
      <c r="B23" s="144" t="inlineStr">
        <is>
          <t>DD-V-229-018</t>
        </is>
      </c>
      <c r="C23" s="166" t="n">
        <v>0.5</v>
      </c>
      <c r="D23" s="134" t="n">
        <v>4.5</v>
      </c>
      <c r="E23" s="1">
        <f>D23*5</f>
        <v/>
      </c>
      <c r="F23" s="33" t="n"/>
      <c r="G23" s="33">
        <f>D23*12</f>
        <v/>
      </c>
      <c r="H23" s="33" t="n"/>
      <c r="I23" s="33" t="n"/>
      <c r="K23" s="33">
        <f>D23*35</f>
        <v/>
      </c>
    </row>
    <row r="24">
      <c r="A24" s="152" t="n"/>
      <c r="B24" s="144" t="inlineStr">
        <is>
          <t>DD-V-126-037</t>
        </is>
      </c>
      <c r="C24" s="166" t="n">
        <v>0.5</v>
      </c>
      <c r="D24" s="134" t="n">
        <v>4.5</v>
      </c>
      <c r="E24" s="1">
        <f>D24*5</f>
        <v/>
      </c>
      <c r="F24" s="33" t="n"/>
      <c r="G24" s="33">
        <f>D24*12</f>
        <v/>
      </c>
      <c r="H24" s="33" t="n"/>
      <c r="I24" s="33" t="n"/>
      <c r="K24" s="33">
        <f>D24*35</f>
        <v/>
      </c>
    </row>
    <row r="25">
      <c r="A25" s="152" t="n"/>
      <c r="B25" s="159" t="inlineStr">
        <is>
          <t>DD-AIV-114-002</t>
        </is>
      </c>
      <c r="C25" s="166" t="n">
        <v>0.5</v>
      </c>
      <c r="D25" s="134" t="n">
        <v>4.5</v>
      </c>
      <c r="E25" s="1">
        <f>D25*5</f>
        <v/>
      </c>
      <c r="F25" s="33" t="n"/>
      <c r="G25" s="33" t="n"/>
      <c r="H25" s="33" t="n"/>
      <c r="I25" s="33">
        <f>4.5*12</f>
        <v/>
      </c>
      <c r="K25" s="33">
        <f>D25*35</f>
        <v/>
      </c>
    </row>
    <row r="26">
      <c r="A26" s="152" t="n"/>
      <c r="B26" s="167" t="inlineStr">
        <is>
          <t>DD-V-049-061</t>
        </is>
      </c>
      <c r="C26" s="166" t="n">
        <v>0.5</v>
      </c>
      <c r="D26" s="134" t="n">
        <v>4.5</v>
      </c>
      <c r="E26" s="1">
        <f>D26*5</f>
        <v/>
      </c>
      <c r="F26" s="33" t="n"/>
      <c r="G26" s="33">
        <f>D26*12</f>
        <v/>
      </c>
      <c r="H26" s="33" t="n"/>
      <c r="I26" s="33" t="n"/>
      <c r="K26" s="33">
        <f>D26*35</f>
        <v/>
      </c>
    </row>
    <row r="27">
      <c r="A27" s="152" t="n"/>
      <c r="B27" s="169" t="inlineStr">
        <is>
          <t>DD-H-178-002</t>
        </is>
      </c>
      <c r="C27" s="166" t="n">
        <v>0.3</v>
      </c>
      <c r="D27" s="134" t="n">
        <v>2.7</v>
      </c>
      <c r="E27" s="1">
        <f>D27*5</f>
        <v/>
      </c>
      <c r="F27" s="33" t="n"/>
      <c r="G27" s="33" t="n"/>
      <c r="H27" s="33">
        <f>D27*15</f>
        <v/>
      </c>
      <c r="I27" s="33" t="n"/>
      <c r="K27" s="33">
        <f>D27*35</f>
        <v/>
      </c>
    </row>
    <row r="28">
      <c r="A28" s="152" t="n"/>
      <c r="B28" s="144" t="inlineStr">
        <is>
          <t>DD-V-195-004</t>
        </is>
      </c>
      <c r="C28" s="166" t="n">
        <v>0.3</v>
      </c>
      <c r="D28" s="134" t="n">
        <v>2.7</v>
      </c>
      <c r="E28" s="1">
        <f>D28*5</f>
        <v/>
      </c>
      <c r="F28" s="33" t="n"/>
      <c r="G28" s="33">
        <f>D28*12</f>
        <v/>
      </c>
      <c r="H28" s="33" t="n"/>
      <c r="I28" s="33" t="n"/>
      <c r="K28" s="33">
        <f>D28*35</f>
        <v/>
      </c>
    </row>
    <row r="29">
      <c r="A29" s="152" t="n"/>
      <c r="B29" s="144" t="inlineStr">
        <is>
          <t>DD-V-223-036</t>
        </is>
      </c>
      <c r="C29" s="166" t="n">
        <v>0.3</v>
      </c>
      <c r="D29" s="134" t="n">
        <v>2.7</v>
      </c>
      <c r="E29" s="1">
        <f>D29*5</f>
        <v/>
      </c>
      <c r="F29" s="33" t="n"/>
      <c r="G29" s="33">
        <f>D29*12</f>
        <v/>
      </c>
      <c r="H29" s="33" t="n"/>
      <c r="I29" s="33" t="n"/>
      <c r="K29" s="33">
        <f>D29*35</f>
        <v/>
      </c>
      <c r="L29" s="33" t="n"/>
    </row>
    <row r="30">
      <c r="A30" s="152" t="n"/>
      <c r="B30" s="144" t="inlineStr">
        <is>
          <t>DD-V-273-003</t>
        </is>
      </c>
      <c r="C30" s="166" t="n">
        <v>0.5</v>
      </c>
      <c r="D30" s="134" t="n">
        <v>4.5</v>
      </c>
      <c r="E30" s="1">
        <f>D30*5</f>
        <v/>
      </c>
      <c r="F30" s="33" t="n"/>
      <c r="G30" s="33" t="n"/>
      <c r="H30" s="33">
        <f>D30*15</f>
        <v/>
      </c>
      <c r="I30" s="33" t="n"/>
      <c r="K30" s="33">
        <f>D30*35</f>
        <v/>
      </c>
    </row>
    <row r="31">
      <c r="A31" s="152" t="n"/>
      <c r="B31" s="159" t="inlineStr">
        <is>
          <t>DD-V-229-023</t>
        </is>
      </c>
      <c r="C31" s="166" t="n">
        <v>0.8</v>
      </c>
      <c r="D31" s="134" t="n">
        <v>7.2</v>
      </c>
      <c r="E31" s="1">
        <f>D31*5</f>
        <v/>
      </c>
      <c r="F31" s="33" t="n"/>
      <c r="G31" s="33">
        <f>D31*12</f>
        <v/>
      </c>
      <c r="H31" s="33" t="n"/>
      <c r="I31" s="33" t="n"/>
      <c r="K31" s="33">
        <f>D31*35</f>
        <v/>
      </c>
    </row>
    <row r="32">
      <c r="A32" s="152" t="n"/>
      <c r="B32" s="159" t="inlineStr">
        <is>
          <t>DD-AIV-114-006</t>
        </is>
      </c>
      <c r="C32" s="166" t="n">
        <v>0.5</v>
      </c>
      <c r="D32" s="134" t="n">
        <v>4.5</v>
      </c>
      <c r="E32" s="1">
        <f>D32*5</f>
        <v/>
      </c>
      <c r="F32" s="33" t="n"/>
      <c r="G32" s="33" t="n"/>
      <c r="H32" s="33" t="n"/>
      <c r="I32" s="33">
        <f>4.5*12</f>
        <v/>
      </c>
      <c r="K32" s="33">
        <f>D32*35</f>
        <v/>
      </c>
    </row>
    <row r="33">
      <c r="A33" s="152" t="n"/>
      <c r="B33" s="159" t="inlineStr">
        <is>
          <t>DD-V-126-040</t>
        </is>
      </c>
      <c r="C33" s="166" t="n">
        <v>0.5</v>
      </c>
      <c r="D33" s="134" t="n">
        <v>4.5</v>
      </c>
      <c r="E33" s="1">
        <f>D33*5</f>
        <v/>
      </c>
      <c r="F33" s="33" t="n"/>
      <c r="G33" s="33">
        <f>D33*12</f>
        <v/>
      </c>
      <c r="H33" s="33" t="n"/>
      <c r="I33" s="33" t="n"/>
      <c r="K33" s="33">
        <f>D33*35</f>
        <v/>
      </c>
    </row>
    <row r="34">
      <c r="A34" s="152" t="n"/>
      <c r="B34" s="159" t="inlineStr">
        <is>
          <t>DD-V-049-066</t>
        </is>
      </c>
      <c r="C34" s="166" t="n">
        <v>0.8</v>
      </c>
      <c r="D34" s="134" t="n">
        <v>7.2</v>
      </c>
      <c r="E34" s="1">
        <f>D34*5</f>
        <v/>
      </c>
      <c r="F34" s="33">
        <f>D34*15</f>
        <v/>
      </c>
      <c r="G34" s="33">
        <f>D34*12</f>
        <v/>
      </c>
      <c r="H34" s="33" t="n"/>
      <c r="I34" s="33" t="n"/>
      <c r="K34" s="33">
        <f>D34*35</f>
        <v/>
      </c>
    </row>
    <row r="35">
      <c r="A35" s="152" t="n"/>
      <c r="B35" s="144" t="inlineStr">
        <is>
          <t>DD-V-241-001</t>
        </is>
      </c>
      <c r="C35" s="166" t="n">
        <v>0.3</v>
      </c>
      <c r="D35" s="134" t="n">
        <v>2.7</v>
      </c>
      <c r="E35" s="1">
        <f>D35*5</f>
        <v/>
      </c>
      <c r="F35" s="33" t="n"/>
      <c r="G35" s="33" t="n"/>
      <c r="H35" s="33" t="n"/>
      <c r="I35" s="33">
        <f>4.5*12</f>
        <v/>
      </c>
      <c r="K35" s="33">
        <f>D35*35</f>
        <v/>
      </c>
    </row>
    <row r="36">
      <c r="A36" s="163" t="n"/>
      <c r="B36" s="157" t="n"/>
      <c r="C36" s="128" t="n"/>
      <c r="F36" s="33" t="n"/>
      <c r="G36" s="33" t="n"/>
      <c r="H36" s="33" t="n"/>
      <c r="I36" s="33" t="n"/>
      <c r="K36" s="33" t="n"/>
    </row>
    <row r="37">
      <c r="B37" s="105" t="n"/>
      <c r="C37" s="128" t="n"/>
      <c r="F37" s="33" t="n"/>
      <c r="G37" s="33" t="n"/>
      <c r="H37" s="33" t="n"/>
      <c r="I37" s="33" t="n"/>
      <c r="K37" s="33" t="n"/>
    </row>
    <row r="38">
      <c r="A38" s="118" t="inlineStr">
        <is>
          <t>total</t>
        </is>
      </c>
      <c r="B38" s="57" t="n"/>
      <c r="C38" s="11">
        <f>SUM(C6:C37)</f>
        <v/>
      </c>
      <c r="D38" s="11">
        <f>SUM(D6:D37)</f>
        <v/>
      </c>
      <c r="E38" s="59">
        <f>SUM(E6:E37)</f>
        <v/>
      </c>
      <c r="F38" s="59">
        <f>SUM(F6:F37)</f>
        <v/>
      </c>
      <c r="G38" s="59">
        <f>SUM(G6:G37)</f>
        <v/>
      </c>
      <c r="H38" s="59">
        <f>SUM(H6:H37)</f>
        <v/>
      </c>
      <c r="I38" s="59">
        <f>SUM(I6:I37)</f>
        <v/>
      </c>
      <c r="J38" s="59">
        <f>SUM(E38:I38)</f>
        <v/>
      </c>
      <c r="K38" s="60">
        <f>SUM(K6:K36)</f>
        <v/>
      </c>
      <c r="L38" s="39" t="n"/>
      <c r="M38" s="29" t="inlineStr">
        <is>
          <t>UAH</t>
        </is>
      </c>
      <c r="N38" s="16" t="inlineStr">
        <is>
          <t>USD</t>
        </is>
      </c>
    </row>
    <row r="39">
      <c r="E39" s="142">
        <f>E38*40</f>
        <v/>
      </c>
      <c r="F39" s="142">
        <f>F38*40</f>
        <v/>
      </c>
      <c r="G39" s="142">
        <f>G38*40</f>
        <v/>
      </c>
      <c r="H39" s="142">
        <f>H38*40</f>
        <v/>
      </c>
      <c r="I39" s="142">
        <f>I38*40</f>
        <v/>
      </c>
      <c r="J39" s="142">
        <f>J38*40</f>
        <v/>
      </c>
      <c r="K39" s="7">
        <f>K38*40</f>
        <v/>
      </c>
      <c r="L39" s="5" t="inlineStr">
        <is>
          <t>CLIENT IN</t>
        </is>
      </c>
      <c r="M39" s="7">
        <f>N39*40</f>
        <v/>
      </c>
      <c r="N39" s="8">
        <f>K38</f>
        <v/>
      </c>
      <c r="S39" s="4" t="n"/>
    </row>
    <row r="40">
      <c r="G40" s="33" t="n"/>
      <c r="H40" s="123" t="n"/>
      <c r="I40" s="123" t="n"/>
      <c r="L40" s="5" t="inlineStr">
        <is>
          <t>STUDIO (TAX)</t>
        </is>
      </c>
      <c r="M40" s="7">
        <f>N40*40</f>
        <v/>
      </c>
      <c r="N40" s="8">
        <f>N39-N39*0.05</f>
        <v/>
      </c>
    </row>
    <row r="41">
      <c r="B41" s="1" t="n"/>
      <c r="E41" s="21" t="n"/>
      <c r="G41" s="33" t="n"/>
      <c r="L41" s="5" t="inlineStr">
        <is>
          <t>EMPL</t>
        </is>
      </c>
      <c r="M41" s="7">
        <f>N41*40</f>
        <v/>
      </c>
      <c r="N41" s="8">
        <f>J38</f>
        <v/>
      </c>
    </row>
    <row r="42">
      <c r="B42" s="1" t="n"/>
      <c r="L42" s="37" t="inlineStr">
        <is>
          <t>STUDIO</t>
        </is>
      </c>
      <c r="M42" s="7">
        <f>N42*40</f>
        <v/>
      </c>
      <c r="N42" s="8">
        <f>N40-N41</f>
        <v/>
      </c>
    </row>
    <row r="43">
      <c r="B43" s="1" t="n"/>
      <c r="E43" s="21" t="n"/>
    </row>
    <row r="44">
      <c r="B44" s="1" t="n"/>
    </row>
    <row r="45">
      <c r="B45" s="1" t="n"/>
      <c r="E45" s="2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</sheetData>
  <pageMargins left="0.7" right="0.7" top="0.75" bottom="0.75" header="0.3" footer="0.3"/>
  <pageSetup orientation="portrait" paperSize="9" horizontalDpi="0" verticalDpi="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49"/>
  <sheetViews>
    <sheetView zoomScaleNormal="100" workbookViewId="0">
      <pane ySplit="2" topLeftCell="A3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6"/>
    <col width="10.83203125" customWidth="1" style="1" min="7" max="9"/>
    <col width="11.1640625" customWidth="1" style="1" min="10" max="10"/>
    <col width="10.6640625" customWidth="1" style="1" min="11" max="11"/>
    <col width="15.33203125" bestFit="1" customWidth="1" style="1" min="12" max="12"/>
    <col width="12" customWidth="1" style="1" min="13" max="13"/>
    <col width="11.1640625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5" t="n"/>
      <c r="F5" s="98" t="inlineStr">
        <is>
          <t>EMPL 1</t>
        </is>
      </c>
      <c r="G5" s="110" t="inlineStr">
        <is>
          <t>EMPL 2</t>
        </is>
      </c>
      <c r="H5" s="110" t="inlineStr">
        <is>
          <t>EMPL 3</t>
        </is>
      </c>
      <c r="I5" s="98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140" t="n"/>
      <c r="B6" s="105" t="inlineStr">
        <is>
          <t>DX-V-112-005</t>
        </is>
      </c>
      <c r="C6" s="128" t="n">
        <v>0.3</v>
      </c>
      <c r="D6" s="1">
        <f>C6*9</f>
        <v/>
      </c>
      <c r="E6" s="1">
        <f>D6*5</f>
        <v/>
      </c>
      <c r="G6" s="33">
        <f>D6*12</f>
        <v/>
      </c>
      <c r="H6" s="33" t="n"/>
      <c r="I6" s="33" t="n"/>
      <c r="K6" s="33">
        <f>D6*35</f>
        <v/>
      </c>
      <c r="P6" s="33" t="n"/>
    </row>
    <row r="7">
      <c r="A7" s="140" t="n"/>
      <c r="B7" s="157" t="inlineStr">
        <is>
          <t>DX-V-084-008</t>
        </is>
      </c>
      <c r="C7" s="128" t="n">
        <v>0.3</v>
      </c>
      <c r="D7" s="1">
        <f>C7*9</f>
        <v/>
      </c>
      <c r="E7" s="1">
        <f>D7*5</f>
        <v/>
      </c>
      <c r="F7" s="33">
        <f>D7*15</f>
        <v/>
      </c>
      <c r="G7" s="33" t="n"/>
      <c r="H7" s="33" t="n"/>
      <c r="I7" s="33" t="n"/>
      <c r="K7" s="33">
        <f>D7*35</f>
        <v/>
      </c>
      <c r="P7" s="33" t="n"/>
    </row>
    <row r="8">
      <c r="A8" s="140" t="n"/>
      <c r="B8" s="144" t="inlineStr">
        <is>
          <t>DX-V-112-007</t>
        </is>
      </c>
      <c r="C8" s="128" t="n">
        <v>0.3</v>
      </c>
      <c r="D8" s="1">
        <f>C8*9</f>
        <v/>
      </c>
      <c r="E8" s="1">
        <f>D8*5</f>
        <v/>
      </c>
      <c r="F8" s="33">
        <f>D8*15</f>
        <v/>
      </c>
      <c r="G8" s="33" t="n"/>
      <c r="H8" s="33" t="n"/>
      <c r="I8" s="33" t="n"/>
      <c r="K8" s="33">
        <f>D8*35</f>
        <v/>
      </c>
      <c r="P8" s="33" t="n"/>
    </row>
    <row r="9">
      <c r="A9" s="140" t="n"/>
      <c r="B9" s="144" t="inlineStr">
        <is>
          <t>DX-V-113-002</t>
        </is>
      </c>
      <c r="C9" s="128" t="n">
        <v>0.3</v>
      </c>
      <c r="D9" s="1">
        <f>C9*9</f>
        <v/>
      </c>
      <c r="E9" s="1">
        <f>D9*5</f>
        <v/>
      </c>
      <c r="G9" s="33">
        <f>D9*12</f>
        <v/>
      </c>
      <c r="H9" s="33" t="n"/>
      <c r="I9" s="33" t="n"/>
      <c r="K9" s="33">
        <f>D9*35</f>
        <v/>
      </c>
      <c r="L9" s="33">
        <f>SUM(K6:K9)</f>
        <v/>
      </c>
      <c r="M9" s="33">
        <f>SUM(D6:D9)</f>
        <v/>
      </c>
      <c r="P9" s="33" t="n"/>
    </row>
    <row r="10">
      <c r="B10" s="145" t="n"/>
      <c r="C10" s="128" t="n"/>
      <c r="G10" s="33" t="n"/>
      <c r="H10" s="33" t="n"/>
      <c r="I10" s="33" t="n"/>
      <c r="K10" s="33" t="n"/>
      <c r="P10" s="33" t="n"/>
    </row>
    <row r="11" ht="25" customHeight="1">
      <c r="A11" s="125" t="inlineStr">
        <is>
          <t>DD</t>
        </is>
      </c>
      <c r="B11" s="125" t="inlineStr">
        <is>
          <t>MGX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</row>
    <row r="12">
      <c r="A12" s="141" t="n"/>
      <c r="B12" s="157" t="inlineStr">
        <is>
          <t>DD-V-260_CandyLand_SpecialOffer_EN</t>
        </is>
      </c>
      <c r="C12" s="128" t="n">
        <v>1</v>
      </c>
      <c r="D12" s="1">
        <f>C12*9</f>
        <v/>
      </c>
      <c r="E12" s="1">
        <f>D12*5</f>
        <v/>
      </c>
      <c r="F12" s="33" t="n"/>
      <c r="G12" s="33" t="n"/>
      <c r="H12" s="33">
        <f>D12*15</f>
        <v/>
      </c>
      <c r="I12" s="33" t="n"/>
      <c r="K12" s="33">
        <f>D12*35</f>
        <v/>
      </c>
    </row>
    <row r="13">
      <c r="A13" s="141" t="n"/>
      <c r="B13" s="157" t="inlineStr">
        <is>
          <t>DD-V-273_CoinDozer_CandyLand</t>
        </is>
      </c>
      <c r="C13" s="128" t="n">
        <v>1.5</v>
      </c>
      <c r="D13" s="1">
        <f>C13*9</f>
        <v/>
      </c>
      <c r="E13" s="1">
        <f>D13*5</f>
        <v/>
      </c>
      <c r="F13" s="33" t="n"/>
      <c r="G13" s="135" t="n"/>
      <c r="H13" s="33">
        <f>9*15</f>
        <v/>
      </c>
      <c r="I13" s="33">
        <f>4.5*12</f>
        <v/>
      </c>
      <c r="K13" s="33">
        <f>D13*35</f>
        <v/>
      </c>
    </row>
    <row r="14">
      <c r="A14" s="141" t="n"/>
      <c r="B14" s="157" t="inlineStr">
        <is>
          <t>DD-V-260-039</t>
        </is>
      </c>
      <c r="C14" s="128" t="n">
        <v>0.3</v>
      </c>
      <c r="D14" s="1">
        <f>C14*9</f>
        <v/>
      </c>
      <c r="E14" s="1">
        <f>D14*5</f>
        <v/>
      </c>
      <c r="F14" s="33" t="n"/>
      <c r="G14" s="33">
        <f>D14*12</f>
        <v/>
      </c>
      <c r="H14" s="33" t="n"/>
      <c r="I14" s="33" t="n"/>
      <c r="K14" s="33">
        <f>D14*35</f>
        <v/>
      </c>
    </row>
    <row r="15">
      <c r="A15" s="141" t="n"/>
      <c r="B15" s="157" t="inlineStr">
        <is>
          <t>DD-V-260-040</t>
        </is>
      </c>
      <c r="C15" s="128" t="n">
        <v>0.3</v>
      </c>
      <c r="D15" s="1">
        <f>C15*9</f>
        <v/>
      </c>
      <c r="E15" s="1">
        <f>D15*5</f>
        <v/>
      </c>
      <c r="F15" s="33" t="n"/>
      <c r="G15" s="33">
        <f>D15*12</f>
        <v/>
      </c>
      <c r="H15" s="33" t="n"/>
      <c r="I15" s="33" t="n"/>
      <c r="K15" s="33">
        <f>D15*35</f>
        <v/>
      </c>
    </row>
    <row r="16">
      <c r="A16" s="141" t="n"/>
      <c r="B16" s="157" t="inlineStr">
        <is>
          <t>DD-V-260-041</t>
        </is>
      </c>
      <c r="C16" s="128" t="n">
        <v>0.3</v>
      </c>
      <c r="D16" s="1">
        <f>C16*9</f>
        <v/>
      </c>
      <c r="E16" s="1">
        <f>D16*5</f>
        <v/>
      </c>
      <c r="F16" s="33" t="n"/>
      <c r="G16" s="33">
        <f>D16*12</f>
        <v/>
      </c>
      <c r="H16" s="33" t="n"/>
      <c r="I16" s="33" t="n"/>
      <c r="K16" s="33">
        <f>D16*35</f>
        <v/>
      </c>
    </row>
    <row r="17">
      <c r="A17" s="141" t="n"/>
      <c r="B17" s="157" t="inlineStr">
        <is>
          <t>DD-V-260-042</t>
        </is>
      </c>
      <c r="C17" s="128" t="n">
        <v>0.3</v>
      </c>
      <c r="D17" s="1">
        <f>C17*9</f>
        <v/>
      </c>
      <c r="E17" s="1">
        <f>D17*5</f>
        <v/>
      </c>
      <c r="F17" s="33" t="n"/>
      <c r="G17" s="33">
        <f>D17*12</f>
        <v/>
      </c>
      <c r="H17" s="33" t="n"/>
      <c r="I17" s="33" t="n"/>
      <c r="K17" s="33">
        <f>D17*35</f>
        <v/>
      </c>
    </row>
    <row r="18">
      <c r="A18" s="141" t="n"/>
      <c r="B18" s="157" t="inlineStr">
        <is>
          <t>DD-V-260-043</t>
        </is>
      </c>
      <c r="C18" s="128" t="n">
        <v>0.3</v>
      </c>
      <c r="D18" s="1">
        <f>C18*9</f>
        <v/>
      </c>
      <c r="E18" s="1">
        <f>D18*5</f>
        <v/>
      </c>
      <c r="F18" s="33" t="n"/>
      <c r="G18" s="33">
        <f>D18*12</f>
        <v/>
      </c>
      <c r="H18" s="33" t="n"/>
      <c r="I18" s="33" t="n"/>
      <c r="K18" s="33">
        <f>D18*35</f>
        <v/>
      </c>
    </row>
    <row r="19">
      <c r="A19" s="140" t="n"/>
      <c r="B19" s="144" t="inlineStr">
        <is>
          <t>DD-V-241-001</t>
        </is>
      </c>
      <c r="C19" s="128" t="n">
        <v>1.5</v>
      </c>
      <c r="D19" s="1">
        <f>C19*9</f>
        <v/>
      </c>
      <c r="E19" s="1">
        <f>D19*5</f>
        <v/>
      </c>
      <c r="F19" s="33" t="n"/>
      <c r="G19" s="33" t="n"/>
      <c r="H19" s="33" t="n"/>
      <c r="I19" s="33">
        <f>D19*12</f>
        <v/>
      </c>
      <c r="K19" s="33">
        <f>D19*35</f>
        <v/>
      </c>
    </row>
    <row r="20">
      <c r="A20" s="140" t="n"/>
      <c r="B20" s="144" t="inlineStr">
        <is>
          <t>DD-V-255-003</t>
        </is>
      </c>
      <c r="C20" s="128" t="n">
        <v>0.3</v>
      </c>
      <c r="D20" s="1">
        <f>C20*9</f>
        <v/>
      </c>
      <c r="E20" s="1">
        <f>D20*5</f>
        <v/>
      </c>
      <c r="F20" s="33" t="n"/>
      <c r="G20" s="33" t="n"/>
      <c r="H20" s="33" t="n"/>
      <c r="I20" s="33">
        <f>D20*12</f>
        <v/>
      </c>
      <c r="K20" s="33">
        <f>D20*35</f>
        <v/>
      </c>
      <c r="L20" s="33">
        <f>SUM(K12:K20)</f>
        <v/>
      </c>
    </row>
    <row r="21">
      <c r="A21" s="163" t="n"/>
      <c r="B21" s="157" t="n"/>
      <c r="C21" s="128" t="n"/>
      <c r="F21" s="33" t="n"/>
      <c r="G21" s="33" t="n"/>
      <c r="H21" s="33" t="n"/>
      <c r="I21" s="33" t="n"/>
      <c r="K21" s="33" t="n"/>
    </row>
    <row r="22" ht="25" customHeight="1">
      <c r="A22" s="125" t="inlineStr">
        <is>
          <t>DS</t>
        </is>
      </c>
      <c r="B22" s="125" t="inlineStr">
        <is>
          <t>MGX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N22" s="155" t="n"/>
    </row>
    <row r="23" ht="18" customHeight="1">
      <c r="A23" s="140" t="n"/>
      <c r="B23" s="144" t="inlineStr">
        <is>
          <t>DS-V-002-027</t>
        </is>
      </c>
      <c r="C23" s="128" t="n">
        <v>1</v>
      </c>
      <c r="D23" s="1">
        <f>C23*9</f>
        <v/>
      </c>
      <c r="E23" s="1">
        <f>D23*5</f>
        <v/>
      </c>
      <c r="H23" s="33">
        <f>D23*15</f>
        <v/>
      </c>
      <c r="I23" s="33" t="n"/>
      <c r="K23" s="33">
        <f>D23*35</f>
        <v/>
      </c>
      <c r="N23" s="155" t="n"/>
    </row>
    <row r="24" ht="18" customHeight="1">
      <c r="A24" s="140" t="n"/>
      <c r="B24" s="144" t="inlineStr">
        <is>
          <t>DS-V-001-017</t>
        </is>
      </c>
      <c r="C24" s="128" t="n">
        <v>0.5</v>
      </c>
      <c r="D24" s="1">
        <f>C24*9</f>
        <v/>
      </c>
      <c r="E24" s="1">
        <f>D24*5</f>
        <v/>
      </c>
      <c r="H24" s="33">
        <f>D24*15</f>
        <v/>
      </c>
      <c r="I24" s="33" t="n"/>
      <c r="K24" s="33">
        <f>D24*35</f>
        <v/>
      </c>
      <c r="L24" s="33">
        <f>SUM(K23:K24)</f>
        <v/>
      </c>
      <c r="N24" s="155" t="n"/>
    </row>
    <row r="25" ht="18" customHeight="1">
      <c r="B25" s="1" t="n"/>
      <c r="C25" s="128" t="n"/>
      <c r="H25" s="33" t="n"/>
      <c r="I25" s="33" t="n"/>
      <c r="K25" s="33" t="n"/>
      <c r="N25" s="155" t="n"/>
    </row>
    <row r="26">
      <c r="B26" s="105" t="n"/>
      <c r="C26" s="128" t="n"/>
      <c r="F26" s="33" t="n"/>
      <c r="G26" s="33" t="n"/>
      <c r="H26" s="33" t="n"/>
      <c r="I26" s="33" t="n"/>
      <c r="K26" s="33" t="n"/>
    </row>
    <row r="27">
      <c r="A27" s="118" t="inlineStr">
        <is>
          <t>total</t>
        </is>
      </c>
      <c r="B27" s="57" t="n"/>
      <c r="C27" s="11">
        <f>SUM(C6:C26)</f>
        <v/>
      </c>
      <c r="D27" s="11">
        <f>SUM(D6:D26)</f>
        <v/>
      </c>
      <c r="E27" s="59">
        <f>SUM(E6:E26)</f>
        <v/>
      </c>
      <c r="F27" s="59">
        <f>SUM(F6:F26)</f>
        <v/>
      </c>
      <c r="G27" s="59">
        <f>SUM(G6:G26)</f>
        <v/>
      </c>
      <c r="H27" s="59">
        <f>SUM(H6:H26)</f>
        <v/>
      </c>
      <c r="I27" s="59">
        <f>SUM(I6:I26)</f>
        <v/>
      </c>
      <c r="J27" s="59">
        <f>SUM(E27:I27)</f>
        <v/>
      </c>
      <c r="K27" s="60">
        <f>SUM(K6:K26)</f>
        <v/>
      </c>
      <c r="L27" s="39" t="n"/>
      <c r="M27" s="29" t="inlineStr">
        <is>
          <t>UAH</t>
        </is>
      </c>
      <c r="N27" s="16" t="inlineStr">
        <is>
          <t>USD</t>
        </is>
      </c>
    </row>
    <row r="28">
      <c r="E28" s="164">
        <f>E27*40</f>
        <v/>
      </c>
      <c r="F28" s="164">
        <f>F27*40</f>
        <v/>
      </c>
      <c r="G28" s="164">
        <f>G27*40</f>
        <v/>
      </c>
      <c r="H28" s="164">
        <f>H27*40</f>
        <v/>
      </c>
      <c r="I28" s="164">
        <f>I27*40</f>
        <v/>
      </c>
      <c r="J28" s="7">
        <f>J27*40</f>
        <v/>
      </c>
      <c r="K28" s="7">
        <f>K27*40</f>
        <v/>
      </c>
      <c r="L28" s="5" t="inlineStr">
        <is>
          <t>CLIENT IN</t>
        </is>
      </c>
      <c r="M28" s="7">
        <f>N28*40</f>
        <v/>
      </c>
      <c r="N28" s="8">
        <f>K27</f>
        <v/>
      </c>
      <c r="S28" s="4" t="n"/>
    </row>
    <row r="29">
      <c r="G29" s="33" t="n"/>
      <c r="H29" s="123" t="n"/>
      <c r="I29" s="123" t="n"/>
      <c r="L29" s="5" t="inlineStr">
        <is>
          <t>STUDIO (TAX)</t>
        </is>
      </c>
      <c r="M29" s="7">
        <f>N29*40</f>
        <v/>
      </c>
      <c r="N29" s="8">
        <f>N28-N28*0.05</f>
        <v/>
      </c>
    </row>
    <row r="30">
      <c r="B30" s="1" t="n"/>
      <c r="G30" s="33" t="n"/>
      <c r="L30" s="5" t="inlineStr">
        <is>
          <t>EMPL</t>
        </is>
      </c>
      <c r="M30" s="7">
        <f>N30*40</f>
        <v/>
      </c>
      <c r="N30" s="8">
        <f>J27</f>
        <v/>
      </c>
    </row>
    <row r="31">
      <c r="B31" s="1" t="n"/>
      <c r="L31" s="37" t="inlineStr">
        <is>
          <t>STUDIO</t>
        </is>
      </c>
      <c r="M31" s="7">
        <f>N31*40</f>
        <v/>
      </c>
      <c r="N31" s="8">
        <f>N29-N30</f>
        <v/>
      </c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</sheetData>
  <pageMargins left="0.7" right="0.7" top="0.75" bottom="0.75" header="0.3" footer="0.3"/>
  <pageSetup orientation="portrait" paperSize="9" horizontalDpi="0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87"/>
  <sheetViews>
    <sheetView zoomScaleNormal="100" workbookViewId="0">
      <pane ySplit="2" topLeftCell="A3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41.5" bestFit="1" customWidth="1" style="2" min="2" max="2"/>
    <col width="10.83203125" customWidth="1" style="1" min="3" max="3"/>
    <col width="10.33203125" customWidth="1" style="1" min="4" max="5"/>
    <col width="10.83203125" customWidth="1" style="1" min="6" max="8"/>
    <col width="11.1640625" customWidth="1" style="1" min="9" max="9"/>
    <col width="10.6640625" customWidth="1" style="1" min="10" max="10"/>
    <col width="15.33203125" bestFit="1" customWidth="1" style="1" min="11" max="11"/>
    <col width="12" customWidth="1" style="1" min="12" max="12"/>
    <col width="11.1640625" customWidth="1" style="1" min="13" max="13"/>
    <col width="12.5" bestFit="1" customWidth="1" style="1" min="14" max="14"/>
    <col width="13" customWidth="1" style="1" min="15" max="15"/>
    <col width="10.83203125" customWidth="1" style="1" min="16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119" t="inlineStr">
        <is>
          <t>Маша</t>
        </is>
      </c>
      <c r="G2" s="38" t="inlineStr">
        <is>
          <t>Сергій</t>
        </is>
      </c>
      <c r="H2" s="109" t="inlineStr">
        <is>
          <t>Андрій</t>
        </is>
      </c>
    </row>
    <row r="3">
      <c r="E3" s="38" t="n"/>
      <c r="F3" s="38" t="n"/>
      <c r="G3" s="38" t="n"/>
      <c r="H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98" t="inlineStr">
        <is>
          <t>EMPL 1</t>
        </is>
      </c>
      <c r="F5" s="110" t="inlineStr">
        <is>
          <t>EMPL 2</t>
        </is>
      </c>
      <c r="G5" s="110" t="inlineStr">
        <is>
          <t>EMPL 3</t>
        </is>
      </c>
      <c r="H5" s="98" t="inlineStr">
        <is>
          <t>EMPL 4</t>
        </is>
      </c>
      <c r="I5" s="31" t="inlineStr">
        <is>
          <t>Total EMPL</t>
        </is>
      </c>
      <c r="J5" s="39" t="inlineStr">
        <is>
          <t>STUDIO</t>
        </is>
      </c>
    </row>
    <row r="6">
      <c r="A6" s="141" t="n"/>
      <c r="B6" s="145" t="inlineStr">
        <is>
          <t>DX-UGC-300-004</t>
        </is>
      </c>
      <c r="C6" s="128" t="n">
        <v>0.3</v>
      </c>
      <c r="D6" s="1">
        <f>'May 25'!#REF!=C6*9</f>
        <v/>
      </c>
      <c r="E6" s="33" t="n"/>
      <c r="F6" s="33" t="n"/>
      <c r="G6" s="33">
        <f>D6*15</f>
        <v/>
      </c>
      <c r="H6" s="33" t="n"/>
      <c r="J6" s="33">
        <f>D6*35</f>
        <v/>
      </c>
      <c r="O6" s="33" t="n"/>
    </row>
    <row r="7">
      <c r="A7" s="141" t="n"/>
      <c r="B7" s="157" t="inlineStr">
        <is>
          <t>DX-V-106-010</t>
        </is>
      </c>
      <c r="C7" s="128" t="n">
        <v>0.5</v>
      </c>
      <c r="D7" s="1">
        <f>C7*9</f>
        <v/>
      </c>
      <c r="E7" s="33">
        <f>D7*15</f>
        <v/>
      </c>
      <c r="F7" s="33" t="n"/>
      <c r="G7" s="33" t="n"/>
      <c r="H7" s="33" t="n"/>
      <c r="J7" s="33">
        <f>D7*35</f>
        <v/>
      </c>
      <c r="O7" s="33" t="n"/>
    </row>
    <row r="8">
      <c r="A8" s="141" t="n"/>
      <c r="B8" s="144" t="inlineStr">
        <is>
          <t>DX-V-107-007</t>
        </is>
      </c>
      <c r="C8" s="128" t="n">
        <v>0.3</v>
      </c>
      <c r="D8" s="1">
        <f>C8*9</f>
        <v/>
      </c>
      <c r="E8" s="33" t="n"/>
      <c r="F8" s="33">
        <f>D8*12</f>
        <v/>
      </c>
      <c r="G8" s="33" t="n"/>
      <c r="H8" s="33" t="n"/>
      <c r="J8" s="33">
        <f>D8*35</f>
        <v/>
      </c>
      <c r="O8" s="33" t="n"/>
    </row>
    <row r="9">
      <c r="A9" s="141" t="n"/>
      <c r="B9" s="144" t="inlineStr">
        <is>
          <t>DX-V-106-012</t>
        </is>
      </c>
      <c r="C9" s="128" t="n">
        <v>0.3</v>
      </c>
      <c r="D9" s="1">
        <f>C9*9</f>
        <v/>
      </c>
      <c r="E9" s="33" t="n"/>
      <c r="F9" s="33">
        <f>D9*12</f>
        <v/>
      </c>
      <c r="G9" s="33" t="n"/>
      <c r="H9" s="33" t="n"/>
      <c r="J9" s="33">
        <f>D9*35</f>
        <v/>
      </c>
      <c r="O9" s="33" t="n"/>
    </row>
    <row r="10">
      <c r="A10" s="141" t="n"/>
      <c r="B10" s="144" t="inlineStr">
        <is>
          <t>DX-V-051-010</t>
        </is>
      </c>
      <c r="C10" s="128" t="n">
        <v>0.3</v>
      </c>
      <c r="D10" s="1">
        <f>C10*9</f>
        <v/>
      </c>
      <c r="E10" s="33" t="n"/>
      <c r="F10" s="33">
        <f>D10*12</f>
        <v/>
      </c>
      <c r="G10" s="33" t="n"/>
      <c r="H10" s="33" t="n"/>
      <c r="J10" s="33">
        <f>D10*35</f>
        <v/>
      </c>
      <c r="O10" s="33" t="n"/>
    </row>
    <row r="11">
      <c r="A11" s="140" t="n"/>
      <c r="B11" s="144" t="inlineStr">
        <is>
          <t>DX-V-102-001</t>
        </is>
      </c>
      <c r="C11" s="128" t="n">
        <v>0.5</v>
      </c>
      <c r="D11" s="1">
        <f>C11*9</f>
        <v/>
      </c>
      <c r="E11" s="33" t="n"/>
      <c r="F11" s="33" t="n"/>
      <c r="G11" s="33" t="n"/>
      <c r="H11" s="33">
        <f>D11*12</f>
        <v/>
      </c>
      <c r="J11" s="33">
        <f>D11*35</f>
        <v/>
      </c>
      <c r="O11" s="33" t="n"/>
    </row>
    <row r="12">
      <c r="A12" s="140" t="n"/>
      <c r="B12" s="144" t="inlineStr">
        <is>
          <t>DX-V-002-003</t>
        </is>
      </c>
      <c r="C12" s="128" t="n">
        <v>0.3</v>
      </c>
      <c r="D12" s="1">
        <f>C12*9</f>
        <v/>
      </c>
      <c r="E12" s="33" t="n"/>
      <c r="F12" s="33" t="n"/>
      <c r="G12" s="33" t="n"/>
      <c r="H12" s="33">
        <f>D12*12</f>
        <v/>
      </c>
      <c r="J12" s="33">
        <f>D12*35</f>
        <v/>
      </c>
      <c r="O12" s="33" t="n"/>
    </row>
    <row r="13">
      <c r="A13" s="140" t="n"/>
      <c r="B13" s="144" t="inlineStr">
        <is>
          <t>DX-V-017-006</t>
        </is>
      </c>
      <c r="C13" s="128" t="n">
        <v>0.3</v>
      </c>
      <c r="D13" s="1">
        <f>C13*9</f>
        <v/>
      </c>
      <c r="E13" s="33" t="n"/>
      <c r="F13" s="33" t="n"/>
      <c r="G13" s="33" t="n"/>
      <c r="H13" s="33">
        <f>D13*12</f>
        <v/>
      </c>
      <c r="J13" s="33">
        <f>D13*35</f>
        <v/>
      </c>
      <c r="O13" s="33" t="n"/>
    </row>
    <row r="14">
      <c r="A14" s="140" t="n"/>
      <c r="B14" s="145" t="inlineStr">
        <is>
          <t>DX-V-106-013</t>
        </is>
      </c>
      <c r="C14" s="128" t="n">
        <v>0.3</v>
      </c>
      <c r="D14" s="1">
        <f>C14*9</f>
        <v/>
      </c>
      <c r="E14" s="33" t="n"/>
      <c r="F14" s="33">
        <f>D14*12</f>
        <v/>
      </c>
      <c r="G14" s="33" t="n"/>
      <c r="H14" s="33" t="n"/>
      <c r="J14" s="33">
        <f>D14*35</f>
        <v/>
      </c>
      <c r="O14" s="33" t="n"/>
    </row>
    <row r="15">
      <c r="A15" s="140" t="n"/>
      <c r="B15" s="145" t="inlineStr">
        <is>
          <t>DX-V-106-014</t>
        </is>
      </c>
      <c r="C15" s="128" t="n">
        <v>0.3</v>
      </c>
      <c r="D15" s="1">
        <f>C15*9</f>
        <v/>
      </c>
      <c r="F15" s="33">
        <f>D15*12</f>
        <v/>
      </c>
      <c r="G15" s="33" t="n"/>
      <c r="H15" s="33" t="n"/>
      <c r="J15" s="33">
        <f>D15*35</f>
        <v/>
      </c>
      <c r="O15" s="33" t="n"/>
    </row>
    <row r="16">
      <c r="A16" s="140" t="n"/>
      <c r="B16" s="144" t="inlineStr">
        <is>
          <t>DX-V-042-001</t>
        </is>
      </c>
      <c r="C16" s="128" t="n">
        <v>0.3</v>
      </c>
      <c r="D16" s="1">
        <f>C16*9</f>
        <v/>
      </c>
      <c r="F16" s="33" t="n"/>
      <c r="G16" s="33" t="n"/>
      <c r="H16" s="33">
        <f>D16*12</f>
        <v/>
      </c>
      <c r="J16" s="33">
        <f>D16*35</f>
        <v/>
      </c>
      <c r="M16" s="105" t="n"/>
      <c r="O16" s="33" t="n"/>
    </row>
    <row r="17" ht="25" customHeight="1">
      <c r="A17" s="125" t="inlineStr">
        <is>
          <t>DD</t>
        </is>
      </c>
      <c r="B17" s="125" t="inlineStr">
        <is>
          <t>MGX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</row>
    <row r="18">
      <c r="A18" s="141" t="n"/>
      <c r="B18" s="157" t="inlineStr">
        <is>
          <t>DD_260_003</t>
        </is>
      </c>
      <c r="C18" s="128" t="n">
        <v>0.3</v>
      </c>
      <c r="D18" s="1">
        <f>C18*9</f>
        <v/>
      </c>
      <c r="E18" s="33" t="n"/>
      <c r="F18" s="33">
        <f>D18*12</f>
        <v/>
      </c>
      <c r="G18" s="33" t="n"/>
      <c r="H18" s="33" t="n"/>
      <c r="J18" s="33">
        <f>D18*35</f>
        <v/>
      </c>
    </row>
    <row r="19">
      <c r="A19" s="141" t="n"/>
      <c r="B19" s="144" t="inlineStr">
        <is>
          <t>DD-H-266-001</t>
        </is>
      </c>
      <c r="C19" s="128" t="n">
        <v>0.3</v>
      </c>
      <c r="D19" s="1">
        <f>C19*9</f>
        <v/>
      </c>
      <c r="E19" s="33" t="n"/>
      <c r="F19" s="33" t="n"/>
      <c r="G19" s="33">
        <f>D19*15</f>
        <v/>
      </c>
      <c r="H19" s="33" t="n"/>
      <c r="J19" s="33">
        <f>D19*35</f>
        <v/>
      </c>
    </row>
    <row r="20">
      <c r="A20" s="140" t="n"/>
      <c r="B20" s="144" t="inlineStr">
        <is>
          <t>DD-V-241-005</t>
        </is>
      </c>
      <c r="C20" s="128" t="n">
        <v>0.3</v>
      </c>
      <c r="D20" s="1">
        <f>C20*9</f>
        <v/>
      </c>
      <c r="E20" s="33" t="n"/>
      <c r="F20" s="33" t="n"/>
      <c r="G20" s="33">
        <f>D20*15</f>
        <v/>
      </c>
      <c r="H20" s="33" t="n"/>
      <c r="J20" s="33">
        <f>D20*35</f>
        <v/>
      </c>
    </row>
    <row r="21">
      <c r="A21" s="140" t="n"/>
      <c r="B21" s="144" t="inlineStr">
        <is>
          <t>DD-V-105-003</t>
        </is>
      </c>
      <c r="C21" s="128" t="n">
        <v>0.3</v>
      </c>
      <c r="D21" s="1">
        <f>C21*9</f>
        <v/>
      </c>
      <c r="E21" s="33" t="n"/>
      <c r="F21" s="33">
        <f>D21*12</f>
        <v/>
      </c>
      <c r="G21" s="33" t="n"/>
      <c r="H21" s="33" t="n"/>
      <c r="J21" s="33">
        <f>D21*35</f>
        <v/>
      </c>
    </row>
    <row r="22">
      <c r="A22" s="140" t="n"/>
      <c r="B22" s="144" t="inlineStr">
        <is>
          <t>DD-V-049-001</t>
        </is>
      </c>
      <c r="C22" s="128" t="n">
        <v>0.3</v>
      </c>
      <c r="D22" s="1">
        <f>C22*9</f>
        <v/>
      </c>
      <c r="E22" s="33" t="n"/>
      <c r="F22" s="33">
        <f>D22*12</f>
        <v/>
      </c>
      <c r="G22" s="33" t="n"/>
      <c r="H22" s="33" t="n"/>
      <c r="J22" s="33">
        <f>D22*35</f>
        <v/>
      </c>
    </row>
    <row r="23">
      <c r="A23" s="140" t="n"/>
      <c r="B23" s="144" t="inlineStr">
        <is>
          <t>DD-V-229-001</t>
        </is>
      </c>
      <c r="C23" s="128" t="n">
        <v>0.5</v>
      </c>
      <c r="D23" s="1">
        <f>C23*9</f>
        <v/>
      </c>
      <c r="E23" s="33">
        <f>D23*15</f>
        <v/>
      </c>
      <c r="F23" s="33" t="n"/>
      <c r="G23" s="33" t="n"/>
      <c r="H23" s="33" t="n"/>
      <c r="J23" s="33">
        <f>D23*35</f>
        <v/>
      </c>
    </row>
    <row r="24">
      <c r="A24" s="140" t="n"/>
      <c r="B24" s="144" t="inlineStr">
        <is>
          <t>DD-V-223-001</t>
        </is>
      </c>
      <c r="C24" s="128" t="n">
        <v>0.5</v>
      </c>
      <c r="D24" s="1">
        <f>C24*9</f>
        <v/>
      </c>
      <c r="E24" s="33">
        <f>D24*15</f>
        <v/>
      </c>
      <c r="F24" s="33" t="n"/>
      <c r="G24" s="33" t="n"/>
      <c r="H24" s="33" t="n"/>
      <c r="J24" s="33">
        <f>D24*35</f>
        <v/>
      </c>
    </row>
    <row r="25">
      <c r="A25" s="140" t="n"/>
      <c r="B25" s="144" t="inlineStr">
        <is>
          <t>DD-V-137-001</t>
        </is>
      </c>
      <c r="C25" s="128" t="n">
        <v>0.5</v>
      </c>
      <c r="D25" s="1">
        <f>C25*9</f>
        <v/>
      </c>
      <c r="E25" s="33">
        <f>D25*15</f>
        <v/>
      </c>
      <c r="F25" s="33" t="n"/>
      <c r="G25" s="33" t="n"/>
      <c r="H25" s="33" t="n"/>
      <c r="J25" s="33">
        <f>D25*35</f>
        <v/>
      </c>
    </row>
    <row r="26">
      <c r="A26" s="140" t="n"/>
      <c r="B26" s="144" t="inlineStr">
        <is>
          <t>DD-V-223-028</t>
        </is>
      </c>
      <c r="C26" s="128" t="n">
        <v>0.3</v>
      </c>
      <c r="D26" s="1">
        <f>C26*9</f>
        <v/>
      </c>
      <c r="E26" s="33" t="n"/>
      <c r="F26" s="33" t="n"/>
      <c r="G26" s="33" t="n"/>
      <c r="H26" s="33">
        <f>D26*12</f>
        <v/>
      </c>
      <c r="J26" s="33">
        <f>D26*35</f>
        <v/>
      </c>
    </row>
    <row r="27">
      <c r="A27" s="141" t="n"/>
      <c r="B27" s="144" t="inlineStr">
        <is>
          <t>DD-V-260-011</t>
        </is>
      </c>
      <c r="C27" s="128" t="n">
        <v>0.3</v>
      </c>
      <c r="D27" s="1">
        <f>C27*9</f>
        <v/>
      </c>
      <c r="E27" s="33" t="n"/>
      <c r="F27" s="33">
        <f>D27*12</f>
        <v/>
      </c>
      <c r="G27" s="33" t="n"/>
      <c r="H27" s="33" t="n"/>
      <c r="J27" s="33">
        <f>D27*35</f>
        <v/>
      </c>
    </row>
    <row r="28">
      <c r="A28" s="141" t="n"/>
      <c r="B28" s="144" t="inlineStr">
        <is>
          <t>DD-V-260-012</t>
        </is>
      </c>
      <c r="C28" s="128" t="n">
        <v>0.3</v>
      </c>
      <c r="D28" s="1">
        <f>C28*9</f>
        <v/>
      </c>
      <c r="E28" s="33" t="n"/>
      <c r="F28" s="33">
        <f>D28*12</f>
        <v/>
      </c>
      <c r="G28" s="33" t="n"/>
      <c r="H28" s="33" t="n"/>
      <c r="J28" s="33">
        <f>D28*35</f>
        <v/>
      </c>
    </row>
    <row r="29">
      <c r="A29" s="141" t="n"/>
      <c r="B29" s="144" t="inlineStr">
        <is>
          <t>DD-V-260-013</t>
        </is>
      </c>
      <c r="C29" s="128" t="n">
        <v>0.3</v>
      </c>
      <c r="D29" s="1">
        <f>C29*9</f>
        <v/>
      </c>
      <c r="E29" s="33">
        <f>D29*15</f>
        <v/>
      </c>
      <c r="F29" s="33" t="n"/>
      <c r="G29" s="33" t="n"/>
      <c r="H29" s="33" t="n"/>
      <c r="J29" s="33">
        <f>D29*35</f>
        <v/>
      </c>
    </row>
    <row r="30">
      <c r="A30" s="141" t="n"/>
      <c r="B30" s="144" t="inlineStr">
        <is>
          <t>DD-V-260-014</t>
        </is>
      </c>
      <c r="C30" s="128" t="n">
        <v>0.3</v>
      </c>
      <c r="D30" s="1">
        <f>C30*9</f>
        <v/>
      </c>
      <c r="F30" s="33">
        <f>D30*12</f>
        <v/>
      </c>
      <c r="J30" s="33">
        <f>D30*35</f>
        <v/>
      </c>
      <c r="K30" s="105" t="n"/>
    </row>
    <row r="31">
      <c r="A31" s="141" t="n"/>
      <c r="B31" s="144" t="inlineStr">
        <is>
          <t>DD-V-260-015</t>
        </is>
      </c>
      <c r="C31" s="128" t="n">
        <v>0.3</v>
      </c>
      <c r="D31" s="1">
        <f>C31*9</f>
        <v/>
      </c>
      <c r="E31" s="33">
        <f>D31*15</f>
        <v/>
      </c>
      <c r="J31" s="33">
        <f>D31*35</f>
        <v/>
      </c>
      <c r="K31" s="105" t="n"/>
    </row>
    <row r="32">
      <c r="A32" s="141" t="n"/>
      <c r="B32" s="144" t="inlineStr">
        <is>
          <t>DD-V-260-016</t>
        </is>
      </c>
      <c r="C32" s="128" t="n">
        <v>0.3</v>
      </c>
      <c r="D32" s="1">
        <f>C32*9</f>
        <v/>
      </c>
      <c r="E32" s="33">
        <f>D32*15</f>
        <v/>
      </c>
      <c r="J32" s="33">
        <f>D32*35</f>
        <v/>
      </c>
      <c r="K32" s="105" t="n"/>
    </row>
    <row r="33">
      <c r="A33" s="141" t="n"/>
      <c r="B33" s="144" t="inlineStr">
        <is>
          <t>DD-H-260-017</t>
        </is>
      </c>
      <c r="C33" s="128" t="n">
        <v>0.5</v>
      </c>
      <c r="D33" s="1">
        <f>C33*9</f>
        <v/>
      </c>
      <c r="H33" s="33">
        <f>D33*12</f>
        <v/>
      </c>
      <c r="J33" s="33">
        <f>D33*35</f>
        <v/>
      </c>
      <c r="K33" s="105" t="n"/>
    </row>
    <row r="34">
      <c r="A34" s="141" t="n"/>
      <c r="B34" s="144" t="inlineStr">
        <is>
          <t>DD-V-223-031</t>
        </is>
      </c>
      <c r="C34" s="128" t="n">
        <v>0.3</v>
      </c>
      <c r="D34" s="1">
        <f>C34*9</f>
        <v/>
      </c>
      <c r="E34" s="33" t="n"/>
      <c r="F34" s="33">
        <f>D34*12</f>
        <v/>
      </c>
      <c r="G34" s="33" t="n"/>
      <c r="H34" s="33" t="n"/>
      <c r="J34" s="33">
        <f>D34*35</f>
        <v/>
      </c>
      <c r="K34" s="105" t="n"/>
    </row>
    <row r="35">
      <c r="A35" s="141" t="n"/>
      <c r="B35" s="144" t="inlineStr">
        <is>
          <t>DD-V-223-032</t>
        </is>
      </c>
      <c r="C35" s="128" t="n">
        <v>0.3</v>
      </c>
      <c r="D35" s="1">
        <f>C35*9</f>
        <v/>
      </c>
      <c r="E35" s="33">
        <f>D35*15</f>
        <v/>
      </c>
      <c r="J35" s="33">
        <f>D35*35</f>
        <v/>
      </c>
      <c r="K35" s="105" t="n"/>
    </row>
    <row r="36">
      <c r="A36" s="141" t="n"/>
      <c r="B36" s="144" t="inlineStr">
        <is>
          <t>DD-V-229-014</t>
        </is>
      </c>
      <c r="C36" s="128" t="n">
        <v>0.3</v>
      </c>
      <c r="D36" s="1">
        <f>C36*9</f>
        <v/>
      </c>
      <c r="E36" s="33" t="n"/>
      <c r="F36" s="33">
        <f>D36*12</f>
        <v/>
      </c>
      <c r="G36" s="33" t="n"/>
      <c r="H36" s="33" t="n"/>
      <c r="J36" s="33">
        <f>D36*35</f>
        <v/>
      </c>
      <c r="K36" s="105" t="n"/>
    </row>
    <row r="37">
      <c r="A37" s="141" t="n"/>
      <c r="B37" s="144" t="inlineStr">
        <is>
          <t>DD-V-229-015</t>
        </is>
      </c>
      <c r="C37" s="128" t="n">
        <v>0.3</v>
      </c>
      <c r="D37" s="1">
        <f>C37*9</f>
        <v/>
      </c>
      <c r="E37" s="33">
        <f>D37*15</f>
        <v/>
      </c>
      <c r="J37" s="33">
        <f>D37*35</f>
        <v/>
      </c>
      <c r="K37" s="105" t="n"/>
    </row>
    <row r="38">
      <c r="A38" s="141" t="n"/>
      <c r="B38" s="144" t="inlineStr">
        <is>
          <t>DD-V-137-049</t>
        </is>
      </c>
      <c r="C38" s="128" t="n">
        <v>0.3</v>
      </c>
      <c r="D38" s="1">
        <f>C38*9</f>
        <v/>
      </c>
      <c r="E38" s="33">
        <f>D38*15</f>
        <v/>
      </c>
      <c r="F38" s="33" t="n"/>
      <c r="G38" s="33" t="n"/>
      <c r="H38" s="33" t="n"/>
      <c r="J38" s="33">
        <f>D38*35</f>
        <v/>
      </c>
      <c r="K38" s="105" t="n"/>
    </row>
    <row r="39">
      <c r="A39" s="141" t="n"/>
      <c r="B39" s="144" t="inlineStr">
        <is>
          <t>DD-V-137-050</t>
        </is>
      </c>
      <c r="C39" s="128" t="n">
        <v>0.3</v>
      </c>
      <c r="D39" s="1">
        <f>C39*9</f>
        <v/>
      </c>
      <c r="E39" s="33">
        <f>D39*15</f>
        <v/>
      </c>
      <c r="F39" s="33" t="n"/>
      <c r="G39" s="33" t="n"/>
      <c r="H39" s="33" t="n"/>
      <c r="J39" s="33">
        <f>D39*35</f>
        <v/>
      </c>
      <c r="K39" s="105" t="n"/>
    </row>
    <row r="40">
      <c r="A40" s="158" t="n"/>
      <c r="B40" s="113" t="inlineStr">
        <is>
          <t>DD-V-116-029</t>
        </is>
      </c>
      <c r="C40" s="128" t="n">
        <v>0.3</v>
      </c>
      <c r="D40" s="1">
        <f>C40*9</f>
        <v/>
      </c>
      <c r="E40" s="33" t="n"/>
      <c r="F40" s="33">
        <f>D40*12</f>
        <v/>
      </c>
      <c r="G40" s="33" t="n"/>
      <c r="H40" s="33" t="n"/>
      <c r="J40" s="33">
        <f>D40*35</f>
        <v/>
      </c>
    </row>
    <row r="41">
      <c r="A41" s="158" t="n"/>
      <c r="B41" s="159" t="inlineStr">
        <is>
          <t>DD-V-137-053</t>
        </is>
      </c>
      <c r="C41" s="128" t="n">
        <v>0.3</v>
      </c>
      <c r="D41" s="1">
        <f>C41*9</f>
        <v/>
      </c>
      <c r="E41" s="33" t="n"/>
      <c r="F41" s="33">
        <f>D41*12</f>
        <v/>
      </c>
      <c r="G41" s="33" t="n"/>
      <c r="H41" s="33" t="n"/>
      <c r="J41" s="33">
        <f>D41*35</f>
        <v/>
      </c>
    </row>
    <row r="42">
      <c r="A42" s="158" t="n"/>
      <c r="B42" s="113" t="inlineStr">
        <is>
          <t>DD-H-260-018</t>
        </is>
      </c>
      <c r="C42" s="128" t="n">
        <v>0.3</v>
      </c>
      <c r="D42" s="1">
        <f>C42*9</f>
        <v/>
      </c>
      <c r="E42" s="33" t="n"/>
      <c r="F42" s="33" t="n"/>
      <c r="G42" s="33" t="n"/>
      <c r="H42" s="33">
        <f>D42*12</f>
        <v/>
      </c>
      <c r="J42" s="33">
        <f>D42*35</f>
        <v/>
      </c>
    </row>
    <row r="43">
      <c r="A43" s="158" t="n"/>
      <c r="B43" s="113" t="inlineStr">
        <is>
          <t>DD-V-049-060</t>
        </is>
      </c>
      <c r="C43" s="128" t="n">
        <v>0.3</v>
      </c>
      <c r="D43" s="1">
        <f>C43*9</f>
        <v/>
      </c>
      <c r="E43" s="33">
        <f>D43*15</f>
        <v/>
      </c>
      <c r="F43" s="33" t="n"/>
      <c r="G43" s="33" t="n"/>
      <c r="H43" s="33" t="n"/>
      <c r="J43" s="33">
        <f>D43*35</f>
        <v/>
      </c>
      <c r="K43" s="161" t="inlineStr">
        <is>
          <t>Настя менеджер</t>
        </is>
      </c>
    </row>
    <row r="44">
      <c r="A44" s="160" t="n"/>
      <c r="B44" s="113" t="inlineStr">
        <is>
          <t>DD-UGC-300-004</t>
        </is>
      </c>
      <c r="C44" s="128" t="n">
        <v>0.3</v>
      </c>
      <c r="D44" s="1">
        <f>C44*9</f>
        <v/>
      </c>
      <c r="E44" s="33" t="n"/>
      <c r="F44" s="33" t="n"/>
      <c r="G44" s="33">
        <f>D44*15</f>
        <v/>
      </c>
      <c r="H44" s="33" t="n"/>
      <c r="J44" s="33">
        <f>D44*35</f>
        <v/>
      </c>
      <c r="K44" s="33">
        <f>D44*5</f>
        <v/>
      </c>
    </row>
    <row r="45">
      <c r="A45" s="160" t="n"/>
      <c r="B45" s="113" t="inlineStr">
        <is>
          <t>DD-UGC-300-005_CandyLand_CherryPick</t>
        </is>
      </c>
      <c r="C45" s="128" t="n">
        <v>0.3</v>
      </c>
      <c r="D45" s="1">
        <f>C45*9</f>
        <v/>
      </c>
      <c r="E45" s="33" t="n"/>
      <c r="F45" s="33" t="n"/>
      <c r="G45" s="33">
        <f>D45*15</f>
        <v/>
      </c>
      <c r="H45" s="33" t="n"/>
      <c r="J45" s="33">
        <f>D45*35</f>
        <v/>
      </c>
      <c r="K45" s="33">
        <f>D45*5</f>
        <v/>
      </c>
    </row>
    <row r="46">
      <c r="A46" s="160" t="n"/>
      <c r="B46" s="113" t="inlineStr">
        <is>
          <t>DD-UGC-300-005_CandyLand_StreetQuiz</t>
        </is>
      </c>
      <c r="C46" s="128" t="n">
        <v>0.3</v>
      </c>
      <c r="D46" s="1">
        <f>C46*9</f>
        <v/>
      </c>
      <c r="E46" s="33" t="n"/>
      <c r="F46" s="33" t="n"/>
      <c r="G46" s="33">
        <f>D46*15</f>
        <v/>
      </c>
      <c r="H46" s="33" t="n"/>
      <c r="J46" s="33">
        <f>D46*35</f>
        <v/>
      </c>
      <c r="K46" s="33">
        <f>D46*5</f>
        <v/>
      </c>
    </row>
    <row r="47">
      <c r="A47" s="160" t="n"/>
      <c r="B47" s="113" t="inlineStr">
        <is>
          <t>DD-V-260-021</t>
        </is>
      </c>
      <c r="C47" s="128" t="n">
        <v>0.3</v>
      </c>
      <c r="D47" s="1">
        <f>C47*9</f>
        <v/>
      </c>
      <c r="E47" s="33">
        <f>D47*15</f>
        <v/>
      </c>
      <c r="F47" s="33" t="n"/>
      <c r="G47" s="33" t="n"/>
      <c r="H47" s="33" t="n"/>
      <c r="J47" s="33">
        <f>D47*35</f>
        <v/>
      </c>
      <c r="K47" s="33">
        <f>D47*5</f>
        <v/>
      </c>
    </row>
    <row r="48">
      <c r="A48" s="160" t="n"/>
      <c r="B48" s="113" t="inlineStr">
        <is>
          <t>DD-V-260-022</t>
        </is>
      </c>
      <c r="C48" s="128" t="n">
        <v>0.3</v>
      </c>
      <c r="D48" s="1">
        <f>C48*9</f>
        <v/>
      </c>
      <c r="E48" s="33">
        <f>D48*15</f>
        <v/>
      </c>
      <c r="F48" s="33" t="n"/>
      <c r="G48" s="33" t="n"/>
      <c r="H48" s="33" t="n"/>
      <c r="J48" s="33">
        <f>D48*35</f>
        <v/>
      </c>
      <c r="K48" s="33">
        <f>D48*5</f>
        <v/>
      </c>
    </row>
    <row r="49">
      <c r="A49" s="160" t="n"/>
      <c r="B49" s="113" t="inlineStr">
        <is>
          <t>DD-V-260-023</t>
        </is>
      </c>
      <c r="C49" s="128" t="n">
        <v>0.3</v>
      </c>
      <c r="D49" s="1">
        <f>C49*9</f>
        <v/>
      </c>
      <c r="E49" s="33">
        <f>D49*15</f>
        <v/>
      </c>
      <c r="F49" s="33" t="n"/>
      <c r="G49" s="33" t="n"/>
      <c r="H49" s="33" t="n"/>
      <c r="J49" s="33">
        <f>D49*35</f>
        <v/>
      </c>
      <c r="K49" s="33">
        <f>D49*5</f>
        <v/>
      </c>
    </row>
    <row r="50">
      <c r="A50" s="158" t="n"/>
      <c r="B50" s="113" t="inlineStr">
        <is>
          <t>DD-V-260-024</t>
        </is>
      </c>
      <c r="C50" s="128" t="n">
        <v>0.1</v>
      </c>
      <c r="D50" s="1">
        <f>C50*9</f>
        <v/>
      </c>
      <c r="E50" s="33" t="n"/>
      <c r="F50" s="33">
        <f>D50*12</f>
        <v/>
      </c>
      <c r="G50" s="33" t="n"/>
      <c r="H50" s="33" t="n"/>
      <c r="J50" s="33">
        <f>D50*35</f>
        <v/>
      </c>
      <c r="K50" s="33">
        <f>D50*5</f>
        <v/>
      </c>
    </row>
    <row r="51">
      <c r="A51" s="158" t="n"/>
      <c r="B51" s="113" t="inlineStr">
        <is>
          <t>DD-V-260-025</t>
        </is>
      </c>
      <c r="C51" s="128" t="n">
        <v>0.1</v>
      </c>
      <c r="D51" s="1">
        <f>C51*9</f>
        <v/>
      </c>
      <c r="E51" s="33" t="n"/>
      <c r="F51" s="33">
        <f>D51*12</f>
        <v/>
      </c>
      <c r="G51" s="33" t="n"/>
      <c r="H51" s="33" t="n"/>
      <c r="J51" s="33">
        <f>D51*35</f>
        <v/>
      </c>
      <c r="K51" s="33">
        <f>D51*5</f>
        <v/>
      </c>
    </row>
    <row r="52">
      <c r="A52" s="158" t="n"/>
      <c r="B52" s="113" t="inlineStr">
        <is>
          <t>DD-V-260-026</t>
        </is>
      </c>
      <c r="C52" s="128" t="n">
        <v>0.1</v>
      </c>
      <c r="D52" s="1">
        <f>C52*9</f>
        <v/>
      </c>
      <c r="E52" s="33" t="n"/>
      <c r="F52" s="33">
        <f>D52*12</f>
        <v/>
      </c>
      <c r="G52" s="33" t="n"/>
      <c r="H52" s="33" t="n"/>
      <c r="J52" s="33">
        <f>D52*35</f>
        <v/>
      </c>
      <c r="K52" s="33">
        <f>D52*5</f>
        <v/>
      </c>
    </row>
    <row r="53">
      <c r="A53" s="158" t="n"/>
      <c r="B53" s="113" t="inlineStr">
        <is>
          <t>DD-V-260-027</t>
        </is>
      </c>
      <c r="C53" s="128" t="n">
        <v>0.1</v>
      </c>
      <c r="D53" s="1">
        <f>C53*9</f>
        <v/>
      </c>
      <c r="E53" s="33" t="n"/>
      <c r="F53" s="33">
        <f>D53*12</f>
        <v/>
      </c>
      <c r="G53" s="33" t="n"/>
      <c r="H53" s="33" t="n"/>
      <c r="J53" s="33">
        <f>D53*35</f>
        <v/>
      </c>
      <c r="K53" s="33">
        <f>D53*5</f>
        <v/>
      </c>
    </row>
    <row r="54">
      <c r="A54" s="160" t="n"/>
      <c r="B54" s="113" t="inlineStr">
        <is>
          <t>DD-V-260-028</t>
        </is>
      </c>
      <c r="C54" s="128" t="n">
        <v>0.3</v>
      </c>
      <c r="D54" s="1">
        <f>C54*9</f>
        <v/>
      </c>
      <c r="E54" s="33">
        <f>D54*15</f>
        <v/>
      </c>
      <c r="F54" s="33" t="n"/>
      <c r="G54" s="33" t="n"/>
      <c r="H54" s="33" t="n"/>
      <c r="J54" s="33">
        <f>D54*35</f>
        <v/>
      </c>
      <c r="K54" s="33">
        <f>D54*5</f>
        <v/>
      </c>
    </row>
    <row r="55">
      <c r="A55" s="160" t="n"/>
      <c r="B55" s="113" t="inlineStr">
        <is>
          <t>DD-V-260-029</t>
        </is>
      </c>
      <c r="C55" s="128" t="n">
        <v>0.3</v>
      </c>
      <c r="D55" s="1">
        <f>C55*9</f>
        <v/>
      </c>
      <c r="E55" s="33">
        <f>D55*15</f>
        <v/>
      </c>
      <c r="F55" s="33" t="n"/>
      <c r="G55" s="33" t="n"/>
      <c r="H55" s="33" t="n"/>
      <c r="J55" s="33">
        <f>D55*35</f>
        <v/>
      </c>
      <c r="K55" s="33">
        <f>D55*5</f>
        <v/>
      </c>
    </row>
    <row r="56">
      <c r="A56" s="160" t="n"/>
      <c r="B56" s="113" t="inlineStr">
        <is>
          <t>DD-V-260-030</t>
        </is>
      </c>
      <c r="C56" s="128" t="n">
        <v>0.3</v>
      </c>
      <c r="D56" s="1">
        <f>C56*9</f>
        <v/>
      </c>
      <c r="E56" s="33" t="n"/>
      <c r="F56" s="33">
        <f>D56*12</f>
        <v/>
      </c>
      <c r="G56" s="33" t="n"/>
      <c r="H56" s="33" t="n"/>
      <c r="J56" s="33">
        <f>D56*35</f>
        <v/>
      </c>
      <c r="K56" s="33">
        <f>D56*5</f>
        <v/>
      </c>
    </row>
    <row r="57">
      <c r="A57" s="160" t="n"/>
      <c r="B57" s="113" t="inlineStr">
        <is>
          <t>DD-V-260-031</t>
        </is>
      </c>
      <c r="C57" s="128" t="n">
        <v>0.3</v>
      </c>
      <c r="D57" s="1">
        <f>C57*9</f>
        <v/>
      </c>
      <c r="E57" s="33" t="n"/>
      <c r="F57" s="33">
        <f>D57*12</f>
        <v/>
      </c>
      <c r="G57" s="33" t="n"/>
      <c r="H57" s="33" t="n"/>
      <c r="J57" s="33">
        <f>D57*35</f>
        <v/>
      </c>
      <c r="K57" s="33">
        <f>D57*5</f>
        <v/>
      </c>
    </row>
    <row r="58">
      <c r="A58" s="160" t="n"/>
      <c r="B58" s="113" t="inlineStr">
        <is>
          <t>DD-V-260-032</t>
        </is>
      </c>
      <c r="C58" s="128" t="n">
        <v>0.3</v>
      </c>
      <c r="D58" s="1">
        <f>C58*9</f>
        <v/>
      </c>
      <c r="E58" s="33" t="n"/>
      <c r="F58" s="33">
        <f>D58*12</f>
        <v/>
      </c>
      <c r="G58" s="33" t="n"/>
      <c r="H58" s="33" t="n"/>
      <c r="J58" s="33">
        <f>D58*35</f>
        <v/>
      </c>
      <c r="K58" s="33">
        <f>D58*5</f>
        <v/>
      </c>
    </row>
    <row r="59" ht="25" customHeight="1">
      <c r="A59" s="125" t="inlineStr">
        <is>
          <t>DS</t>
        </is>
      </c>
      <c r="B59" s="125" t="inlineStr">
        <is>
          <t>MGX</t>
        </is>
      </c>
      <c r="C59" s="23" t="n"/>
      <c r="D59" s="23" t="n"/>
      <c r="E59" s="23" t="n"/>
      <c r="F59" s="23" t="n"/>
      <c r="G59" s="23" t="n"/>
      <c r="H59" s="23" t="n"/>
      <c r="I59" s="23" t="n"/>
      <c r="J59" s="23" t="n"/>
      <c r="M59" s="155" t="n"/>
    </row>
    <row r="60">
      <c r="A60" s="141" t="n"/>
      <c r="B60" s="105" t="inlineStr">
        <is>
          <t>DS-V-002-009</t>
        </is>
      </c>
      <c r="C60" s="128" t="n">
        <v>0.5</v>
      </c>
      <c r="D60" s="1">
        <f>C60*9</f>
        <v/>
      </c>
      <c r="E60" s="33" t="n"/>
      <c r="F60" s="33" t="n"/>
      <c r="G60" s="33">
        <f>D60*15</f>
        <v/>
      </c>
      <c r="H60" s="33" t="n"/>
      <c r="J60" s="33">
        <f>D60*35</f>
        <v/>
      </c>
    </row>
    <row r="61">
      <c r="A61" s="158" t="n"/>
      <c r="B61" s="105" t="inlineStr">
        <is>
          <t>DS-V-002-010</t>
        </is>
      </c>
      <c r="C61" s="128" t="n">
        <v>0.5</v>
      </c>
      <c r="D61" s="1">
        <f>C61*9</f>
        <v/>
      </c>
      <c r="E61" s="33" t="n"/>
      <c r="F61" s="33" t="n"/>
      <c r="G61" s="33">
        <f>D61*15</f>
        <v/>
      </c>
      <c r="H61" s="33" t="n"/>
      <c r="J61" s="33">
        <f>D61*35</f>
        <v/>
      </c>
    </row>
    <row r="62">
      <c r="A62" s="158" t="n"/>
      <c r="B62" s="105" t="inlineStr">
        <is>
          <t>DS-V-002-018</t>
        </is>
      </c>
      <c r="C62" s="128" t="n">
        <v>0.5</v>
      </c>
      <c r="D62" s="1">
        <f>C62*9</f>
        <v/>
      </c>
      <c r="E62" s="33" t="n"/>
      <c r="F62" s="33" t="n"/>
      <c r="G62" s="33" t="n"/>
      <c r="H62" s="33">
        <f>D62*12</f>
        <v/>
      </c>
      <c r="J62" s="33">
        <f>D62*35</f>
        <v/>
      </c>
    </row>
    <row r="63">
      <c r="B63" s="1" t="n"/>
      <c r="C63" s="128" t="n"/>
      <c r="G63" s="33" t="n"/>
      <c r="H63" s="33" t="n"/>
      <c r="J63" s="33" t="n"/>
    </row>
    <row r="64">
      <c r="B64" s="105" t="n"/>
      <c r="C64" s="128" t="n"/>
      <c r="E64" s="33" t="n"/>
      <c r="F64" s="33" t="n"/>
      <c r="G64" s="33" t="n"/>
      <c r="H64" s="33" t="n"/>
      <c r="J64" s="33" t="n"/>
    </row>
    <row r="65">
      <c r="A65" s="118" t="inlineStr">
        <is>
          <t>total</t>
        </is>
      </c>
      <c r="B65" s="57" t="n"/>
      <c r="C65" s="11">
        <f>SUM(C6:C64)</f>
        <v/>
      </c>
      <c r="D65" s="11">
        <f>SUM(D6:D64)</f>
        <v/>
      </c>
      <c r="E65" s="59">
        <f>SUM(E6:E64)</f>
        <v/>
      </c>
      <c r="F65" s="59">
        <f>SUM(F6:F64)</f>
        <v/>
      </c>
      <c r="G65" s="59">
        <f>SUM(G6:G64)</f>
        <v/>
      </c>
      <c r="H65" s="59">
        <f>SUM(H6:H64)</f>
        <v/>
      </c>
      <c r="I65" s="59">
        <f>SUM(E65:H65)</f>
        <v/>
      </c>
      <c r="J65" s="60">
        <f>SUM(J6:J64)</f>
        <v/>
      </c>
      <c r="K65" s="39" t="n"/>
      <c r="L65" s="29" t="inlineStr">
        <is>
          <t>UAH</t>
        </is>
      </c>
      <c r="M65" s="16" t="inlineStr">
        <is>
          <t>USD</t>
        </is>
      </c>
      <c r="O65" s="162" t="inlineStr">
        <is>
          <t>DX</t>
        </is>
      </c>
      <c r="P65" s="105">
        <f>SUM(D6:D16)</f>
        <v/>
      </c>
      <c r="Q65" s="105">
        <f>P65*35</f>
        <v/>
      </c>
      <c r="R65" s="1" t="n">
        <v>1166</v>
      </c>
    </row>
    <row r="66">
      <c r="E66" s="142">
        <f>E65*40</f>
        <v/>
      </c>
      <c r="F66" s="142">
        <f>F65*40</f>
        <v/>
      </c>
      <c r="G66" s="142">
        <f>G65*40</f>
        <v/>
      </c>
      <c r="H66" s="142">
        <f>H65*40</f>
        <v/>
      </c>
      <c r="I66" s="142">
        <f>I65*40</f>
        <v/>
      </c>
      <c r="J66" s="7">
        <f>J65*40</f>
        <v/>
      </c>
      <c r="K66" s="5" t="inlineStr">
        <is>
          <t>CLIENT IN</t>
        </is>
      </c>
      <c r="L66" s="7">
        <f>M66*40</f>
        <v/>
      </c>
      <c r="M66" s="8">
        <f>J65</f>
        <v/>
      </c>
      <c r="O66" s="162" t="inlineStr">
        <is>
          <t>DD</t>
        </is>
      </c>
      <c r="P66" s="105">
        <f>SUM(D18:D58)</f>
        <v/>
      </c>
      <c r="Q66" s="105">
        <f>P66*35</f>
        <v/>
      </c>
      <c r="R66" s="1" t="n">
        <v>3875</v>
      </c>
    </row>
    <row r="67">
      <c r="F67" s="33" t="n"/>
      <c r="G67" s="123" t="n"/>
      <c r="H67" s="123" t="n"/>
      <c r="K67" s="5" t="inlineStr">
        <is>
          <t>STUDIO (TAX)</t>
        </is>
      </c>
      <c r="L67" s="7">
        <f>M67*40</f>
        <v/>
      </c>
      <c r="M67" s="8">
        <f>M66-M66*0.05</f>
        <v/>
      </c>
      <c r="O67" s="162" t="inlineStr">
        <is>
          <t>DS</t>
        </is>
      </c>
      <c r="P67" s="105">
        <f>SUM(D60:D62)</f>
        <v/>
      </c>
      <c r="Q67" s="105">
        <f>P67*35</f>
        <v/>
      </c>
      <c r="R67" s="1" t="n">
        <v>473</v>
      </c>
    </row>
    <row r="68" ht="18" customHeight="1">
      <c r="B68" s="1" t="n"/>
      <c r="F68" s="33" t="n"/>
      <c r="K68" s="5" t="inlineStr">
        <is>
          <t>EMPL</t>
        </is>
      </c>
      <c r="L68" s="7">
        <f>M68*40</f>
        <v/>
      </c>
      <c r="M68" s="8">
        <f>I65</f>
        <v/>
      </c>
      <c r="Q68" s="155">
        <f>SUM(Q65:Q67)</f>
        <v/>
      </c>
      <c r="R68" s="1">
        <f>SUM(R65:R67)</f>
        <v/>
      </c>
    </row>
    <row r="69">
      <c r="B69" s="1" t="n"/>
      <c r="K69" s="37" t="inlineStr">
        <is>
          <t>STUDIO</t>
        </is>
      </c>
      <c r="L69" s="7">
        <f>M69*40</f>
        <v/>
      </c>
      <c r="M69" s="8">
        <f>M67-M68</f>
        <v/>
      </c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</sheetData>
  <pageMargins left="0.7" right="0.7" top="0.75" bottom="0.75" header="0.3" footer="0.3"/>
  <pageSetup orientation="portrait" paperSize="9" horizontalDpi="0" verticalDpi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83"/>
  <sheetViews>
    <sheetView zoomScaleNormal="100" workbookViewId="0">
      <pane ySplit="2" topLeftCell="A27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4" customWidth="1" style="2" min="2" max="2"/>
    <col width="10.83203125" customWidth="1" style="1" min="3" max="3"/>
    <col width="13.33203125" customWidth="1" style="1" min="4" max="4"/>
    <col width="10.33203125" customWidth="1" style="1" min="5" max="5"/>
    <col width="10.83203125" customWidth="1" style="1" min="6" max="8"/>
    <col width="11.1640625" customWidth="1" style="1" min="9" max="9"/>
    <col width="10.6640625" customWidth="1" style="1" min="10" max="10"/>
    <col width="14.33203125" customWidth="1" style="1" min="11" max="11"/>
    <col width="12.33203125" customWidth="1" style="1" min="12" max="12"/>
    <col width="14" bestFit="1" customWidth="1" style="1" min="13" max="13"/>
    <col width="12.5" bestFit="1" customWidth="1" style="1" min="14" max="14"/>
    <col width="13" customWidth="1" style="1" min="15" max="15"/>
    <col width="10.83203125" customWidth="1" style="1" min="16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119" t="inlineStr">
        <is>
          <t>Маша</t>
        </is>
      </c>
      <c r="G2" s="38" t="inlineStr">
        <is>
          <t>Сергій</t>
        </is>
      </c>
      <c r="H2" s="109" t="inlineStr">
        <is>
          <t>Андрій</t>
        </is>
      </c>
    </row>
    <row r="3">
      <c r="E3" s="38" t="n"/>
      <c r="F3" s="38" t="n"/>
      <c r="G3" s="38" t="n"/>
      <c r="H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98" t="inlineStr">
        <is>
          <t>EMPL 1</t>
        </is>
      </c>
      <c r="F5" s="110" t="inlineStr">
        <is>
          <t>EMPL 2</t>
        </is>
      </c>
      <c r="G5" s="110" t="inlineStr">
        <is>
          <t>EMPL 3</t>
        </is>
      </c>
      <c r="H5" s="98" t="inlineStr">
        <is>
          <t>EMPL 4</t>
        </is>
      </c>
      <c r="I5" s="31" t="inlineStr">
        <is>
          <t>Total EMPL</t>
        </is>
      </c>
      <c r="J5" s="39" t="inlineStr">
        <is>
          <t>STUDIO</t>
        </is>
      </c>
    </row>
    <row r="6">
      <c r="A6" s="156" t="n"/>
      <c r="B6" s="145" t="inlineStr">
        <is>
          <t>DX-V-106-006</t>
        </is>
      </c>
      <c r="C6" s="128" t="n">
        <v>0.3</v>
      </c>
      <c r="D6" s="1">
        <f>C6*9</f>
        <v/>
      </c>
      <c r="E6" s="33" t="n"/>
      <c r="F6" s="33">
        <f>D6*12</f>
        <v/>
      </c>
      <c r="J6" s="33">
        <f>D6*35</f>
        <v/>
      </c>
      <c r="O6" s="33" t="n"/>
    </row>
    <row r="7">
      <c r="A7" s="156" t="n"/>
      <c r="B7" s="145" t="inlineStr">
        <is>
          <t>DX-V-106-007</t>
        </is>
      </c>
      <c r="C7" s="128" t="n">
        <v>0.3</v>
      </c>
      <c r="D7" s="1">
        <f>C7*9</f>
        <v/>
      </c>
      <c r="F7" s="33">
        <f>D7*12</f>
        <v/>
      </c>
      <c r="G7" s="33" t="n"/>
      <c r="H7" s="33" t="n"/>
      <c r="J7" s="33">
        <f>D7*35</f>
        <v/>
      </c>
      <c r="O7" s="33" t="n"/>
    </row>
    <row r="8">
      <c r="A8" s="156" t="n"/>
      <c r="B8" s="145" t="inlineStr">
        <is>
          <t>DX-V-106-008</t>
        </is>
      </c>
      <c r="C8" s="128" t="n">
        <v>0.3</v>
      </c>
      <c r="D8" s="1">
        <f>C8*9</f>
        <v/>
      </c>
      <c r="F8" s="33">
        <f>D8*12</f>
        <v/>
      </c>
      <c r="G8" s="33" t="n"/>
      <c r="H8" s="33" t="n"/>
      <c r="J8" s="33">
        <f>D8*35</f>
        <v/>
      </c>
      <c r="O8" s="33" t="n"/>
    </row>
    <row r="9">
      <c r="A9" s="156" t="n"/>
      <c r="B9" s="105" t="inlineStr">
        <is>
          <t>DX-V-106-009</t>
        </is>
      </c>
      <c r="C9" s="128" t="n">
        <v>0.5</v>
      </c>
      <c r="D9" s="1">
        <f>C9*9</f>
        <v/>
      </c>
      <c r="G9" s="33" t="n"/>
      <c r="H9" s="33">
        <f>D9*12</f>
        <v/>
      </c>
      <c r="J9" s="33">
        <f>D9*35</f>
        <v/>
      </c>
      <c r="O9" s="33" t="n"/>
    </row>
    <row r="10">
      <c r="A10" s="156" t="n"/>
      <c r="B10" s="105" t="inlineStr">
        <is>
          <t>DX-V-107-004</t>
        </is>
      </c>
      <c r="C10" s="128" t="n">
        <v>0.3</v>
      </c>
      <c r="D10" s="1">
        <f>C10*9</f>
        <v/>
      </c>
      <c r="G10" s="33">
        <f>D10*15</f>
        <v/>
      </c>
      <c r="J10" s="33">
        <f>D10*35</f>
        <v/>
      </c>
      <c r="O10" s="33" t="n"/>
    </row>
    <row r="11">
      <c r="A11" s="156" t="n"/>
      <c r="B11" s="105" t="inlineStr">
        <is>
          <t>DX-V-087-008</t>
        </is>
      </c>
      <c r="C11" s="128" t="n">
        <v>0.3</v>
      </c>
      <c r="D11" s="1">
        <f>C11*9</f>
        <v/>
      </c>
      <c r="E11" s="33">
        <f>D11*15</f>
        <v/>
      </c>
      <c r="G11" s="33" t="n"/>
      <c r="H11" s="33" t="n"/>
      <c r="J11" s="33">
        <f>D11*35</f>
        <v/>
      </c>
      <c r="O11" s="33" t="n"/>
    </row>
    <row r="12">
      <c r="A12" s="156" t="n"/>
      <c r="B12" s="105" t="inlineStr">
        <is>
          <t>DX-V-106-002</t>
        </is>
      </c>
      <c r="C12" s="128" t="n">
        <v>0.5</v>
      </c>
      <c r="D12" s="1">
        <f>C12*9</f>
        <v/>
      </c>
      <c r="E12" s="33">
        <f>D12*15</f>
        <v/>
      </c>
      <c r="G12" s="33" t="n"/>
      <c r="H12" s="33" t="n"/>
      <c r="J12" s="33">
        <f>D12*35</f>
        <v/>
      </c>
      <c r="O12" s="33" t="n"/>
    </row>
    <row r="13">
      <c r="A13" s="156" t="n"/>
      <c r="B13" s="105" t="inlineStr">
        <is>
          <t>DX-V-023-001</t>
        </is>
      </c>
      <c r="C13" s="128" t="n">
        <v>0.5</v>
      </c>
      <c r="D13" s="1">
        <f>C13*9</f>
        <v/>
      </c>
      <c r="G13" s="33">
        <f>D13*15</f>
        <v/>
      </c>
      <c r="H13" s="33" t="n"/>
      <c r="J13" s="33">
        <f>D13*35</f>
        <v/>
      </c>
      <c r="O13" s="33" t="n"/>
    </row>
    <row r="14">
      <c r="A14" s="156" t="n"/>
      <c r="B14" s="105" t="inlineStr">
        <is>
          <t>DX-V-033-006</t>
        </is>
      </c>
      <c r="C14" s="128" t="n">
        <v>0.3</v>
      </c>
      <c r="D14" s="1">
        <f>C14*9</f>
        <v/>
      </c>
      <c r="E14" s="33">
        <f>D14*15</f>
        <v/>
      </c>
      <c r="G14" s="33" t="n"/>
      <c r="H14" s="33" t="n"/>
      <c r="J14" s="33">
        <f>D14*35</f>
        <v/>
      </c>
      <c r="O14" s="33" t="n"/>
    </row>
    <row r="15">
      <c r="A15" s="140" t="n"/>
      <c r="B15" s="105" t="inlineStr">
        <is>
          <t>DX-V-112-002</t>
        </is>
      </c>
      <c r="C15" s="128" t="n">
        <v>1</v>
      </c>
      <c r="D15" s="1">
        <f>C15*9</f>
        <v/>
      </c>
      <c r="G15" s="33" t="n"/>
      <c r="H15" s="33">
        <f>D15*12</f>
        <v/>
      </c>
      <c r="J15" s="33">
        <f>D15*35</f>
        <v/>
      </c>
      <c r="O15" s="33" t="n"/>
    </row>
    <row r="16">
      <c r="A16" s="140" t="n"/>
      <c r="B16" s="105" t="inlineStr">
        <is>
          <t>DX-V-002-035</t>
        </is>
      </c>
      <c r="C16" s="128" t="n">
        <v>0.3</v>
      </c>
      <c r="D16" s="1">
        <f>C16*9</f>
        <v/>
      </c>
      <c r="F16" s="33">
        <f>D16*12</f>
        <v/>
      </c>
      <c r="G16" s="33" t="n"/>
      <c r="H16" s="33" t="n"/>
      <c r="J16" s="33">
        <f>D16*35</f>
        <v/>
      </c>
      <c r="O16" s="33" t="n"/>
    </row>
    <row r="17">
      <c r="A17" s="140" t="n"/>
      <c r="B17" s="105" t="inlineStr">
        <is>
          <t>DX-V-107-005</t>
        </is>
      </c>
      <c r="C17" s="128" t="n">
        <v>0.3</v>
      </c>
      <c r="D17" s="1">
        <f>C17*9</f>
        <v/>
      </c>
      <c r="G17" s="33">
        <f>D17*15</f>
        <v/>
      </c>
      <c r="H17" s="33" t="n"/>
      <c r="J17" s="33">
        <f>D17*35</f>
        <v/>
      </c>
      <c r="O17" s="33" t="n"/>
    </row>
    <row r="18">
      <c r="A18" s="140" t="n"/>
      <c r="B18" s="105" t="inlineStr">
        <is>
          <t>DX-H-001</t>
        </is>
      </c>
      <c r="C18" s="128" t="n">
        <v>0.3</v>
      </c>
      <c r="D18" s="1">
        <f>C18*9</f>
        <v/>
      </c>
      <c r="E18" s="33">
        <f>D18*15</f>
        <v/>
      </c>
      <c r="G18" s="33" t="n"/>
      <c r="H18" s="33" t="n"/>
      <c r="J18" s="33">
        <f>D18*35</f>
        <v/>
      </c>
      <c r="O18" s="33" t="n"/>
    </row>
    <row r="19">
      <c r="A19" s="140" t="n"/>
      <c r="B19" s="105" t="inlineStr">
        <is>
          <t>DX-B-015-001</t>
        </is>
      </c>
      <c r="C19" s="128" t="n">
        <v>0.3</v>
      </c>
      <c r="D19" s="1">
        <f>C19*9</f>
        <v/>
      </c>
      <c r="F19" s="33">
        <f>D19*12</f>
        <v/>
      </c>
      <c r="G19" s="33" t="n"/>
      <c r="H19" s="33" t="n"/>
      <c r="J19" s="33">
        <f>D19*35</f>
        <v/>
      </c>
      <c r="O19" s="33" t="n"/>
    </row>
    <row r="20">
      <c r="A20" s="102" t="n"/>
      <c r="B20" s="105" t="inlineStr">
        <is>
          <t>DX-V-022-007</t>
        </is>
      </c>
      <c r="C20" s="128" t="n">
        <v>0.3</v>
      </c>
      <c r="D20" s="1">
        <f>C20*9</f>
        <v/>
      </c>
      <c r="F20" s="33">
        <f>D20*12</f>
        <v/>
      </c>
      <c r="G20" s="33" t="n"/>
      <c r="H20" s="33" t="n"/>
      <c r="J20" s="33">
        <f>D20*35</f>
        <v/>
      </c>
      <c r="O20" s="33" t="n"/>
    </row>
    <row r="21">
      <c r="A21" s="102" t="n"/>
      <c r="B21" s="105" t="inlineStr">
        <is>
          <t>DX-V-088-010</t>
        </is>
      </c>
      <c r="C21" s="128" t="n">
        <v>0.5</v>
      </c>
      <c r="D21" s="1">
        <f>C21*9</f>
        <v/>
      </c>
      <c r="E21" s="33">
        <f>D21*15</f>
        <v/>
      </c>
      <c r="G21" s="33" t="n"/>
      <c r="H21" s="33" t="n"/>
      <c r="J21" s="33">
        <f>D21*35</f>
        <v/>
      </c>
      <c r="O21" s="33" t="n"/>
    </row>
    <row r="22" ht="25" customHeight="1">
      <c r="A22" s="125" t="inlineStr">
        <is>
          <t>DD</t>
        </is>
      </c>
      <c r="B22" s="125" t="inlineStr">
        <is>
          <t>MGX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</row>
    <row r="23">
      <c r="A23" s="96" t="n"/>
      <c r="B23" s="105" t="inlineStr">
        <is>
          <t>DD-V-084-007</t>
        </is>
      </c>
      <c r="C23" s="128" t="n">
        <v>0.3</v>
      </c>
      <c r="D23" s="1">
        <f>C23*9</f>
        <v/>
      </c>
      <c r="E23" s="33">
        <f>D23*15</f>
        <v/>
      </c>
      <c r="F23" s="33" t="n"/>
      <c r="H23" s="33" t="n"/>
      <c r="J23" s="33">
        <f>D23*35</f>
        <v/>
      </c>
    </row>
    <row r="24" ht="18" customHeight="1">
      <c r="A24" s="96" t="n"/>
      <c r="B24" s="105" t="inlineStr">
        <is>
          <t>DD-V-204-002</t>
        </is>
      </c>
      <c r="C24" s="128" t="n">
        <v>0.5</v>
      </c>
      <c r="D24" s="1">
        <f>C24*9</f>
        <v/>
      </c>
      <c r="G24" s="33" t="n"/>
      <c r="H24" s="33">
        <f>D24*12</f>
        <v/>
      </c>
      <c r="J24" s="33">
        <f>D24*35</f>
        <v/>
      </c>
      <c r="M24" s="155" t="n"/>
      <c r="O24" s="33" t="n"/>
    </row>
    <row r="25" ht="18" customHeight="1">
      <c r="A25" s="96" t="n"/>
      <c r="B25" s="105" t="inlineStr">
        <is>
          <t>DD-H-001</t>
        </is>
      </c>
      <c r="C25" s="149" t="n">
        <v>0.3</v>
      </c>
      <c r="D25" s="1">
        <f>C25*9</f>
        <v/>
      </c>
      <c r="E25" s="33">
        <f>D25*15</f>
        <v/>
      </c>
      <c r="G25" s="33" t="n"/>
      <c r="H25" s="33" t="n"/>
      <c r="J25" s="33">
        <f>D25*35</f>
        <v/>
      </c>
      <c r="M25" s="155" t="n"/>
      <c r="O25" s="33" t="n"/>
    </row>
    <row r="26" ht="18" customHeight="1">
      <c r="A26" s="96" t="n"/>
      <c r="B26" s="105" t="inlineStr">
        <is>
          <t>DD-H-002</t>
        </is>
      </c>
      <c r="C26" s="149" t="n">
        <v>0.3</v>
      </c>
      <c r="D26" s="1">
        <f>C26*9</f>
        <v/>
      </c>
      <c r="E26" s="33">
        <f>D26*15</f>
        <v/>
      </c>
      <c r="G26" s="33" t="n"/>
      <c r="H26" s="33" t="n"/>
      <c r="J26" s="33">
        <f>D26*35</f>
        <v/>
      </c>
      <c r="M26" s="155" t="n"/>
      <c r="O26" s="33" t="n"/>
    </row>
    <row r="27">
      <c r="A27" s="96" t="n"/>
      <c r="B27" s="105" t="inlineStr">
        <is>
          <t>DD-V-223-026</t>
        </is>
      </c>
      <c r="C27" s="149" t="n">
        <v>0.3</v>
      </c>
      <c r="D27" s="1">
        <f>C27*9</f>
        <v/>
      </c>
      <c r="F27" s="33">
        <f>D27*12</f>
        <v/>
      </c>
      <c r="G27" s="33" t="n"/>
      <c r="H27" s="33" t="n"/>
      <c r="J27" s="33">
        <f>D27*35</f>
        <v/>
      </c>
      <c r="M27" s="105" t="n"/>
      <c r="O27" s="33" t="n"/>
    </row>
    <row r="28">
      <c r="A28" s="96" t="n"/>
      <c r="B28" s="105" t="inlineStr">
        <is>
          <t>DD-V-223-028</t>
        </is>
      </c>
      <c r="C28" s="149" t="n">
        <v>0.3</v>
      </c>
      <c r="D28" s="1">
        <f>C28*9</f>
        <v/>
      </c>
      <c r="F28" s="33">
        <f>D28*12</f>
        <v/>
      </c>
      <c r="H28" s="33" t="n"/>
      <c r="J28" s="33">
        <f>D28*35</f>
        <v/>
      </c>
      <c r="M28" s="105" t="n"/>
      <c r="O28" s="33" t="n"/>
    </row>
    <row r="29">
      <c r="A29" s="102" t="n"/>
      <c r="B29" s="105" t="inlineStr">
        <is>
          <t>DD-V-126-036</t>
        </is>
      </c>
      <c r="C29" s="149" t="n">
        <v>0.3</v>
      </c>
      <c r="D29" s="1">
        <f>C29*9</f>
        <v/>
      </c>
      <c r="F29" s="33">
        <f>D29*12</f>
        <v/>
      </c>
      <c r="H29" s="33" t="n"/>
      <c r="J29" s="33">
        <f>D29*35</f>
        <v/>
      </c>
      <c r="M29" s="105" t="n"/>
      <c r="O29" s="33" t="n"/>
    </row>
    <row r="30" ht="25" customHeight="1">
      <c r="A30" s="125" t="inlineStr">
        <is>
          <t>DS</t>
        </is>
      </c>
      <c r="B30" s="125" t="inlineStr">
        <is>
          <t>MGX</t>
        </is>
      </c>
      <c r="C30" s="23" t="n"/>
      <c r="D30" s="23" t="n"/>
      <c r="E30" s="23" t="n"/>
      <c r="F30" s="23" t="n"/>
      <c r="G30" s="23" t="n"/>
      <c r="H30" s="23" t="n"/>
      <c r="I30" s="23" t="n"/>
      <c r="J30" s="23" t="n"/>
      <c r="M30" s="155" t="n"/>
    </row>
    <row r="31">
      <c r="A31" s="90" t="n"/>
      <c r="B31" s="105" t="inlineStr">
        <is>
          <t>DS-V-001-007_FE</t>
        </is>
      </c>
      <c r="C31" s="128" t="n">
        <v>0.3</v>
      </c>
      <c r="D31" s="1">
        <f>C31*9</f>
        <v/>
      </c>
      <c r="E31" s="33" t="n"/>
      <c r="F31" s="33" t="n"/>
      <c r="G31" s="33">
        <f>D31*15</f>
        <v/>
      </c>
      <c r="H31" s="33" t="n"/>
      <c r="J31" s="33">
        <f>D31*35</f>
        <v/>
      </c>
      <c r="M31" s="105" t="n"/>
    </row>
    <row r="32" ht="18" customHeight="1">
      <c r="A32" s="90" t="n"/>
      <c r="B32" s="105" t="inlineStr">
        <is>
          <t>DS-V-001-009_FE</t>
        </is>
      </c>
      <c r="C32" s="128" t="n">
        <v>0.3</v>
      </c>
      <c r="D32" s="1">
        <f>C32*9</f>
        <v/>
      </c>
      <c r="G32" s="33">
        <f>D32*15</f>
        <v/>
      </c>
      <c r="J32" s="33">
        <f>D32*35</f>
        <v/>
      </c>
      <c r="M32" s="155" t="n"/>
    </row>
    <row r="33">
      <c r="A33" s="90" t="n"/>
      <c r="B33" s="105" t="inlineStr">
        <is>
          <t>DS-V-001-011</t>
        </is>
      </c>
      <c r="C33" s="128" t="n">
        <v>0.2</v>
      </c>
      <c r="D33" s="1">
        <f>C33*9</f>
        <v/>
      </c>
      <c r="E33" s="33" t="n"/>
      <c r="F33" s="33">
        <f>D33*12</f>
        <v/>
      </c>
      <c r="G33" s="33" t="n"/>
      <c r="H33" s="33" t="n"/>
      <c r="J33" s="33">
        <f>D33*35</f>
        <v/>
      </c>
    </row>
    <row r="34">
      <c r="A34" s="90" t="n"/>
      <c r="B34" s="105" t="inlineStr">
        <is>
          <t>DS-V-001-012</t>
        </is>
      </c>
      <c r="C34" s="128" t="n">
        <v>0.2</v>
      </c>
      <c r="D34" s="1">
        <f>C34*9</f>
        <v/>
      </c>
      <c r="E34" s="33" t="n"/>
      <c r="F34" s="33">
        <f>D34*12</f>
        <v/>
      </c>
      <c r="G34" s="33" t="n"/>
      <c r="H34" s="33" t="n"/>
      <c r="J34" s="33">
        <f>D34*35</f>
        <v/>
      </c>
    </row>
    <row r="35">
      <c r="A35" s="90" t="n"/>
      <c r="B35" s="105" t="inlineStr">
        <is>
          <t>DS-V-002-019</t>
        </is>
      </c>
      <c r="C35" s="128" t="n">
        <v>0.2</v>
      </c>
      <c r="D35" s="1">
        <f>C35*9</f>
        <v/>
      </c>
      <c r="E35" s="33" t="n"/>
      <c r="F35" s="33">
        <f>D35*12</f>
        <v/>
      </c>
      <c r="G35" s="33" t="n"/>
      <c r="H35" s="33" t="n"/>
      <c r="J35" s="33">
        <f>D35*35</f>
        <v/>
      </c>
    </row>
    <row r="36">
      <c r="A36" s="90" t="n"/>
      <c r="B36" s="105" t="inlineStr">
        <is>
          <t>DS-V-002-021</t>
        </is>
      </c>
      <c r="C36" s="128" t="n">
        <v>0.2</v>
      </c>
      <c r="D36" s="1">
        <f>C36*9</f>
        <v/>
      </c>
      <c r="E36" s="33" t="n"/>
      <c r="F36" s="33">
        <f>D36*12</f>
        <v/>
      </c>
      <c r="G36" s="33" t="n"/>
      <c r="H36" s="33" t="n"/>
      <c r="J36" s="33">
        <f>D36*35</f>
        <v/>
      </c>
      <c r="L36" s="128" t="n"/>
    </row>
    <row r="37">
      <c r="A37" s="96" t="n"/>
      <c r="B37" s="105" t="inlineStr">
        <is>
          <t>DS-V-002-027</t>
        </is>
      </c>
      <c r="C37" s="128" t="n">
        <v>0.3</v>
      </c>
      <c r="D37" s="1">
        <f>C37*9</f>
        <v/>
      </c>
      <c r="E37" s="33" t="n"/>
      <c r="F37" s="33">
        <f>D37*12</f>
        <v/>
      </c>
      <c r="G37" s="33" t="n"/>
      <c r="H37" s="33" t="n"/>
      <c r="J37" s="33">
        <f>D37*35</f>
        <v/>
      </c>
      <c r="L37" s="128" t="n"/>
    </row>
    <row r="38">
      <c r="A38" s="96" t="n"/>
      <c r="B38" s="105" t="inlineStr">
        <is>
          <t>DS-V-002-007_IT</t>
        </is>
      </c>
      <c r="C38" s="128" t="n">
        <v>0.5</v>
      </c>
      <c r="D38" s="1">
        <f>C38*9</f>
        <v/>
      </c>
      <c r="E38" s="33" t="n"/>
      <c r="H38" s="33">
        <f>D38*12</f>
        <v/>
      </c>
      <c r="J38" s="33">
        <f>D38*35</f>
        <v/>
      </c>
    </row>
    <row r="39">
      <c r="A39" s="96" t="n"/>
      <c r="B39" s="105" t="inlineStr">
        <is>
          <t>DS-V-001-009_IT</t>
        </is>
      </c>
      <c r="C39" s="128" t="n">
        <v>0.5</v>
      </c>
      <c r="D39" s="1">
        <f>C39*9</f>
        <v/>
      </c>
      <c r="E39" s="33">
        <f>D39*15</f>
        <v/>
      </c>
      <c r="F39" s="33" t="n"/>
      <c r="G39" s="33" t="n"/>
      <c r="H39" s="33" t="n"/>
      <c r="J39" s="33">
        <f>D39*35</f>
        <v/>
      </c>
    </row>
    <row r="40">
      <c r="A40" s="96" t="n"/>
      <c r="B40" s="105" t="inlineStr">
        <is>
          <t>DS-V-001-007_IT</t>
        </is>
      </c>
      <c r="C40" s="128" t="n">
        <v>0.5</v>
      </c>
      <c r="D40" s="1">
        <f>C40*9</f>
        <v/>
      </c>
      <c r="E40" s="33">
        <f>D40*15</f>
        <v/>
      </c>
      <c r="F40" s="33" t="n"/>
      <c r="G40" s="33" t="n"/>
      <c r="H40" s="33" t="n"/>
      <c r="J40" s="33">
        <f>D40*35</f>
        <v/>
      </c>
    </row>
    <row r="41">
      <c r="A41" s="96" t="n"/>
      <c r="B41" s="105" t="inlineStr">
        <is>
          <t>DS-V-002-017_IT</t>
        </is>
      </c>
      <c r="C41" s="128" t="n">
        <v>0.5</v>
      </c>
      <c r="D41" s="1">
        <f>C41*9</f>
        <v/>
      </c>
      <c r="E41" s="33">
        <f>D41*15</f>
        <v/>
      </c>
      <c r="F41" s="33" t="n"/>
      <c r="G41" s="33" t="n"/>
      <c r="H41" s="33" t="n"/>
      <c r="J41" s="33">
        <f>D41*35</f>
        <v/>
      </c>
    </row>
    <row r="42">
      <c r="A42" s="96" t="n"/>
      <c r="B42" s="105" t="inlineStr">
        <is>
          <t>DS-V-002-013_IT</t>
        </is>
      </c>
      <c r="C42" s="128" t="n">
        <v>0.5</v>
      </c>
      <c r="D42" s="1">
        <f>C42*9</f>
        <v/>
      </c>
      <c r="E42" s="33" t="n"/>
      <c r="F42" s="33" t="n"/>
      <c r="G42" s="33">
        <f>D42*15</f>
        <v/>
      </c>
      <c r="H42" s="33" t="n"/>
      <c r="J42" s="33">
        <f>D42*35</f>
        <v/>
      </c>
    </row>
    <row r="43">
      <c r="A43" s="96" t="n"/>
      <c r="B43" s="105" t="inlineStr">
        <is>
          <t>DS-V-002-009_IT</t>
        </is>
      </c>
      <c r="C43" s="128" t="n">
        <v>0.5</v>
      </c>
      <c r="D43" s="1">
        <f>C43*9</f>
        <v/>
      </c>
      <c r="E43" s="33" t="n"/>
      <c r="F43" s="33" t="n"/>
      <c r="G43" s="33">
        <f>D43*15</f>
        <v/>
      </c>
      <c r="H43" s="33" t="n"/>
      <c r="J43" s="33">
        <f>D43*35</f>
        <v/>
      </c>
    </row>
    <row r="44">
      <c r="A44" s="96" t="n"/>
      <c r="B44" s="105" t="inlineStr">
        <is>
          <t>DS-V-002-024</t>
        </is>
      </c>
      <c r="C44" s="128" t="n">
        <v>0.5</v>
      </c>
      <c r="D44" s="1">
        <f>C44*9</f>
        <v/>
      </c>
      <c r="E44" s="33" t="n"/>
      <c r="F44" s="33">
        <f>D44*12</f>
        <v/>
      </c>
      <c r="G44" s="33" t="n"/>
      <c r="H44" s="33" t="n"/>
      <c r="J44" s="33">
        <f>D44*35</f>
        <v/>
      </c>
    </row>
    <row r="45">
      <c r="A45" s="96" t="n"/>
      <c r="B45" s="105" t="inlineStr">
        <is>
          <t>DS-V-004-006</t>
        </is>
      </c>
      <c r="C45" s="128" t="n">
        <v>0.5</v>
      </c>
      <c r="D45" s="1">
        <f>C45*9</f>
        <v/>
      </c>
      <c r="E45" s="33" t="n"/>
      <c r="F45" s="33">
        <f>D45*12</f>
        <v/>
      </c>
      <c r="G45" s="33" t="n"/>
      <c r="H45" s="33" t="n"/>
      <c r="J45" s="33">
        <f>D45*35</f>
        <v/>
      </c>
    </row>
    <row r="46">
      <c r="A46" s="96" t="n"/>
      <c r="B46" s="105" t="inlineStr">
        <is>
          <t>DS-V-002-009_DE</t>
        </is>
      </c>
      <c r="C46" s="128" t="n">
        <v>0.5</v>
      </c>
      <c r="D46" s="1">
        <f>C46*9</f>
        <v/>
      </c>
      <c r="E46" s="33" t="n"/>
      <c r="F46" s="33" t="n"/>
      <c r="G46" s="33">
        <f>D46*15</f>
        <v/>
      </c>
      <c r="H46" s="33" t="n"/>
      <c r="J46" s="33">
        <f>D46*35</f>
        <v/>
      </c>
    </row>
    <row r="47">
      <c r="A47" s="96" t="n"/>
      <c r="B47" s="105" t="inlineStr">
        <is>
          <t>DS-V-002-011</t>
        </is>
      </c>
      <c r="C47" s="128" t="n">
        <v>0.5</v>
      </c>
      <c r="D47" s="1">
        <f>C47*9</f>
        <v/>
      </c>
      <c r="E47" s="33">
        <f>D47*15</f>
        <v/>
      </c>
      <c r="F47" s="33" t="n"/>
      <c r="G47" s="33" t="n"/>
      <c r="H47" s="33" t="n"/>
      <c r="J47" s="33">
        <f>D47*35</f>
        <v/>
      </c>
    </row>
    <row r="48">
      <c r="A48" s="96" t="n"/>
      <c r="B48" s="105" t="inlineStr">
        <is>
          <t>DS-V-002-015_DE</t>
        </is>
      </c>
      <c r="C48" s="128" t="n">
        <v>0.5</v>
      </c>
      <c r="D48" s="1">
        <f>C48*9</f>
        <v/>
      </c>
      <c r="E48" s="33" t="n"/>
      <c r="F48" s="33" t="n"/>
      <c r="G48" s="33" t="n"/>
      <c r="H48" s="33">
        <f>D48*12</f>
        <v/>
      </c>
      <c r="J48" s="33">
        <f>D48*35</f>
        <v/>
      </c>
      <c r="L48" s="128" t="n"/>
    </row>
    <row r="49">
      <c r="A49" s="96" t="n"/>
      <c r="B49" s="105" t="inlineStr">
        <is>
          <t>DS-V-002-015_IT</t>
        </is>
      </c>
      <c r="C49" s="128" t="n">
        <v>0.5</v>
      </c>
      <c r="D49" s="1">
        <f>C49*9</f>
        <v/>
      </c>
      <c r="E49" s="33" t="n"/>
      <c r="F49" s="33" t="n"/>
      <c r="G49" s="33" t="n"/>
      <c r="H49" s="33">
        <f>D49*12</f>
        <v/>
      </c>
      <c r="J49" s="33">
        <f>D49*35</f>
        <v/>
      </c>
    </row>
    <row r="50">
      <c r="A50" s="96" t="n"/>
      <c r="B50" s="105" t="inlineStr">
        <is>
          <t>DS-V-002-017_DE</t>
        </is>
      </c>
      <c r="C50" s="128" t="n">
        <v>0.5</v>
      </c>
      <c r="D50" s="1">
        <f>C50*9</f>
        <v/>
      </c>
      <c r="E50" s="33">
        <f>D50*15</f>
        <v/>
      </c>
      <c r="F50" s="33" t="n"/>
      <c r="G50" s="33" t="n"/>
      <c r="H50" s="33" t="n"/>
      <c r="J50" s="33">
        <f>D50*35</f>
        <v/>
      </c>
      <c r="L50" s="128" t="n"/>
    </row>
    <row r="51">
      <c r="A51" s="96" t="n"/>
      <c r="B51" s="105" t="inlineStr">
        <is>
          <t>DS-V-002-007_DE</t>
        </is>
      </c>
      <c r="C51" s="128" t="n">
        <v>0.5</v>
      </c>
      <c r="D51" s="1">
        <f>C51*9</f>
        <v/>
      </c>
      <c r="E51" s="33" t="n"/>
      <c r="F51" s="33" t="n"/>
      <c r="H51" s="33">
        <f>D51*12</f>
        <v/>
      </c>
      <c r="J51" s="33">
        <f>D51*35</f>
        <v/>
      </c>
    </row>
    <row r="52">
      <c r="A52" s="102" t="n"/>
      <c r="B52" s="105" t="inlineStr">
        <is>
          <t>DS-V-001-007_ES</t>
        </is>
      </c>
      <c r="C52" s="128" t="n">
        <v>0.5</v>
      </c>
      <c r="D52" s="1">
        <f>C52*9</f>
        <v/>
      </c>
      <c r="E52" s="33">
        <f>D52*15</f>
        <v/>
      </c>
      <c r="F52" s="33" t="n"/>
      <c r="H52" s="33" t="n"/>
      <c r="J52" s="33">
        <f>D52*35</f>
        <v/>
      </c>
    </row>
    <row r="53">
      <c r="A53" s="102" t="n"/>
      <c r="B53" s="105" t="inlineStr">
        <is>
          <t>DS-V-001-009_ES</t>
        </is>
      </c>
      <c r="C53" s="128" t="n">
        <v>0.5</v>
      </c>
      <c r="D53" s="1">
        <f>C53*9</f>
        <v/>
      </c>
      <c r="E53" s="33">
        <f>D53*15</f>
        <v/>
      </c>
      <c r="F53" s="33" t="n"/>
      <c r="H53" s="33" t="n"/>
      <c r="J53" s="33">
        <f>D53*35</f>
        <v/>
      </c>
    </row>
    <row r="54">
      <c r="A54" s="102" t="n"/>
      <c r="B54" s="105" t="inlineStr">
        <is>
          <t>DS-V-001-017</t>
        </is>
      </c>
      <c r="C54" s="128" t="n">
        <v>0.3</v>
      </c>
      <c r="D54" s="1">
        <f>C54*9</f>
        <v/>
      </c>
      <c r="E54" s="33" t="n"/>
      <c r="F54" s="33">
        <f>D54*12</f>
        <v/>
      </c>
      <c r="H54" s="33" t="n"/>
      <c r="J54" s="33">
        <f>D54*35</f>
        <v/>
      </c>
    </row>
    <row r="55">
      <c r="A55" s="102" t="n"/>
      <c r="B55" s="105" t="inlineStr">
        <is>
          <t>DS-V-001-018</t>
        </is>
      </c>
      <c r="C55" s="128" t="n">
        <v>0.3</v>
      </c>
      <c r="D55" s="1">
        <f>C55*9</f>
        <v/>
      </c>
      <c r="E55" s="33" t="n"/>
      <c r="F55" s="33">
        <f>D55*12</f>
        <v/>
      </c>
      <c r="H55" s="33" t="n"/>
      <c r="J55" s="33">
        <f>D55*35</f>
        <v/>
      </c>
    </row>
    <row r="56">
      <c r="A56" s="102" t="n"/>
      <c r="B56" s="105" t="inlineStr">
        <is>
          <t>DS-V-002-007_ES</t>
        </is>
      </c>
      <c r="C56" s="128" t="n">
        <v>0.5</v>
      </c>
      <c r="D56" s="1">
        <f>C56*9</f>
        <v/>
      </c>
      <c r="E56" s="33">
        <f>D56*15</f>
        <v/>
      </c>
      <c r="F56" s="33" t="n"/>
      <c r="H56" s="33" t="n"/>
      <c r="J56" s="33">
        <f>D56*35</f>
        <v/>
      </c>
    </row>
    <row r="57">
      <c r="A57" s="102" t="n"/>
      <c r="B57" s="105" t="inlineStr">
        <is>
          <t>DS-V-002-009_ES</t>
        </is>
      </c>
      <c r="C57" s="128" t="n">
        <v>0.5</v>
      </c>
      <c r="D57" s="1">
        <f>C57*9</f>
        <v/>
      </c>
      <c r="E57" s="33">
        <f>D57*15</f>
        <v/>
      </c>
      <c r="F57" s="33" t="n"/>
      <c r="H57" s="33" t="n"/>
      <c r="J57" s="33">
        <f>D57*35</f>
        <v/>
      </c>
    </row>
    <row r="58">
      <c r="A58" s="102" t="n"/>
      <c r="B58" s="105" t="inlineStr">
        <is>
          <t>DS-V-002-013_ES</t>
        </is>
      </c>
      <c r="C58" s="128" t="n">
        <v>0.5</v>
      </c>
      <c r="D58" s="1">
        <f>C58*9</f>
        <v/>
      </c>
      <c r="E58" s="33">
        <f>D58*15</f>
        <v/>
      </c>
      <c r="F58" s="33" t="n"/>
      <c r="H58" s="33" t="n"/>
      <c r="J58" s="33">
        <f>D58*35</f>
        <v/>
      </c>
    </row>
    <row r="59">
      <c r="A59" s="102" t="n"/>
      <c r="B59" s="105" t="inlineStr">
        <is>
          <t>DS-V-002-015_ES</t>
        </is>
      </c>
      <c r="C59" s="128" t="n">
        <v>0.5</v>
      </c>
      <c r="D59" s="1">
        <f>C59*9</f>
        <v/>
      </c>
      <c r="E59" s="33">
        <f>D59*15</f>
        <v/>
      </c>
      <c r="F59" s="33" t="n"/>
      <c r="H59" s="33" t="n"/>
      <c r="J59" s="33">
        <f>D59*35</f>
        <v/>
      </c>
    </row>
    <row r="60">
      <c r="A60" s="102" t="n"/>
      <c r="B60" s="105" t="inlineStr">
        <is>
          <t>DS-V-002-017_ES</t>
        </is>
      </c>
      <c r="C60" s="128" t="n">
        <v>0.5</v>
      </c>
      <c r="D60" s="1">
        <f>C60*9</f>
        <v/>
      </c>
      <c r="E60" s="33">
        <f>D60*15</f>
        <v/>
      </c>
      <c r="F60" s="33" t="n"/>
      <c r="H60" s="33" t="n"/>
      <c r="J60" s="33">
        <f>D60*35</f>
        <v/>
      </c>
    </row>
    <row r="61">
      <c r="A61" s="118" t="inlineStr">
        <is>
          <t>total</t>
        </is>
      </c>
      <c r="B61" s="57" t="n"/>
      <c r="C61" s="11">
        <f>SUM(C6:C60)</f>
        <v/>
      </c>
      <c r="D61" s="11">
        <f>SUM(D6:D60)</f>
        <v/>
      </c>
      <c r="E61" s="59">
        <f>SUM(E6:E60)</f>
        <v/>
      </c>
      <c r="F61" s="59">
        <f>SUM(F6:F60)</f>
        <v/>
      </c>
      <c r="G61" s="59">
        <f>SUM(G6:G60)</f>
        <v/>
      </c>
      <c r="H61" s="59">
        <f>SUM(H6:H60)</f>
        <v/>
      </c>
      <c r="I61" s="59">
        <f>SUM(E61:H61)</f>
        <v/>
      </c>
      <c r="J61" s="60">
        <f>SUM(J6:J60)</f>
        <v/>
      </c>
      <c r="K61" s="39" t="n"/>
      <c r="L61" s="29" t="inlineStr">
        <is>
          <t>UAH</t>
        </is>
      </c>
      <c r="M61" s="16" t="inlineStr">
        <is>
          <t>USD</t>
        </is>
      </c>
    </row>
    <row r="62">
      <c r="E62" s="142">
        <f>E61*40</f>
        <v/>
      </c>
      <c r="F62" s="142">
        <f>F61*40</f>
        <v/>
      </c>
      <c r="G62" s="142">
        <f>G61*40</f>
        <v/>
      </c>
      <c r="H62" s="142">
        <f>H61*40</f>
        <v/>
      </c>
      <c r="I62" s="7">
        <f>I61*40</f>
        <v/>
      </c>
      <c r="J62" s="7">
        <f>J61*40</f>
        <v/>
      </c>
      <c r="K62" s="5" t="inlineStr">
        <is>
          <t>CLIENT IN</t>
        </is>
      </c>
      <c r="L62" s="7">
        <f>M62*40</f>
        <v/>
      </c>
      <c r="M62" s="8">
        <f>J61</f>
        <v/>
      </c>
      <c r="R62" s="4" t="n"/>
    </row>
    <row r="63">
      <c r="F63" s="33" t="n"/>
      <c r="G63" s="123" t="n"/>
      <c r="H63" s="123" t="n"/>
      <c r="K63" s="5" t="inlineStr">
        <is>
          <t>STUDIO (TAX)</t>
        </is>
      </c>
      <c r="L63" s="7">
        <f>M63*40</f>
        <v/>
      </c>
      <c r="M63" s="8">
        <f>M62-M62*0.05</f>
        <v/>
      </c>
    </row>
    <row r="64">
      <c r="B64" s="1" t="n"/>
      <c r="F64" s="33" t="n"/>
      <c r="K64" s="5" t="inlineStr">
        <is>
          <t>EMPL</t>
        </is>
      </c>
      <c r="L64" s="7">
        <f>M64*40</f>
        <v/>
      </c>
      <c r="M64" s="8">
        <f>I61</f>
        <v/>
      </c>
    </row>
    <row r="65">
      <c r="B65" s="1" t="n"/>
      <c r="K65" s="37" t="inlineStr">
        <is>
          <t>STUDIO</t>
        </is>
      </c>
      <c r="L65" s="7">
        <f>M65*40</f>
        <v/>
      </c>
      <c r="M65" s="8">
        <f>M63-M64</f>
        <v/>
      </c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</sheetData>
  <pageMargins left="0.7" right="0.7" top="0.75" bottom="0.75" header="0.3" footer="0.3"/>
  <pageSetup orientation="portrait" paperSize="9" horizontalDpi="0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45"/>
  <sheetViews>
    <sheetView zoomScaleNormal="100" workbookViewId="0">
      <pane ySplit="2" topLeftCell="A100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7.83203125" customWidth="1" style="2" min="2" max="2"/>
    <col width="10.83203125" customWidth="1" style="1" min="3" max="4"/>
    <col width="10.33203125" customWidth="1" style="1" min="5" max="5"/>
    <col width="10.83203125" customWidth="1" style="1" min="6" max="8"/>
    <col width="11.1640625" customWidth="1" style="1" min="9" max="9"/>
    <col width="10.6640625" customWidth="1" style="1" min="10" max="10"/>
    <col width="14.33203125" customWidth="1" style="1" min="11" max="11"/>
    <col width="12.33203125" customWidth="1" style="1" min="12" max="12"/>
    <col width="14" bestFit="1" customWidth="1" style="1" min="13" max="13"/>
    <col width="12.5" bestFit="1" customWidth="1" style="1" min="14" max="14"/>
    <col width="13" customWidth="1" style="1" min="15" max="15"/>
    <col width="10.83203125" customWidth="1" style="1" min="16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</row>
    <row r="2">
      <c r="B2" s="129" t="inlineStr">
        <is>
          <t>2025 PROJECT NAME</t>
        </is>
      </c>
      <c r="E2" s="41" t="inlineStr">
        <is>
          <t>Настя</t>
        </is>
      </c>
      <c r="F2" s="119" t="inlineStr">
        <is>
          <t>Маша</t>
        </is>
      </c>
      <c r="G2" s="38" t="inlineStr">
        <is>
          <t>Сергій</t>
        </is>
      </c>
      <c r="H2" s="109" t="inlineStr">
        <is>
          <t>Андрій</t>
        </is>
      </c>
    </row>
    <row r="3">
      <c r="E3" s="38" t="n"/>
      <c r="F3" s="38" t="n"/>
      <c r="G3" s="38" t="n"/>
      <c r="H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98" t="inlineStr">
        <is>
          <t>EMPL 1</t>
        </is>
      </c>
      <c r="F5" s="110" t="inlineStr">
        <is>
          <t>EMPL 2</t>
        </is>
      </c>
      <c r="G5" s="110" t="inlineStr">
        <is>
          <t>EMPL 3</t>
        </is>
      </c>
      <c r="H5" s="98" t="inlineStr">
        <is>
          <t>EMPL 4</t>
        </is>
      </c>
      <c r="I5" s="31" t="inlineStr">
        <is>
          <t>Total EMPL</t>
        </is>
      </c>
      <c r="J5" s="39" t="inlineStr">
        <is>
          <t>STUDIO</t>
        </is>
      </c>
    </row>
    <row r="6">
      <c r="A6" s="140" t="n"/>
      <c r="B6" s="105" t="inlineStr">
        <is>
          <t>DX-B-011-010</t>
        </is>
      </c>
      <c r="C6" s="128" t="n">
        <v>0.5</v>
      </c>
      <c r="D6" s="1">
        <f>C6*9</f>
        <v/>
      </c>
      <c r="E6" s="33">
        <f>D6*15</f>
        <v/>
      </c>
      <c r="J6" s="33">
        <f>D6*35</f>
        <v/>
      </c>
      <c r="O6" s="33" t="n"/>
    </row>
    <row r="7">
      <c r="A7" s="141" t="n"/>
      <c r="B7" s="105" t="inlineStr">
        <is>
          <t>DX-B-015-010</t>
        </is>
      </c>
      <c r="C7" s="128" t="n">
        <v>0.5</v>
      </c>
      <c r="D7" s="1">
        <f>C7*9</f>
        <v/>
      </c>
      <c r="E7" s="33">
        <f>D7*15</f>
        <v/>
      </c>
      <c r="J7" s="33">
        <f>D7*35</f>
        <v/>
      </c>
      <c r="O7" s="33" t="n"/>
    </row>
    <row r="8">
      <c r="A8" s="141" t="n"/>
      <c r="B8" s="105" t="inlineStr">
        <is>
          <t>DX-B-020-002</t>
        </is>
      </c>
      <c r="C8" s="128" t="n">
        <v>0.5</v>
      </c>
      <c r="D8" s="1">
        <f>C8*9</f>
        <v/>
      </c>
      <c r="E8" s="33">
        <f>D8*15</f>
        <v/>
      </c>
      <c r="J8" s="33">
        <f>D8*35</f>
        <v/>
      </c>
      <c r="M8" s="105" t="n"/>
      <c r="O8" s="33" t="n"/>
    </row>
    <row r="9">
      <c r="A9" s="140" t="n"/>
      <c r="B9" s="105" t="inlineStr">
        <is>
          <t>DX-H-085-030_DE2024_Valentines+ DX-V-098-001_Hearts_DE_60s Length 30s | Hook Combo</t>
        </is>
      </c>
      <c r="C9" s="128" t="n">
        <v>0.3</v>
      </c>
      <c r="D9" s="1">
        <f>C9*9</f>
        <v/>
      </c>
      <c r="G9" s="33">
        <f>D9*15</f>
        <v/>
      </c>
      <c r="J9" s="33">
        <f>D9*35</f>
        <v/>
      </c>
      <c r="M9" s="105" t="n"/>
      <c r="O9" s="33" t="n"/>
    </row>
    <row r="10">
      <c r="A10" s="141" t="n"/>
      <c r="B10" s="105" t="inlineStr">
        <is>
          <t>DX-V-002-029_Worlds_CupidBlow_DX-H-099-001_DE_30s  |  Hook Combo</t>
        </is>
      </c>
      <c r="C10" s="128" t="n">
        <v>0.3</v>
      </c>
      <c r="D10" s="1">
        <f>C10*9</f>
        <v/>
      </c>
      <c r="G10" s="33" t="n"/>
      <c r="H10" s="33">
        <f>D10*12</f>
        <v/>
      </c>
      <c r="J10" s="33">
        <f>D10*35</f>
        <v/>
      </c>
      <c r="M10" s="105" t="n"/>
      <c r="O10" s="33" t="n"/>
    </row>
    <row r="11">
      <c r="A11" s="141" t="n"/>
      <c r="B11" s="105" t="inlineStr">
        <is>
          <t>DX-V-098-001_Hearts_CupidBlow_DX-H-099-001_EN_60s  |  Hook Combo</t>
        </is>
      </c>
      <c r="C11" s="128" t="n">
        <v>0.3</v>
      </c>
      <c r="D11" s="1">
        <f>C11*9</f>
        <v/>
      </c>
      <c r="G11" s="33">
        <f>D11*15</f>
        <v/>
      </c>
      <c r="J11" s="33">
        <f>D11*35</f>
        <v/>
      </c>
      <c r="M11" s="105" t="n"/>
      <c r="O11" s="33" t="n"/>
    </row>
    <row r="12">
      <c r="A12" s="141" t="n"/>
      <c r="B12" s="105" t="inlineStr">
        <is>
          <t>DX-V-098-001_Hearts_EN_60s Length ITR  |  Comp</t>
        </is>
      </c>
      <c r="C12" s="128" t="n">
        <v>0.3</v>
      </c>
      <c r="D12" s="1">
        <f>C12*9</f>
        <v/>
      </c>
      <c r="G12" s="33">
        <f>D12*15</f>
        <v/>
      </c>
      <c r="H12" s="33" t="n"/>
      <c r="J12" s="33">
        <f>D12*35</f>
        <v/>
      </c>
      <c r="M12" s="105" t="n"/>
      <c r="O12" s="33" t="n"/>
    </row>
    <row r="13">
      <c r="A13" s="141" t="n"/>
      <c r="B13" s="105" t="inlineStr">
        <is>
          <t>DX-V-098-001_Hearts_VdayRoses_DX-H-097-001_EN_30s  |  Hook Combo</t>
        </is>
      </c>
      <c r="C13" s="128" t="n">
        <v>0.3</v>
      </c>
      <c r="D13" s="1">
        <f>C13*9</f>
        <v/>
      </c>
      <c r="G13" s="33">
        <f>D13*15</f>
        <v/>
      </c>
      <c r="J13" s="33">
        <f>D13*35</f>
        <v/>
      </c>
      <c r="O13" s="33" t="n"/>
    </row>
    <row r="14">
      <c r="A14" s="141" t="n"/>
      <c r="B14" s="105" t="inlineStr">
        <is>
          <t>DX-V-098-001_Hearts_VDayRoses_DX-H-097-001_EN_60s  |  Hook Combo</t>
        </is>
      </c>
      <c r="C14" s="128" t="n">
        <v>0.3</v>
      </c>
      <c r="D14" s="1">
        <f>C14*9</f>
        <v/>
      </c>
      <c r="G14" s="33">
        <f>D14*15</f>
        <v/>
      </c>
      <c r="J14" s="33">
        <f>D14*35</f>
        <v/>
      </c>
      <c r="O14" s="33" t="n"/>
    </row>
    <row r="15">
      <c r="A15" s="141" t="n"/>
      <c r="B15" s="105" t="inlineStr">
        <is>
          <t>DX-V-098-002_Hearts_RT Length ITR  |  Comp</t>
        </is>
      </c>
      <c r="C15" s="128" t="n">
        <v>0.3</v>
      </c>
      <c r="D15" s="1">
        <f>C15*9</f>
        <v/>
      </c>
      <c r="G15" s="33">
        <f>D15*15</f>
        <v/>
      </c>
      <c r="H15" s="33" t="n"/>
      <c r="J15" s="33">
        <f>D15*35</f>
        <v/>
      </c>
      <c r="O15" s="33" t="n"/>
    </row>
    <row r="16">
      <c r="A16" s="141" t="n"/>
      <c r="B16" s="105" t="inlineStr">
        <is>
          <t>DX-V-098-004_Hearts_DE2024_Valentines_DX-H-085-030_DE_60s  |  Hook Combo</t>
        </is>
      </c>
      <c r="C16" s="128" t="n">
        <v>0.3</v>
      </c>
      <c r="D16" s="1">
        <f>C16*9</f>
        <v/>
      </c>
      <c r="G16" s="33">
        <f>D16*15</f>
        <v/>
      </c>
      <c r="J16" s="33">
        <f>D16*35</f>
        <v/>
      </c>
      <c r="O16" s="33" t="n"/>
    </row>
    <row r="17">
      <c r="A17" s="141" t="n"/>
      <c r="B17" s="105" t="inlineStr">
        <is>
          <t>DX-V-106-003_BaseTrail_VDayRoses_DX-H-097-001_EN_30s  |  Hook Combo</t>
        </is>
      </c>
      <c r="C17" s="128" t="n">
        <v>0.3</v>
      </c>
      <c r="D17" s="1">
        <f>C17*9</f>
        <v/>
      </c>
      <c r="G17" s="33" t="n"/>
      <c r="H17" s="33">
        <f>D17*12</f>
        <v/>
      </c>
      <c r="J17" s="33">
        <f>D17*35</f>
        <v/>
      </c>
      <c r="O17" s="33" t="n"/>
    </row>
    <row r="18">
      <c r="A18" s="141" t="n"/>
      <c r="B18" s="105" t="inlineStr">
        <is>
          <t>DX-V-107-002_RollBack_CupidBlow_DX-H-099-001_EN_60s  |  Hook Combo</t>
        </is>
      </c>
      <c r="C18" s="128" t="n">
        <v>0.3</v>
      </c>
      <c r="D18" s="1">
        <f>C18*9</f>
        <v/>
      </c>
      <c r="G18" s="33" t="n"/>
      <c r="H18" s="33">
        <f>D18*12</f>
        <v/>
      </c>
      <c r="J18" s="33">
        <f>D18*35</f>
        <v/>
      </c>
      <c r="O18" s="33" t="n"/>
    </row>
    <row r="19">
      <c r="A19" s="140" t="n"/>
      <c r="B19" s="105" t="inlineStr">
        <is>
          <t>DX-B-020-002 dop resizes</t>
        </is>
      </c>
      <c r="C19" s="128" t="n">
        <v>0.3</v>
      </c>
      <c r="D19" s="1">
        <f>C19*9</f>
        <v/>
      </c>
      <c r="E19" s="33">
        <f>D19*15</f>
        <v/>
      </c>
      <c r="J19" s="33">
        <f>D19*35</f>
        <v/>
      </c>
      <c r="O19" s="33" t="n"/>
    </row>
    <row r="20">
      <c r="A20" s="140" t="n"/>
      <c r="B20" s="105" t="inlineStr">
        <is>
          <t>DX-V-084-005</t>
        </is>
      </c>
      <c r="C20" s="128" t="n">
        <v>1</v>
      </c>
      <c r="D20" s="1">
        <f>C20*9</f>
        <v/>
      </c>
      <c r="E20" s="33" t="n"/>
      <c r="H20" s="33">
        <f>D20*12</f>
        <v/>
      </c>
      <c r="J20" s="33">
        <f>D20*35</f>
        <v/>
      </c>
      <c r="O20" s="33" t="n"/>
    </row>
    <row r="21">
      <c r="A21" s="141" t="n"/>
      <c r="B21" s="105" t="inlineStr">
        <is>
          <t>DX-V-022-005_01</t>
        </is>
      </c>
      <c r="C21" s="128" t="n">
        <v>0.5</v>
      </c>
      <c r="D21" s="1">
        <f>C21*9</f>
        <v/>
      </c>
      <c r="E21" s="33" t="n"/>
      <c r="G21" s="33">
        <f>D21*15</f>
        <v/>
      </c>
      <c r="J21" s="33">
        <f>D21*35</f>
        <v/>
      </c>
      <c r="O21" s="33" t="n"/>
    </row>
    <row r="22">
      <c r="A22" s="140" t="n"/>
      <c r="B22" s="144" t="inlineStr">
        <is>
          <t>DX-B-011-003 01</t>
        </is>
      </c>
      <c r="C22" s="128" t="n">
        <v>0.3</v>
      </c>
      <c r="D22" s="1">
        <f>C22*9</f>
        <v/>
      </c>
      <c r="E22" s="33">
        <f>D22*15</f>
        <v/>
      </c>
      <c r="J22" s="33">
        <f>D22*35</f>
        <v/>
      </c>
      <c r="O22" s="33" t="n"/>
    </row>
    <row r="23">
      <c r="A23" s="140" t="n"/>
      <c r="B23" s="144" t="inlineStr">
        <is>
          <t>DX-B-011-003 02</t>
        </is>
      </c>
      <c r="C23" s="128" t="n">
        <v>0.3</v>
      </c>
      <c r="D23" s="1">
        <f>C23*9</f>
        <v/>
      </c>
      <c r="E23" s="33">
        <f>D23*15</f>
        <v/>
      </c>
      <c r="J23" s="33">
        <f>D23*35</f>
        <v/>
      </c>
      <c r="O23" s="33" t="n"/>
    </row>
    <row r="24">
      <c r="A24" s="141" t="n"/>
      <c r="B24" s="144" t="inlineStr">
        <is>
          <t>DX-B-015-004 01</t>
        </is>
      </c>
      <c r="C24" s="128" t="n">
        <v>0.5</v>
      </c>
      <c r="D24" s="1">
        <f>C24*9</f>
        <v/>
      </c>
      <c r="E24" s="33">
        <f>D24*15</f>
        <v/>
      </c>
      <c r="J24" s="33">
        <f>D24*35</f>
        <v/>
      </c>
      <c r="O24" s="33" t="n"/>
    </row>
    <row r="25">
      <c r="A25" s="141" t="n"/>
      <c r="B25" s="144" t="inlineStr">
        <is>
          <t>DX-B-015-004 02</t>
        </is>
      </c>
      <c r="C25" s="128" t="n">
        <v>0.3</v>
      </c>
      <c r="D25" s="1">
        <f>C25*9</f>
        <v/>
      </c>
      <c r="E25" s="33">
        <f>D25*15</f>
        <v/>
      </c>
      <c r="J25" s="33">
        <f>D25*35</f>
        <v/>
      </c>
      <c r="O25" s="33" t="n"/>
    </row>
    <row r="26">
      <c r="A26" s="141" t="n"/>
      <c r="B26" s="144" t="inlineStr">
        <is>
          <t>DX-B-052-003</t>
        </is>
      </c>
      <c r="C26" s="128" t="n">
        <v>0.3</v>
      </c>
      <c r="D26" s="1">
        <f>C26*9</f>
        <v/>
      </c>
      <c r="E26" s="33">
        <f>D26*15</f>
        <v/>
      </c>
      <c r="J26" s="33">
        <f>D26*35</f>
        <v/>
      </c>
      <c r="O26" s="33" t="n"/>
    </row>
    <row r="27">
      <c r="A27" s="141" t="n"/>
      <c r="B27" s="144" t="inlineStr">
        <is>
          <t>DX-V-015-015</t>
        </is>
      </c>
      <c r="C27" s="128" t="n">
        <v>0.3</v>
      </c>
      <c r="D27" s="1">
        <f>C27*9</f>
        <v/>
      </c>
      <c r="E27" s="33" t="n"/>
      <c r="G27" s="33">
        <f>D27*15</f>
        <v/>
      </c>
      <c r="J27" s="33">
        <f>D27*35</f>
        <v/>
      </c>
      <c r="O27" s="33" t="n"/>
    </row>
    <row r="28">
      <c r="A28" s="141" t="n"/>
      <c r="B28" s="144" t="inlineStr">
        <is>
          <t>DX-V-032-005</t>
        </is>
      </c>
      <c r="C28" s="128" t="n">
        <v>0.3</v>
      </c>
      <c r="D28" s="1">
        <f>C28*9</f>
        <v/>
      </c>
      <c r="E28" s="33" t="n"/>
      <c r="G28" s="33">
        <f>D28*15</f>
        <v/>
      </c>
      <c r="J28" s="33">
        <f>D28*35</f>
        <v/>
      </c>
      <c r="L28" s="151" t="inlineStr">
        <is>
          <t xml:space="preserve"> </t>
        </is>
      </c>
      <c r="O28" s="33" t="n"/>
    </row>
    <row r="29">
      <c r="A29" s="140" t="n"/>
      <c r="B29" s="144" t="inlineStr">
        <is>
          <t>DX-V-032-007</t>
        </is>
      </c>
      <c r="C29" s="128" t="n">
        <v>0.3</v>
      </c>
      <c r="D29" s="1">
        <f>C29*9</f>
        <v/>
      </c>
      <c r="E29" s="33" t="n"/>
      <c r="F29" s="33">
        <f>D29*12</f>
        <v/>
      </c>
      <c r="J29" s="33">
        <f>D29*35</f>
        <v/>
      </c>
      <c r="O29" s="33" t="n"/>
    </row>
    <row r="30">
      <c r="A30" s="141" t="n"/>
      <c r="B30" s="144" t="inlineStr">
        <is>
          <t>DX-V-087-003</t>
        </is>
      </c>
      <c r="C30" s="128" t="n">
        <v>0.3</v>
      </c>
      <c r="D30" s="1">
        <f>C30*9</f>
        <v/>
      </c>
      <c r="E30" s="33" t="n"/>
      <c r="G30" s="33">
        <f>D30*15</f>
        <v/>
      </c>
      <c r="J30" s="33">
        <f>D30*35</f>
        <v/>
      </c>
      <c r="O30" s="33" t="n"/>
    </row>
    <row r="31">
      <c r="A31" s="140" t="n"/>
      <c r="B31" s="144" t="inlineStr">
        <is>
          <t>DX-V-106-002</t>
        </is>
      </c>
      <c r="C31" s="128" t="n">
        <v>0.3</v>
      </c>
      <c r="D31" s="1">
        <f>C31*9</f>
        <v/>
      </c>
      <c r="E31" s="33" t="n"/>
      <c r="G31" s="33">
        <f>D31*15</f>
        <v/>
      </c>
      <c r="J31" s="33">
        <f>D31*35</f>
        <v/>
      </c>
      <c r="O31" s="33" t="n"/>
    </row>
    <row r="32">
      <c r="A32" s="141" t="n"/>
      <c r="B32" s="144" t="inlineStr">
        <is>
          <t>DX-V-002-031</t>
        </is>
      </c>
      <c r="C32" s="128" t="n">
        <v>0.3</v>
      </c>
      <c r="D32" s="1">
        <f>C32*9</f>
        <v/>
      </c>
      <c r="E32" s="33" t="n"/>
      <c r="F32" s="33">
        <f>D32*12</f>
        <v/>
      </c>
      <c r="J32" s="33">
        <f>D32*35</f>
        <v/>
      </c>
      <c r="O32" s="33" t="n"/>
    </row>
    <row r="33">
      <c r="A33" s="141" t="n"/>
      <c r="B33" s="105" t="inlineStr">
        <is>
          <t>DX-V-022-005_02</t>
        </is>
      </c>
      <c r="C33" s="128" t="n">
        <v>0.3</v>
      </c>
      <c r="D33" s="1">
        <f>C33*9</f>
        <v/>
      </c>
      <c r="E33" s="33" t="n"/>
      <c r="G33" s="33">
        <f>D33*15</f>
        <v/>
      </c>
      <c r="J33" s="33">
        <f>D33*35</f>
        <v/>
      </c>
      <c r="O33" s="33" t="n"/>
    </row>
    <row r="34">
      <c r="A34" s="122" t="n"/>
      <c r="B34" s="144" t="inlineStr">
        <is>
          <t>DX-V-002-030_30s</t>
        </is>
      </c>
      <c r="C34" s="128" t="n">
        <v>0.3</v>
      </c>
      <c r="D34" s="1">
        <f>C34*9</f>
        <v/>
      </c>
      <c r="E34" s="33" t="n"/>
      <c r="F34" s="33">
        <f>D34*12</f>
        <v/>
      </c>
      <c r="J34" s="33">
        <f>D34*35</f>
        <v/>
      </c>
      <c r="O34" s="33" t="n"/>
    </row>
    <row r="35">
      <c r="A35" s="147" t="n"/>
      <c r="B35" s="144" t="inlineStr">
        <is>
          <t>DX-V-002-030_60s</t>
        </is>
      </c>
      <c r="C35" s="128" t="n">
        <v>0.3</v>
      </c>
      <c r="D35" s="1">
        <f>C35*9</f>
        <v/>
      </c>
      <c r="E35" s="33" t="n"/>
      <c r="G35" s="33">
        <f>D35*15</f>
        <v/>
      </c>
      <c r="J35" s="33">
        <f>D35*35</f>
        <v/>
      </c>
      <c r="O35" s="33" t="n"/>
    </row>
    <row r="36">
      <c r="A36" s="146" t="n"/>
      <c r="B36" s="144" t="inlineStr">
        <is>
          <t>DX-V-098-010</t>
        </is>
      </c>
      <c r="C36" s="128" t="n">
        <v>0.3</v>
      </c>
      <c r="D36" s="1">
        <f>C36*9</f>
        <v/>
      </c>
      <c r="E36" s="33" t="n"/>
      <c r="F36" s="33">
        <f>D36*12</f>
        <v/>
      </c>
      <c r="J36" s="33">
        <f>D36*35</f>
        <v/>
      </c>
      <c r="O36" s="33" t="n"/>
    </row>
    <row r="37">
      <c r="A37" s="122" t="n"/>
      <c r="B37" s="105" t="inlineStr">
        <is>
          <t>DX-V-106-001</t>
        </is>
      </c>
      <c r="C37" s="128" t="n">
        <v>0.5</v>
      </c>
      <c r="D37" s="1">
        <f>C37*9</f>
        <v/>
      </c>
      <c r="E37" s="33">
        <f>D37*15</f>
        <v/>
      </c>
      <c r="J37" s="33">
        <f>D37*35</f>
        <v/>
      </c>
      <c r="O37" s="33" t="n"/>
    </row>
    <row r="38">
      <c r="A38" s="122" t="n"/>
      <c r="B38" s="105" t="inlineStr">
        <is>
          <t>DX-V-107-002_30s</t>
        </is>
      </c>
      <c r="C38" s="128" t="n">
        <v>0.5</v>
      </c>
      <c r="D38" s="1">
        <f>C38*9</f>
        <v/>
      </c>
      <c r="E38" s="33" t="n"/>
      <c r="G38" s="33">
        <f>D38*15</f>
        <v/>
      </c>
      <c r="J38" s="33">
        <f>D38*35</f>
        <v/>
      </c>
      <c r="O38" s="33" t="n"/>
    </row>
    <row r="39">
      <c r="A39" s="141" t="n"/>
      <c r="B39" s="105" t="inlineStr">
        <is>
          <t>DX-V-107-002_60s</t>
        </is>
      </c>
      <c r="C39" s="128" t="n">
        <v>0.5</v>
      </c>
      <c r="D39" s="1">
        <f>C39*9</f>
        <v/>
      </c>
      <c r="E39" s="33" t="n"/>
      <c r="G39" s="33">
        <f>D39*15</f>
        <v/>
      </c>
      <c r="J39" s="33">
        <f>D39*35</f>
        <v/>
      </c>
      <c r="O39" s="33" t="n"/>
    </row>
    <row r="40">
      <c r="A40" s="141" t="n"/>
      <c r="B40" s="105" t="inlineStr">
        <is>
          <t>DX-V-032-008</t>
        </is>
      </c>
      <c r="C40" s="128" t="n">
        <v>0.5</v>
      </c>
      <c r="D40" s="1">
        <f>C40*9</f>
        <v/>
      </c>
      <c r="E40" s="33" t="n"/>
      <c r="H40" s="33">
        <f>D40*12</f>
        <v/>
      </c>
      <c r="J40" s="33">
        <f>D40*35</f>
        <v/>
      </c>
      <c r="O40" s="33" t="n"/>
    </row>
    <row r="41">
      <c r="A41" s="140" t="n"/>
      <c r="B41" s="105" t="inlineStr">
        <is>
          <t>DX-B-011-011</t>
        </is>
      </c>
      <c r="C41" s="128" t="n">
        <v>0.5</v>
      </c>
      <c r="D41" s="1">
        <f>C41*9</f>
        <v/>
      </c>
      <c r="E41" s="33">
        <f>D41*15</f>
        <v/>
      </c>
      <c r="J41" s="33">
        <f>D41*35</f>
        <v/>
      </c>
      <c r="O41" s="33" t="n"/>
    </row>
    <row r="42">
      <c r="A42" s="140" t="n"/>
      <c r="B42" s="105" t="inlineStr">
        <is>
          <t>DX-B-011-012</t>
        </is>
      </c>
      <c r="C42" s="128" t="n">
        <v>0.3</v>
      </c>
      <c r="D42" s="1">
        <f>C42*9</f>
        <v/>
      </c>
      <c r="E42" s="33">
        <f>D42*15</f>
        <v/>
      </c>
      <c r="J42" s="33">
        <f>D42*35</f>
        <v/>
      </c>
      <c r="O42" s="33" t="n"/>
    </row>
    <row r="43">
      <c r="A43" s="141" t="n"/>
      <c r="B43" s="144" t="inlineStr">
        <is>
          <t>DX-V-015-004_15s</t>
        </is>
      </c>
      <c r="C43" s="128" t="n">
        <v>0.5</v>
      </c>
      <c r="D43" s="1">
        <f>C43*9</f>
        <v/>
      </c>
      <c r="E43" s="33">
        <f>D43*15</f>
        <v/>
      </c>
      <c r="J43" s="33">
        <f>D43*35</f>
        <v/>
      </c>
      <c r="O43" s="33" t="n"/>
    </row>
    <row r="44">
      <c r="A44" s="141" t="n"/>
      <c r="B44" s="105" t="inlineStr">
        <is>
          <t>DX-V-015-028</t>
        </is>
      </c>
      <c r="C44" s="128" t="n">
        <v>0.3</v>
      </c>
      <c r="D44" s="1">
        <f>C44*9</f>
        <v/>
      </c>
      <c r="F44" s="33">
        <f>D44*12</f>
        <v/>
      </c>
      <c r="J44" s="33">
        <f>D44*35</f>
        <v/>
      </c>
      <c r="O44" s="33" t="n"/>
    </row>
    <row r="45">
      <c r="A45" s="140" t="n"/>
      <c r="B45" s="105" t="inlineStr">
        <is>
          <t>DX-V-022-005</t>
        </is>
      </c>
      <c r="C45" s="128" t="n">
        <v>0.5</v>
      </c>
      <c r="D45" s="1">
        <f>C45*9</f>
        <v/>
      </c>
      <c r="H45" s="33">
        <f>D45*12</f>
        <v/>
      </c>
      <c r="J45" s="33">
        <f>D45*35</f>
        <v/>
      </c>
      <c r="O45" s="33" t="n"/>
    </row>
    <row r="46">
      <c r="A46" s="141" t="n"/>
      <c r="B46" s="105" t="inlineStr">
        <is>
          <t>DX-V-026-012</t>
        </is>
      </c>
      <c r="C46" s="128" t="n">
        <v>0.3</v>
      </c>
      <c r="D46" s="1">
        <f>C46*9</f>
        <v/>
      </c>
      <c r="F46" s="33">
        <f>D46*12</f>
        <v/>
      </c>
      <c r="J46" s="33">
        <f>D46*35</f>
        <v/>
      </c>
      <c r="O46" s="33" t="n"/>
    </row>
    <row r="47">
      <c r="A47" s="140" t="n"/>
      <c r="B47" s="105" t="inlineStr">
        <is>
          <t>DX-V-032-023</t>
        </is>
      </c>
      <c r="C47" s="128" t="n">
        <v>0.3</v>
      </c>
      <c r="D47" s="1">
        <f>C47*9</f>
        <v/>
      </c>
      <c r="G47" s="33">
        <f>D47*15</f>
        <v/>
      </c>
      <c r="J47" s="33">
        <f>D47*35</f>
        <v/>
      </c>
      <c r="O47" s="33" t="n"/>
    </row>
    <row r="48">
      <c r="A48" s="140" t="n"/>
      <c r="B48" s="105" t="inlineStr">
        <is>
          <t>DX-V-042-008</t>
        </is>
      </c>
      <c r="C48" s="128" t="n">
        <v>0.3</v>
      </c>
      <c r="D48" s="1">
        <f>C48*9</f>
        <v/>
      </c>
      <c r="F48" s="33">
        <f>D48*12</f>
        <v/>
      </c>
      <c r="J48" s="33">
        <f>D48*35</f>
        <v/>
      </c>
      <c r="O48" s="33" t="n"/>
    </row>
    <row r="49">
      <c r="A49" s="140" t="n"/>
      <c r="B49" s="105" t="inlineStr">
        <is>
          <t>DX-V-085-012</t>
        </is>
      </c>
      <c r="C49" s="128" t="n">
        <v>0.3</v>
      </c>
      <c r="D49" s="1">
        <f>C49*9</f>
        <v/>
      </c>
      <c r="F49" s="33">
        <f>D49*12</f>
        <v/>
      </c>
      <c r="J49" s="33">
        <f>D49*35</f>
        <v/>
      </c>
      <c r="O49" s="33" t="n"/>
    </row>
    <row r="50">
      <c r="A50" s="140" t="n"/>
      <c r="B50" s="105" t="inlineStr">
        <is>
          <t>DX-V-085-013</t>
        </is>
      </c>
      <c r="C50" s="128" t="n">
        <v>0.3</v>
      </c>
      <c r="D50" s="1">
        <f>C50*9</f>
        <v/>
      </c>
      <c r="F50" s="33">
        <f>D50*12</f>
        <v/>
      </c>
      <c r="J50" s="33">
        <f>D50*35</f>
        <v/>
      </c>
      <c r="O50" s="33" t="n"/>
    </row>
    <row r="51">
      <c r="A51" s="140" t="n"/>
      <c r="B51" s="105" t="inlineStr">
        <is>
          <t>DX-V-087-001</t>
        </is>
      </c>
      <c r="C51" s="128" t="n">
        <v>0.3</v>
      </c>
      <c r="D51" s="1">
        <f>C51*9</f>
        <v/>
      </c>
      <c r="E51" s="33">
        <f>D51*15</f>
        <v/>
      </c>
      <c r="J51" s="33">
        <f>D51*35</f>
        <v/>
      </c>
      <c r="O51" s="33" t="n"/>
    </row>
    <row r="52">
      <c r="A52" s="141" t="n"/>
      <c r="B52" s="105" t="inlineStr">
        <is>
          <t>DX-V-087-008</t>
        </is>
      </c>
      <c r="C52" s="128" t="n">
        <v>0.3</v>
      </c>
      <c r="D52" s="1">
        <f>C52*9</f>
        <v/>
      </c>
      <c r="H52" s="33">
        <f>D52*12</f>
        <v/>
      </c>
      <c r="J52" s="33">
        <f>D52*35</f>
        <v/>
      </c>
      <c r="O52" s="33" t="n"/>
    </row>
    <row r="53">
      <c r="A53" s="141" t="n"/>
      <c r="B53" s="105" t="inlineStr">
        <is>
          <t>DX-V-106-002</t>
        </is>
      </c>
      <c r="C53" s="149" t="n">
        <v>0.5</v>
      </c>
      <c r="D53" s="1">
        <f>C53*9</f>
        <v/>
      </c>
      <c r="E53" s="33">
        <f>D53*15</f>
        <v/>
      </c>
      <c r="J53" s="33">
        <f>D53*35</f>
        <v/>
      </c>
      <c r="O53" s="33" t="n"/>
    </row>
    <row r="54">
      <c r="A54" s="140" t="n"/>
      <c r="B54" s="105" t="inlineStr">
        <is>
          <t>DX-V-085-038</t>
        </is>
      </c>
      <c r="C54" s="128" t="n">
        <v>0.3</v>
      </c>
      <c r="D54" s="1">
        <f>C54*9</f>
        <v/>
      </c>
      <c r="G54" s="33">
        <f>D54*15</f>
        <v/>
      </c>
      <c r="J54" s="33">
        <f>D54*35</f>
        <v/>
      </c>
      <c r="O54" s="33" t="n"/>
    </row>
    <row r="55">
      <c r="A55" s="140" t="n"/>
      <c r="B55" s="105" t="inlineStr">
        <is>
          <t>DX-V-028-016</t>
        </is>
      </c>
      <c r="C55" s="149" t="n">
        <v>0.5</v>
      </c>
      <c r="D55" s="1">
        <f>C55*9</f>
        <v/>
      </c>
      <c r="E55" s="33">
        <f>D55*15</f>
        <v/>
      </c>
      <c r="J55" s="33">
        <f>D55*35</f>
        <v/>
      </c>
      <c r="O55" s="33" t="n"/>
    </row>
    <row r="56">
      <c r="A56" s="140" t="n"/>
      <c r="B56" s="105" t="inlineStr">
        <is>
          <t>DX-V-002-032</t>
        </is>
      </c>
      <c r="C56" s="149" t="n">
        <v>0.5</v>
      </c>
      <c r="D56" s="1">
        <f>C56*9</f>
        <v/>
      </c>
      <c r="H56" s="33">
        <f>D56*12</f>
        <v/>
      </c>
      <c r="J56" s="33">
        <f>D56*35</f>
        <v/>
      </c>
      <c r="O56" s="33" t="n"/>
    </row>
    <row r="57">
      <c r="A57" s="140" t="n"/>
      <c r="B57" s="105" t="inlineStr">
        <is>
          <t>DX-V-015-029</t>
        </is>
      </c>
      <c r="C57" s="149" t="n">
        <v>0.5</v>
      </c>
      <c r="D57" s="1">
        <f>C57*9</f>
        <v/>
      </c>
      <c r="E57" s="33">
        <f>D57*15</f>
        <v/>
      </c>
      <c r="J57" s="33">
        <f>D57*35</f>
        <v/>
      </c>
      <c r="O57" s="33" t="n"/>
    </row>
    <row r="58">
      <c r="A58" s="140" t="n"/>
      <c r="B58" s="105" t="inlineStr">
        <is>
          <t>DX-V-033-021</t>
        </is>
      </c>
      <c r="C58" s="149" t="n">
        <v>0.5</v>
      </c>
      <c r="D58" s="1">
        <f>C58*9</f>
        <v/>
      </c>
      <c r="G58" s="33">
        <f>D58*15</f>
        <v/>
      </c>
      <c r="J58" s="33">
        <f>D58*35</f>
        <v/>
      </c>
      <c r="O58" s="33" t="n"/>
    </row>
    <row r="59">
      <c r="A59" s="140" t="n"/>
      <c r="B59" s="105" t="inlineStr">
        <is>
          <t>DX-V-002-033</t>
        </is>
      </c>
      <c r="C59" s="149" t="n">
        <v>0.5</v>
      </c>
      <c r="D59" s="1">
        <f>C59*9</f>
        <v/>
      </c>
      <c r="H59" s="33">
        <f>D59*12</f>
        <v/>
      </c>
      <c r="J59" s="33">
        <f>D59*35</f>
        <v/>
      </c>
      <c r="O59" s="33" t="n"/>
    </row>
    <row r="60">
      <c r="A60" s="140" t="n"/>
      <c r="B60" s="105" t="inlineStr">
        <is>
          <t>DX-V-106-009</t>
        </is>
      </c>
      <c r="C60" s="149" t="n">
        <v>0.5</v>
      </c>
      <c r="D60" s="1">
        <f>C60*9</f>
        <v/>
      </c>
      <c r="H60" s="33" t="n"/>
      <c r="J60" s="33">
        <f>D60*35</f>
        <v/>
      </c>
      <c r="O60" s="33" t="n"/>
    </row>
    <row r="61">
      <c r="B61" s="105" t="n"/>
      <c r="C61" s="149" t="n"/>
      <c r="H61" s="33" t="n"/>
      <c r="J61" s="33" t="n"/>
      <c r="O61" s="33" t="n"/>
    </row>
    <row r="62">
      <c r="B62" s="1" t="n"/>
      <c r="C62" s="128" t="n"/>
      <c r="J62" s="33" t="n"/>
      <c r="O62" s="33" t="n"/>
    </row>
    <row r="63" ht="25" customHeight="1">
      <c r="A63" s="125" t="inlineStr">
        <is>
          <t>DD</t>
        </is>
      </c>
      <c r="B63" s="125" t="inlineStr">
        <is>
          <t>MGX</t>
        </is>
      </c>
      <c r="C63" s="23" t="n"/>
      <c r="D63" s="23" t="n"/>
      <c r="E63" s="23" t="n"/>
      <c r="F63" s="23" t="n"/>
      <c r="G63" s="23" t="n"/>
      <c r="H63" s="23" t="n"/>
      <c r="I63" s="23" t="n"/>
      <c r="J63" s="23" t="n"/>
      <c r="M63" s="33" t="n"/>
    </row>
    <row r="64">
      <c r="A64" s="141" t="n"/>
      <c r="B64" s="105" t="inlineStr">
        <is>
          <t>DD-V-250-031</t>
        </is>
      </c>
      <c r="C64" s="128" t="n">
        <v>3</v>
      </c>
      <c r="D64" s="1">
        <f>C64*9</f>
        <v/>
      </c>
      <c r="E64" s="33" t="n"/>
      <c r="F64" s="33" t="n"/>
      <c r="G64" s="33">
        <f>D64*15</f>
        <v/>
      </c>
      <c r="H64" s="33" t="n"/>
      <c r="J64" s="33">
        <f>D64*35</f>
        <v/>
      </c>
    </row>
    <row r="65">
      <c r="A65" s="141" t="n"/>
      <c r="B65" s="144" t="inlineStr">
        <is>
          <t>DD-V-250-032</t>
        </is>
      </c>
      <c r="C65" s="128" t="n">
        <v>1.5</v>
      </c>
      <c r="D65" s="1">
        <f>C65*9</f>
        <v/>
      </c>
      <c r="E65" s="33" t="n"/>
      <c r="F65" s="33" t="n"/>
      <c r="G65" s="33" t="n"/>
      <c r="H65" s="33">
        <f>D65*12</f>
        <v/>
      </c>
      <c r="J65" s="33">
        <f>D65*35</f>
        <v/>
      </c>
    </row>
    <row r="66">
      <c r="A66" s="141" t="n"/>
      <c r="B66" s="144" t="inlineStr">
        <is>
          <t>DD-V-250-033</t>
        </is>
      </c>
      <c r="C66" s="128" t="n">
        <v>1</v>
      </c>
      <c r="D66" s="1">
        <f>C66*9</f>
        <v/>
      </c>
      <c r="E66" s="33" t="n"/>
      <c r="F66" s="33" t="n"/>
      <c r="G66" s="33" t="n"/>
      <c r="H66" s="33">
        <f>D66*12</f>
        <v/>
      </c>
      <c r="J66" s="33">
        <f>D66*35</f>
        <v/>
      </c>
    </row>
    <row r="67">
      <c r="A67" s="141" t="n"/>
      <c r="B67" s="144" t="inlineStr">
        <is>
          <t>DD-V-250-034</t>
        </is>
      </c>
      <c r="C67" s="128" t="n">
        <v>1</v>
      </c>
      <c r="D67" s="1">
        <f>C67*9</f>
        <v/>
      </c>
      <c r="E67" s="33" t="n"/>
      <c r="F67" s="33" t="n"/>
      <c r="G67" s="33" t="n"/>
      <c r="H67" s="33">
        <f>D67*12</f>
        <v/>
      </c>
      <c r="J67" s="33">
        <f>D67*35</f>
        <v/>
      </c>
    </row>
    <row r="68">
      <c r="A68" s="141" t="n"/>
      <c r="B68" s="144" t="inlineStr">
        <is>
          <t>DD-V-250-035</t>
        </is>
      </c>
      <c r="C68" s="128" t="n">
        <v>1</v>
      </c>
      <c r="D68" s="1">
        <f>C68*9</f>
        <v/>
      </c>
      <c r="E68" s="33" t="n"/>
      <c r="F68" s="33" t="n"/>
      <c r="G68" s="33" t="n"/>
      <c r="H68" s="33">
        <f>D68*12</f>
        <v/>
      </c>
      <c r="J68" s="33">
        <f>D68*35</f>
        <v/>
      </c>
    </row>
    <row r="69">
      <c r="A69" s="141" t="n"/>
      <c r="B69" s="105" t="inlineStr">
        <is>
          <t>DD-V-049-049</t>
        </is>
      </c>
      <c r="C69" s="128" t="n">
        <v>0.3</v>
      </c>
      <c r="D69" s="1">
        <f>C69*9</f>
        <v/>
      </c>
      <c r="E69" s="33">
        <f>D69*15</f>
        <v/>
      </c>
      <c r="F69" s="33" t="n"/>
      <c r="G69" s="33" t="n"/>
      <c r="H69" s="33" t="n"/>
      <c r="J69" s="33">
        <f>D69*35</f>
        <v/>
      </c>
    </row>
    <row r="70">
      <c r="A70" s="141" t="n"/>
      <c r="B70" s="105" t="inlineStr">
        <is>
          <t>DD-V-229-008</t>
        </is>
      </c>
      <c r="C70" s="128" t="n">
        <v>0.3</v>
      </c>
      <c r="D70" s="1">
        <f>C70*9</f>
        <v/>
      </c>
      <c r="E70" s="33">
        <f>D70*15</f>
        <v/>
      </c>
      <c r="F70" s="33" t="n"/>
      <c r="G70" s="33" t="n"/>
      <c r="H70" s="33" t="n"/>
      <c r="J70" s="33">
        <f>D70*35</f>
        <v/>
      </c>
    </row>
    <row r="71">
      <c r="A71" s="141" t="n"/>
      <c r="B71" s="105" t="inlineStr">
        <is>
          <t>DD-V-223-017</t>
        </is>
      </c>
      <c r="C71" s="128" t="n">
        <v>0.3</v>
      </c>
      <c r="D71" s="1">
        <f>C71*9</f>
        <v/>
      </c>
      <c r="E71" s="33">
        <f>D71*15</f>
        <v/>
      </c>
      <c r="F71" s="33" t="n"/>
      <c r="G71" s="33" t="n"/>
      <c r="H71" s="33" t="n"/>
      <c r="J71" s="33">
        <f>D71*35</f>
        <v/>
      </c>
    </row>
    <row r="72">
      <c r="A72" s="141" t="n"/>
      <c r="B72" s="105" t="inlineStr">
        <is>
          <t>DD-V-223-018</t>
        </is>
      </c>
      <c r="C72" s="128" t="n">
        <v>0.3</v>
      </c>
      <c r="D72" s="1">
        <f>C72*9</f>
        <v/>
      </c>
      <c r="E72" s="33">
        <f>D72*15</f>
        <v/>
      </c>
      <c r="F72" s="33" t="n"/>
      <c r="G72" s="33" t="n"/>
      <c r="H72" s="33" t="n"/>
      <c r="J72" s="33">
        <f>D72*35</f>
        <v/>
      </c>
    </row>
    <row r="73">
      <c r="A73" s="141" t="n"/>
      <c r="B73" s="105" t="inlineStr">
        <is>
          <t>DD-V-034-034</t>
        </is>
      </c>
      <c r="C73" s="128" t="n">
        <v>0.3</v>
      </c>
      <c r="D73" s="1">
        <f>C73*9</f>
        <v/>
      </c>
      <c r="E73" s="33" t="n"/>
      <c r="F73" s="33">
        <f>D73*12</f>
        <v/>
      </c>
      <c r="H73" s="33" t="n"/>
      <c r="J73" s="33">
        <f>D73*35</f>
        <v/>
      </c>
    </row>
    <row r="74">
      <c r="A74" s="141" t="n"/>
      <c r="B74" s="105" t="inlineStr">
        <is>
          <t>DD-V-034-035</t>
        </is>
      </c>
      <c r="C74" s="128" t="n">
        <v>0.3</v>
      </c>
      <c r="D74" s="1">
        <f>C74*9</f>
        <v/>
      </c>
      <c r="E74" s="33" t="n"/>
      <c r="F74" s="33">
        <f>D74*12</f>
        <v/>
      </c>
      <c r="H74" s="33" t="n"/>
      <c r="J74" s="33">
        <f>D74*35</f>
        <v/>
      </c>
    </row>
    <row r="75">
      <c r="A75" s="141" t="n"/>
      <c r="B75" s="105" t="inlineStr">
        <is>
          <t>DD-V-250-024</t>
        </is>
      </c>
      <c r="C75" s="128" t="n">
        <v>0.5</v>
      </c>
      <c r="D75" s="1">
        <f>C75*9</f>
        <v/>
      </c>
      <c r="E75" s="33">
        <f>D75*15</f>
        <v/>
      </c>
      <c r="F75" s="33" t="n"/>
      <c r="H75" s="33" t="n"/>
      <c r="J75" s="33">
        <f>D75*35</f>
        <v/>
      </c>
    </row>
    <row r="76">
      <c r="A76" s="150" t="n"/>
      <c r="B76" s="105" t="inlineStr">
        <is>
          <t>DD-V-143-003</t>
        </is>
      </c>
      <c r="C76" s="128" t="n">
        <v>0.5</v>
      </c>
      <c r="D76" s="1">
        <f>C76*9</f>
        <v/>
      </c>
      <c r="E76" s="33" t="n"/>
      <c r="F76" s="33" t="n"/>
      <c r="H76" s="33">
        <f>D76*12</f>
        <v/>
      </c>
      <c r="J76" s="33">
        <f>D76*35</f>
        <v/>
      </c>
    </row>
    <row r="77">
      <c r="A77" s="141" t="n"/>
      <c r="B77" s="105" t="inlineStr">
        <is>
          <t>DD-V-049-054</t>
        </is>
      </c>
      <c r="C77" s="128" t="n">
        <v>0.3</v>
      </c>
      <c r="D77" s="1">
        <f>C77*9</f>
        <v/>
      </c>
      <c r="E77" s="33" t="n"/>
      <c r="F77" s="33" t="n"/>
      <c r="G77" s="33">
        <f>D77*15</f>
        <v/>
      </c>
      <c r="H77" s="33" t="n"/>
      <c r="J77" s="33">
        <f>D77*35</f>
        <v/>
      </c>
    </row>
    <row r="78">
      <c r="A78" s="140" t="n"/>
      <c r="B78" s="105" t="inlineStr">
        <is>
          <t>DD-V-105-008</t>
        </is>
      </c>
      <c r="C78" s="128" t="n">
        <v>0.3</v>
      </c>
      <c r="D78" s="1">
        <f>C78*9</f>
        <v/>
      </c>
      <c r="E78" s="33" t="n"/>
      <c r="F78" s="33">
        <f>D78*12</f>
        <v/>
      </c>
      <c r="H78" s="33" t="n"/>
      <c r="J78" s="33">
        <f>D78*35</f>
        <v/>
      </c>
    </row>
    <row r="79">
      <c r="A79" s="141" t="n"/>
      <c r="B79" s="105" t="inlineStr">
        <is>
          <t>DD-V-105-009</t>
        </is>
      </c>
      <c r="C79" s="128" t="n">
        <v>0.3</v>
      </c>
      <c r="D79" s="1">
        <f>C79*9</f>
        <v/>
      </c>
      <c r="E79" s="33" t="n"/>
      <c r="F79" s="33">
        <f>D79*12</f>
        <v/>
      </c>
      <c r="H79" s="33" t="n"/>
      <c r="J79" s="33">
        <f>D79*35</f>
        <v/>
      </c>
    </row>
    <row r="80">
      <c r="A80" s="141" t="n"/>
      <c r="B80" s="105" t="inlineStr">
        <is>
          <t>DD-V-144-035</t>
        </is>
      </c>
      <c r="C80" s="128" t="n">
        <v>0.3</v>
      </c>
      <c r="D80" s="1">
        <f>C80*9</f>
        <v/>
      </c>
      <c r="E80" s="33" t="n"/>
      <c r="F80" s="33">
        <f>D80*12</f>
        <v/>
      </c>
      <c r="H80" s="33" t="n"/>
      <c r="J80" s="33">
        <f>D80*35</f>
        <v/>
      </c>
    </row>
    <row r="81">
      <c r="A81" s="141" t="n"/>
      <c r="B81" s="105" t="inlineStr">
        <is>
          <t>DD-V-223-019</t>
        </is>
      </c>
      <c r="C81" s="128" t="n">
        <v>0.3</v>
      </c>
      <c r="D81" s="1">
        <f>C81*9</f>
        <v/>
      </c>
      <c r="E81" s="33" t="n"/>
      <c r="F81" s="33" t="n"/>
      <c r="G81" s="33">
        <f>D81*15</f>
        <v/>
      </c>
      <c r="H81" s="33" t="n"/>
      <c r="J81" s="33">
        <f>D81*35</f>
        <v/>
      </c>
    </row>
    <row r="82">
      <c r="A82" s="141" t="n"/>
      <c r="B82" s="105" t="inlineStr">
        <is>
          <t>DD-V-229-009</t>
        </is>
      </c>
      <c r="C82" s="128" t="n">
        <v>0.3</v>
      </c>
      <c r="D82" s="1">
        <f>C82*9</f>
        <v/>
      </c>
      <c r="E82" s="33" t="n"/>
      <c r="F82" s="33">
        <f>D82*12</f>
        <v/>
      </c>
      <c r="H82" s="33" t="n"/>
      <c r="J82" s="33">
        <f>D82*35</f>
        <v/>
      </c>
    </row>
    <row r="83">
      <c r="A83" s="141" t="n"/>
      <c r="B83" s="105" t="inlineStr">
        <is>
          <t>DD-V-209-004</t>
        </is>
      </c>
      <c r="C83" s="128" t="n">
        <v>0.3</v>
      </c>
      <c r="D83" s="1">
        <f>C83*9</f>
        <v/>
      </c>
      <c r="F83" s="33">
        <f>D83*12</f>
        <v/>
      </c>
      <c r="J83" s="33">
        <f>D83*35</f>
        <v/>
      </c>
    </row>
    <row r="84">
      <c r="A84" s="122" t="n"/>
      <c r="B84" s="105" t="inlineStr">
        <is>
          <t>DD-V-034-036</t>
        </is>
      </c>
      <c r="C84" s="128" t="n">
        <v>0.3</v>
      </c>
      <c r="D84" s="1">
        <f>C84*9</f>
        <v/>
      </c>
      <c r="F84" s="33">
        <f>D84*12</f>
        <v/>
      </c>
      <c r="J84" s="33">
        <f>D84*35</f>
        <v/>
      </c>
    </row>
    <row r="85">
      <c r="A85" s="122" t="n"/>
      <c r="B85" s="105" t="inlineStr">
        <is>
          <t>DD-V-034-037</t>
        </is>
      </c>
      <c r="C85" s="128" t="n">
        <v>0.3</v>
      </c>
      <c r="D85" s="1">
        <f>C85*9</f>
        <v/>
      </c>
      <c r="F85" s="33">
        <f>D85*12</f>
        <v/>
      </c>
      <c r="J85" s="33">
        <f>D85*35</f>
        <v/>
      </c>
    </row>
    <row r="86">
      <c r="A86" s="122" t="n"/>
      <c r="B86" s="145" t="inlineStr">
        <is>
          <t>DD-V-034-038</t>
        </is>
      </c>
      <c r="C86" s="128" t="n">
        <v>0.3</v>
      </c>
      <c r="D86" s="1">
        <f>C86*9</f>
        <v/>
      </c>
      <c r="F86" s="33">
        <f>D86*12</f>
        <v/>
      </c>
      <c r="J86" s="33">
        <f>D86*35</f>
        <v/>
      </c>
    </row>
    <row r="87">
      <c r="A87" s="122" t="n"/>
      <c r="B87" s="105" t="inlineStr">
        <is>
          <t>DD-V-056-011</t>
        </is>
      </c>
      <c r="C87" s="128" t="n">
        <v>0.3</v>
      </c>
      <c r="D87" s="1">
        <f>C87*9</f>
        <v/>
      </c>
      <c r="E87" s="33">
        <f>D87*15</f>
        <v/>
      </c>
      <c r="J87" s="33">
        <f>D87*35</f>
        <v/>
      </c>
    </row>
    <row r="88">
      <c r="A88" s="122" t="n"/>
      <c r="B88" s="105" t="inlineStr">
        <is>
          <t>DD-V-056-012</t>
        </is>
      </c>
      <c r="C88" s="128" t="n">
        <v>0.3</v>
      </c>
      <c r="D88" s="1">
        <f>C88*9</f>
        <v/>
      </c>
      <c r="E88" s="33">
        <f>D88*15</f>
        <v/>
      </c>
      <c r="J88" s="33">
        <f>D88*35</f>
        <v/>
      </c>
    </row>
    <row r="89">
      <c r="A89" s="122" t="n"/>
      <c r="B89" s="145" t="inlineStr">
        <is>
          <t>DD-V-056-013</t>
        </is>
      </c>
      <c r="C89" s="128" t="n">
        <v>0.3</v>
      </c>
      <c r="D89" s="1">
        <f>C89*9</f>
        <v/>
      </c>
      <c r="E89" s="33">
        <f>D89*15</f>
        <v/>
      </c>
      <c r="J89" s="33">
        <f>D89*35</f>
        <v/>
      </c>
    </row>
    <row r="90">
      <c r="A90" s="146" t="n"/>
      <c r="B90" s="145" t="inlineStr">
        <is>
          <t>DD-V-093-004</t>
        </is>
      </c>
      <c r="C90" s="128" t="n">
        <v>0.3</v>
      </c>
      <c r="D90" s="1">
        <f>C90*9</f>
        <v/>
      </c>
      <c r="H90" s="33">
        <f>D90*12</f>
        <v/>
      </c>
      <c r="J90" s="33">
        <f>D90*35</f>
        <v/>
      </c>
    </row>
    <row r="91">
      <c r="A91" s="122" t="n"/>
      <c r="B91" s="105" t="inlineStr">
        <is>
          <t>DD-V-144-036</t>
        </is>
      </c>
      <c r="C91" s="128" t="n">
        <v>0.3</v>
      </c>
      <c r="D91" s="1">
        <f>C91*9</f>
        <v/>
      </c>
      <c r="F91" s="33">
        <f>D91*12</f>
        <v/>
      </c>
      <c r="J91" s="33">
        <f>D91*35</f>
        <v/>
      </c>
    </row>
    <row r="92">
      <c r="A92" s="122" t="n"/>
      <c r="B92" s="145" t="inlineStr">
        <is>
          <t>DD-V-144-037</t>
        </is>
      </c>
      <c r="C92" s="128" t="n">
        <v>0.3</v>
      </c>
      <c r="D92" s="1">
        <f>C92*9</f>
        <v/>
      </c>
      <c r="F92" s="33">
        <f>D92*12</f>
        <v/>
      </c>
      <c r="J92" s="33">
        <f>D92*35</f>
        <v/>
      </c>
    </row>
    <row r="93">
      <c r="A93" s="152" t="n"/>
      <c r="B93" s="105" t="inlineStr">
        <is>
          <t>DD-V-223-020</t>
        </is>
      </c>
      <c r="C93" s="128" t="n">
        <v>0.3</v>
      </c>
      <c r="D93" s="1">
        <f>C93*9</f>
        <v/>
      </c>
      <c r="F93" s="33">
        <f>D93*12</f>
        <v/>
      </c>
      <c r="J93" s="33">
        <f>D93*35</f>
        <v/>
      </c>
    </row>
    <row r="94">
      <c r="A94" s="122" t="n"/>
      <c r="B94" s="105" t="inlineStr">
        <is>
          <t>DD-V-223-021</t>
        </is>
      </c>
      <c r="C94" s="128" t="n">
        <v>0.3</v>
      </c>
      <c r="D94" s="1">
        <f>C94*9</f>
        <v/>
      </c>
      <c r="F94" s="33">
        <f>D94*12</f>
        <v/>
      </c>
      <c r="J94" s="33">
        <f>D94*35</f>
        <v/>
      </c>
    </row>
    <row r="95">
      <c r="A95" s="122" t="n"/>
      <c r="B95" s="145" t="inlineStr">
        <is>
          <t>DD-V-223-022</t>
        </is>
      </c>
      <c r="C95" s="128" t="n">
        <v>0.3</v>
      </c>
      <c r="D95" s="1">
        <f>C95*9</f>
        <v/>
      </c>
      <c r="F95" s="33">
        <f>D95*12</f>
        <v/>
      </c>
      <c r="J95" s="33">
        <f>D95*35</f>
        <v/>
      </c>
    </row>
    <row r="96">
      <c r="A96" s="146" t="n"/>
      <c r="B96" s="145" t="inlineStr">
        <is>
          <t>DD-V-229-010</t>
        </is>
      </c>
      <c r="C96" s="128" t="n">
        <v>0.3</v>
      </c>
      <c r="D96" s="1">
        <f>C96*9</f>
        <v/>
      </c>
      <c r="F96" s="33">
        <f>D96*12</f>
        <v/>
      </c>
      <c r="J96" s="33">
        <f>D96*35</f>
        <v/>
      </c>
    </row>
    <row r="97">
      <c r="A97" s="122" t="n"/>
      <c r="B97" s="105" t="inlineStr">
        <is>
          <t>DD-V-229-011</t>
        </is>
      </c>
      <c r="C97" s="128" t="n">
        <v>0.3</v>
      </c>
      <c r="D97" s="1">
        <f>C97*9</f>
        <v/>
      </c>
      <c r="F97" s="33">
        <f>D97*12</f>
        <v/>
      </c>
      <c r="J97" s="33">
        <f>D97*35</f>
        <v/>
      </c>
    </row>
    <row r="98">
      <c r="A98" s="122" t="n"/>
      <c r="B98" s="105" t="inlineStr">
        <is>
          <t>DD-V-229-012</t>
        </is>
      </c>
      <c r="C98" s="128" t="n">
        <v>0.3</v>
      </c>
      <c r="D98" s="1">
        <f>C98*9</f>
        <v/>
      </c>
      <c r="F98" s="33">
        <f>D98*12</f>
        <v/>
      </c>
      <c r="J98" s="33">
        <f>D98*35</f>
        <v/>
      </c>
      <c r="L98" s="33" t="n"/>
    </row>
    <row r="99">
      <c r="A99" s="146" t="n"/>
      <c r="B99" s="145" t="inlineStr">
        <is>
          <t>DD-V-229-013</t>
        </is>
      </c>
      <c r="C99" s="128" t="n">
        <v>0.3</v>
      </c>
      <c r="D99" s="1">
        <f>C99*9</f>
        <v/>
      </c>
      <c r="H99" s="33">
        <f>D99*12</f>
        <v/>
      </c>
      <c r="J99" s="33">
        <f>D99*35</f>
        <v/>
      </c>
    </row>
    <row r="100">
      <c r="A100" s="139" t="n"/>
      <c r="B100" s="105" t="inlineStr">
        <is>
          <t>DD-V-049-055</t>
        </is>
      </c>
      <c r="C100" s="128" t="n">
        <v>0.6</v>
      </c>
      <c r="D100" s="1">
        <f>C100*9</f>
        <v/>
      </c>
      <c r="E100" s="33">
        <f>D100*15</f>
        <v/>
      </c>
      <c r="J100" s="33">
        <f>D100*35</f>
        <v/>
      </c>
      <c r="K100" s="148" t="n"/>
    </row>
    <row r="101">
      <c r="A101" s="152" t="n"/>
      <c r="B101" s="105" t="inlineStr">
        <is>
          <t>DD-V-049-056</t>
        </is>
      </c>
      <c r="C101" s="128" t="n">
        <v>0.3</v>
      </c>
      <c r="D101" s="1">
        <f>C101*9</f>
        <v/>
      </c>
      <c r="F101" s="33">
        <f>D101*12</f>
        <v/>
      </c>
      <c r="J101" s="33">
        <f>D101*35</f>
        <v/>
      </c>
      <c r="K101" s="148" t="n"/>
    </row>
    <row r="102">
      <c r="A102" s="122" t="n"/>
      <c r="B102" s="105" t="inlineStr">
        <is>
          <t>DD-V-105-010</t>
        </is>
      </c>
      <c r="C102" s="128" t="n">
        <v>0.3</v>
      </c>
      <c r="D102" s="1">
        <f>C102*9</f>
        <v/>
      </c>
      <c r="F102" s="33">
        <f>D102*12</f>
        <v/>
      </c>
      <c r="J102" s="33">
        <f>D102*35</f>
        <v/>
      </c>
      <c r="K102" s="148" t="n"/>
    </row>
    <row r="103">
      <c r="A103" s="146" t="n"/>
      <c r="B103" s="105" t="inlineStr">
        <is>
          <t>DD-V-105-011</t>
        </is>
      </c>
      <c r="C103" s="128" t="n">
        <v>0.3</v>
      </c>
      <c r="D103" s="1">
        <f>C103*9</f>
        <v/>
      </c>
      <c r="F103" s="33">
        <f>D103*12</f>
        <v/>
      </c>
      <c r="J103" s="33">
        <f>D103*35</f>
        <v/>
      </c>
      <c r="K103" s="148" t="n"/>
    </row>
    <row r="104">
      <c r="A104" s="139" t="n"/>
      <c r="B104" s="105" t="inlineStr">
        <is>
          <t>DD-V-116-028</t>
        </is>
      </c>
      <c r="C104" s="128" t="n">
        <v>0.3</v>
      </c>
      <c r="D104" s="1">
        <f>C104*9</f>
        <v/>
      </c>
      <c r="F104" s="33">
        <f>D104*12</f>
        <v/>
      </c>
      <c r="J104" s="33">
        <f>D104*35</f>
        <v/>
      </c>
      <c r="K104" s="148" t="n"/>
    </row>
    <row r="105">
      <c r="A105" s="139" t="n"/>
      <c r="B105" s="105" t="inlineStr">
        <is>
          <t>DD-V-137-047</t>
        </is>
      </c>
      <c r="C105" s="128" t="n">
        <v>0.3</v>
      </c>
      <c r="D105" s="1">
        <f>C105*9</f>
        <v/>
      </c>
      <c r="H105" s="33">
        <f>D105*12</f>
        <v/>
      </c>
      <c r="J105" s="33">
        <f>D105*35</f>
        <v/>
      </c>
      <c r="K105" s="148" t="n"/>
    </row>
    <row r="106">
      <c r="A106" s="139" t="n"/>
      <c r="B106" s="105" t="inlineStr">
        <is>
          <t>DD-V-223-023</t>
        </is>
      </c>
      <c r="C106" s="128" t="n">
        <v>0.6</v>
      </c>
      <c r="D106" s="1">
        <f>C106*9</f>
        <v/>
      </c>
      <c r="H106" s="33">
        <f>D106*12</f>
        <v/>
      </c>
      <c r="J106" s="33">
        <f>D106*35</f>
        <v/>
      </c>
      <c r="K106" s="148" t="n"/>
    </row>
    <row r="107">
      <c r="A107" s="139" t="n"/>
      <c r="B107" s="105" t="inlineStr">
        <is>
          <t>DD-V-257-003</t>
        </is>
      </c>
      <c r="C107" s="128" t="n">
        <v>0.3</v>
      </c>
      <c r="D107" s="1">
        <f>C107*9</f>
        <v/>
      </c>
      <c r="E107" s="33">
        <f>D107*15</f>
        <v/>
      </c>
      <c r="J107" s="33">
        <f>D107*35</f>
        <v/>
      </c>
    </row>
    <row r="108">
      <c r="A108" s="146" t="n"/>
      <c r="B108" s="105" t="inlineStr">
        <is>
          <t>DD-V-049-057</t>
        </is>
      </c>
      <c r="C108" s="128" t="n">
        <v>0.3</v>
      </c>
      <c r="D108" s="1">
        <f>C108*9</f>
        <v/>
      </c>
      <c r="F108" s="33">
        <f>D108*12</f>
        <v/>
      </c>
      <c r="J108" s="33">
        <f>D108*35</f>
        <v/>
      </c>
    </row>
    <row r="109">
      <c r="A109" s="146" t="n"/>
      <c r="B109" s="105" t="inlineStr">
        <is>
          <t>DD-V-049-058</t>
        </is>
      </c>
      <c r="C109" s="128" t="n">
        <v>0.3</v>
      </c>
      <c r="D109" s="1">
        <f>C109*9</f>
        <v/>
      </c>
      <c r="F109" s="33">
        <f>D109*12</f>
        <v/>
      </c>
      <c r="J109" s="33">
        <f>D109*35</f>
        <v/>
      </c>
    </row>
    <row r="110">
      <c r="A110" s="146" t="n"/>
      <c r="B110" s="105" t="inlineStr">
        <is>
          <t>DD-V-078-057</t>
        </is>
      </c>
      <c r="C110" s="128" t="n">
        <v>0.3</v>
      </c>
      <c r="D110" s="1">
        <f>C110*9</f>
        <v/>
      </c>
      <c r="F110" s="33">
        <f>D110*12</f>
        <v/>
      </c>
      <c r="J110" s="33">
        <f>D110*35</f>
        <v/>
      </c>
    </row>
    <row r="111">
      <c r="A111" s="146" t="n"/>
      <c r="B111" s="105" t="inlineStr">
        <is>
          <t>DD-V-034-039</t>
        </is>
      </c>
      <c r="C111" s="128" t="n">
        <v>0.3</v>
      </c>
      <c r="D111" s="1">
        <f>C111*9</f>
        <v/>
      </c>
      <c r="F111" s="33">
        <f>D111*12</f>
        <v/>
      </c>
      <c r="J111" s="33">
        <f>D111*35</f>
        <v/>
      </c>
    </row>
    <row r="112">
      <c r="A112" s="146" t="n"/>
      <c r="B112" s="105" t="inlineStr">
        <is>
          <t>DD-V-223-025</t>
        </is>
      </c>
      <c r="C112" s="128" t="n">
        <v>0.3</v>
      </c>
      <c r="D112" s="1">
        <f>C112*9</f>
        <v/>
      </c>
      <c r="E112" s="33">
        <f>D112*15</f>
        <v/>
      </c>
      <c r="J112" s="33">
        <f>D112*35</f>
        <v/>
      </c>
    </row>
    <row r="113">
      <c r="A113" s="146" t="n"/>
      <c r="B113" s="105" t="inlineStr">
        <is>
          <t>DD-V-223-026</t>
        </is>
      </c>
      <c r="C113" s="128" t="n">
        <v>0.3</v>
      </c>
      <c r="D113" s="1">
        <f>C113*9</f>
        <v/>
      </c>
      <c r="E113" s="33">
        <f>D113*15</f>
        <v/>
      </c>
      <c r="J113" s="33">
        <f>D113*35</f>
        <v/>
      </c>
    </row>
    <row r="114">
      <c r="A114" s="146" t="n"/>
      <c r="B114" s="105" t="inlineStr">
        <is>
          <t>DD-H-155-001</t>
        </is>
      </c>
      <c r="C114" s="149" t="n">
        <v>0.5</v>
      </c>
      <c r="D114" s="1">
        <f>C114*9</f>
        <v/>
      </c>
      <c r="G114" s="33">
        <f>D114*15</f>
        <v/>
      </c>
      <c r="J114" s="33">
        <f>D114*35</f>
        <v/>
      </c>
    </row>
    <row r="115">
      <c r="A115" s="146" t="n"/>
      <c r="B115" s="105" t="inlineStr">
        <is>
          <t>DD-V-137-048</t>
        </is>
      </c>
      <c r="C115" s="128" t="n">
        <v>0.3</v>
      </c>
      <c r="D115" s="1">
        <f>C115*9</f>
        <v/>
      </c>
      <c r="E115" s="33">
        <f>D115*15</f>
        <v/>
      </c>
      <c r="F115" s="33" t="n"/>
      <c r="H115" s="33" t="n"/>
      <c r="J115" s="33">
        <f>D115*35</f>
        <v/>
      </c>
    </row>
    <row r="116">
      <c r="A116" s="153" t="n"/>
      <c r="B116" s="105" t="inlineStr">
        <is>
          <t>DD-V-223-001</t>
        </is>
      </c>
      <c r="C116" s="128" t="n">
        <v>1</v>
      </c>
      <c r="D116" s="1">
        <f>C116*9</f>
        <v/>
      </c>
      <c r="E116" s="33" t="n"/>
      <c r="F116" s="33" t="n"/>
      <c r="G116" s="33">
        <f>D116*15</f>
        <v/>
      </c>
      <c r="H116" s="33" t="n"/>
      <c r="J116" s="33">
        <f>D116*35</f>
        <v/>
      </c>
    </row>
    <row r="117">
      <c r="A117" s="102" t="n"/>
      <c r="B117" s="105" t="inlineStr">
        <is>
          <t>DD-V-116-001</t>
        </is>
      </c>
      <c r="C117" s="149" t="n">
        <v>0.5</v>
      </c>
      <c r="D117" s="1">
        <f>C117*9</f>
        <v/>
      </c>
      <c r="E117" s="33" t="n"/>
      <c r="F117" s="33" t="n"/>
      <c r="H117" s="33">
        <f>D117*12</f>
        <v/>
      </c>
      <c r="J117" s="33">
        <f>D117*35</f>
        <v/>
      </c>
    </row>
    <row r="118">
      <c r="A118" s="102" t="n"/>
      <c r="B118" s="105" t="inlineStr">
        <is>
          <t>DD-V-137-001</t>
        </is>
      </c>
      <c r="C118" s="149" t="n">
        <v>0.5</v>
      </c>
      <c r="D118" s="1">
        <f>C118*9</f>
        <v/>
      </c>
      <c r="E118" s="33" t="n"/>
      <c r="F118" s="33" t="n"/>
      <c r="H118" s="33">
        <f>D118*12</f>
        <v/>
      </c>
      <c r="J118" s="33">
        <f>D118*35</f>
        <v/>
      </c>
    </row>
    <row r="119">
      <c r="A119" s="102" t="n"/>
      <c r="B119" s="105" t="inlineStr">
        <is>
          <t>DD-V-126-001</t>
        </is>
      </c>
      <c r="C119" s="149" t="n">
        <v>0.5</v>
      </c>
      <c r="D119" s="1">
        <f>C119*9</f>
        <v/>
      </c>
      <c r="E119" s="33">
        <f>D119*15</f>
        <v/>
      </c>
      <c r="F119" s="33" t="n"/>
      <c r="H119" s="33" t="n"/>
      <c r="J119" s="33">
        <f>D119*35</f>
        <v/>
      </c>
      <c r="K119" s="154" t="inlineStr">
        <is>
          <t>DX</t>
        </is>
      </c>
      <c r="L119" s="33">
        <f>SUM(J6:J60)</f>
        <v/>
      </c>
      <c r="M119" s="1">
        <f>SUM(D6:D60)</f>
        <v/>
      </c>
    </row>
    <row r="120">
      <c r="A120" s="102" t="n"/>
      <c r="B120" s="105" t="inlineStr">
        <is>
          <t>DD-V-078-001</t>
        </is>
      </c>
      <c r="C120" s="149" t="n">
        <v>0.5</v>
      </c>
      <c r="D120" s="1">
        <f>C120*9</f>
        <v/>
      </c>
      <c r="E120" s="33">
        <f>D120*15</f>
        <v/>
      </c>
      <c r="F120" s="33" t="n"/>
      <c r="H120" s="33" t="n"/>
      <c r="J120" s="33">
        <f>D120*35</f>
        <v/>
      </c>
      <c r="K120" s="154" t="inlineStr">
        <is>
          <t>DD</t>
        </is>
      </c>
      <c r="L120" s="33">
        <f>SUM(J64:J120)</f>
        <v/>
      </c>
      <c r="M120" s="1">
        <f>SUM(D64:D120)</f>
        <v/>
      </c>
    </row>
    <row r="121">
      <c r="B121" s="105" t="n"/>
      <c r="C121" s="128" t="n"/>
      <c r="E121" s="33" t="n"/>
      <c r="F121" s="33" t="n"/>
      <c r="H121" s="33" t="n"/>
      <c r="J121" s="33" t="n"/>
    </row>
    <row r="122">
      <c r="B122" s="1" t="n"/>
      <c r="P122" s="4" t="n"/>
      <c r="Q122" s="4" t="n"/>
      <c r="R122" s="4" t="n"/>
    </row>
    <row r="123">
      <c r="A123" s="118" t="inlineStr">
        <is>
          <t>total</t>
        </is>
      </c>
      <c r="B123" s="57" t="n"/>
      <c r="C123" s="11">
        <f>SUM(C6:C122)</f>
        <v/>
      </c>
      <c r="D123" s="11">
        <f>SUM(D6:D122)</f>
        <v/>
      </c>
      <c r="E123" s="59">
        <f>SUM(E6:E122)</f>
        <v/>
      </c>
      <c r="F123" s="59">
        <f>SUM(F6:F122)</f>
        <v/>
      </c>
      <c r="G123" s="59">
        <f>SUM(G6:G122)</f>
        <v/>
      </c>
      <c r="H123" s="59">
        <f>SUM(H6:H122)</f>
        <v/>
      </c>
      <c r="I123" s="59">
        <f>SUM(E123:H123)</f>
        <v/>
      </c>
      <c r="J123" s="60">
        <f>SUM(J6:J122)</f>
        <v/>
      </c>
      <c r="K123" s="39" t="n"/>
      <c r="L123" s="29" t="inlineStr">
        <is>
          <t>UAH</t>
        </is>
      </c>
      <c r="M123" s="16" t="inlineStr">
        <is>
          <t>USD</t>
        </is>
      </c>
    </row>
    <row r="124">
      <c r="E124" s="142">
        <f>E123*40</f>
        <v/>
      </c>
      <c r="F124" s="142">
        <f>F123*40</f>
        <v/>
      </c>
      <c r="G124" s="142">
        <f>G123*40</f>
        <v/>
      </c>
      <c r="H124" s="142">
        <f>H123*40</f>
        <v/>
      </c>
      <c r="I124" s="142">
        <f>I123*40</f>
        <v/>
      </c>
      <c r="J124" s="142">
        <f>J123*40</f>
        <v/>
      </c>
      <c r="K124" s="5" t="inlineStr">
        <is>
          <t>CLIENT IN</t>
        </is>
      </c>
      <c r="L124" s="7">
        <f>M124*40</f>
        <v/>
      </c>
      <c r="M124" s="8">
        <f>J123</f>
        <v/>
      </c>
      <c r="R124" s="4" t="n"/>
    </row>
    <row r="125">
      <c r="E125" s="7" t="n"/>
      <c r="F125" s="7" t="n"/>
      <c r="G125" s="7" t="n"/>
      <c r="H125" s="7" t="n"/>
      <c r="I125" s="7" t="n"/>
      <c r="J125" s="7" t="n"/>
      <c r="K125" s="5" t="inlineStr">
        <is>
          <t>STUDIO (TAX)</t>
        </is>
      </c>
      <c r="L125" s="7">
        <f>M125*40</f>
        <v/>
      </c>
      <c r="M125" s="8">
        <f>M124-M124*0.05</f>
        <v/>
      </c>
    </row>
    <row r="126">
      <c r="B126" s="1" t="n"/>
      <c r="E126" s="21" t="n"/>
      <c r="F126" s="21" t="n"/>
      <c r="G126" s="21" t="n"/>
      <c r="H126" s="21" t="n"/>
      <c r="I126" s="21" t="n"/>
      <c r="J126" s="21" t="n"/>
      <c r="K126" s="5" t="inlineStr">
        <is>
          <t>EMPL</t>
        </is>
      </c>
      <c r="L126" s="7">
        <f>M126*40</f>
        <v/>
      </c>
      <c r="M126" s="8">
        <f>I123</f>
        <v/>
      </c>
    </row>
    <row r="127">
      <c r="B127" s="1" t="n"/>
      <c r="E127" s="21" t="n"/>
      <c r="F127" s="21" t="n"/>
      <c r="G127" s="21" t="n"/>
      <c r="H127" s="21" t="n"/>
      <c r="I127" s="21" t="n"/>
      <c r="J127" s="21" t="n"/>
      <c r="K127" s="37" t="inlineStr">
        <is>
          <t>STUDIO</t>
        </is>
      </c>
      <c r="L127" s="7">
        <f>M127*40</f>
        <v/>
      </c>
      <c r="M127" s="8">
        <f>M125-M126</f>
        <v/>
      </c>
    </row>
    <row r="128">
      <c r="B128" s="1" t="n"/>
    </row>
    <row r="129">
      <c r="B129" s="1" t="n"/>
    </row>
    <row r="130">
      <c r="B130" s="1" t="n"/>
    </row>
    <row r="131">
      <c r="B131" s="1" t="n"/>
    </row>
    <row r="132">
      <c r="B132" s="1" t="n"/>
    </row>
    <row r="133">
      <c r="B133" s="1" t="n"/>
    </row>
    <row r="134">
      <c r="B134" s="1" t="n"/>
    </row>
    <row r="135">
      <c r="B135" s="1" t="n"/>
    </row>
    <row r="136">
      <c r="B136" s="1" t="n"/>
    </row>
    <row r="137">
      <c r="B137" s="1" t="n"/>
    </row>
    <row r="138">
      <c r="B138" s="1" t="n"/>
    </row>
    <row r="139">
      <c r="B139" s="1" t="n"/>
    </row>
    <row r="140">
      <c r="B140" s="1" t="n"/>
    </row>
    <row r="141">
      <c r="B141" s="1" t="n"/>
    </row>
    <row r="142">
      <c r="B142" s="1" t="n"/>
    </row>
    <row r="143">
      <c r="B143" s="1" t="n"/>
    </row>
    <row r="144">
      <c r="B144" s="1" t="n"/>
    </row>
    <row r="145">
      <c r="B145" s="1" t="n"/>
    </row>
  </sheetData>
  <pageMargins left="0.7" right="0.7" top="0.75" bottom="0.75" header="0.3" footer="0.3"/>
  <pageSetup orientation="portrait" paperSize="9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6"/>
  <sheetViews>
    <sheetView zoomScaleNormal="100" workbookViewId="0">
      <pane ySplit="2" topLeftCell="A51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10.33203125" customWidth="1" style="1" min="5" max="5"/>
    <col width="10.83203125" customWidth="1" style="1" min="6" max="8"/>
    <col width="11.1640625" customWidth="1" style="1" min="9" max="9"/>
    <col width="10.6640625" customWidth="1" style="1" min="10" max="10"/>
    <col width="14.33203125" customWidth="1" style="1" min="11" max="11"/>
    <col width="12.33203125" customWidth="1" style="1" min="12" max="12"/>
    <col width="14" bestFit="1" customWidth="1" style="1" min="13" max="13"/>
    <col width="12.5" bestFit="1" customWidth="1" style="1" min="14" max="14"/>
    <col width="13" customWidth="1" style="1" min="15" max="15"/>
    <col width="10.83203125" customWidth="1" style="1" min="16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</row>
    <row r="2">
      <c r="B2" s="175" t="inlineStr">
        <is>
          <t>2025 PROJECT NAME</t>
        </is>
      </c>
      <c r="E2" s="41" t="inlineStr">
        <is>
          <t>Настя</t>
        </is>
      </c>
      <c r="F2" s="119" t="inlineStr">
        <is>
          <t>Маша</t>
        </is>
      </c>
      <c r="G2" s="38" t="inlineStr">
        <is>
          <t>Сергій</t>
        </is>
      </c>
      <c r="H2" s="109" t="inlineStr">
        <is>
          <t>Андрій</t>
        </is>
      </c>
    </row>
    <row r="3">
      <c r="E3" s="38" t="n"/>
      <c r="F3" s="38" t="n"/>
      <c r="G3" s="38" t="n"/>
      <c r="H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98" t="inlineStr">
        <is>
          <t>EMPL 1</t>
        </is>
      </c>
      <c r="F5" s="110" t="inlineStr">
        <is>
          <t>EMPL 2</t>
        </is>
      </c>
      <c r="G5" s="110" t="inlineStr">
        <is>
          <t>EMPL 3</t>
        </is>
      </c>
      <c r="H5" s="98" t="inlineStr">
        <is>
          <t>EMPL 4</t>
        </is>
      </c>
      <c r="I5" s="31" t="inlineStr">
        <is>
          <t>Total EMPL</t>
        </is>
      </c>
      <c r="J5" s="39" t="inlineStr">
        <is>
          <t>STUDIO</t>
        </is>
      </c>
    </row>
    <row r="6">
      <c r="A6" s="122" t="n"/>
      <c r="B6" s="105" t="inlineStr">
        <is>
          <t>DX-V-060-054</t>
        </is>
      </c>
      <c r="C6" s="128" t="n">
        <v>0.3</v>
      </c>
      <c r="D6" s="1">
        <f>C6*9</f>
        <v/>
      </c>
      <c r="E6" s="33" t="n"/>
      <c r="F6" s="33">
        <f>D6*12</f>
        <v/>
      </c>
      <c r="G6" s="33" t="n"/>
      <c r="H6" s="33" t="n"/>
      <c r="J6" s="33">
        <f>D6*35</f>
        <v/>
      </c>
      <c r="O6" s="33" t="n"/>
    </row>
    <row r="7">
      <c r="A7" s="122" t="n"/>
      <c r="B7" s="105" t="inlineStr">
        <is>
          <t>DX-V-060-055</t>
        </is>
      </c>
      <c r="C7" s="128" t="n">
        <v>0.3</v>
      </c>
      <c r="D7" s="1">
        <f>C7*9</f>
        <v/>
      </c>
      <c r="E7" s="33" t="n"/>
      <c r="F7" s="33">
        <f>D7*12</f>
        <v/>
      </c>
      <c r="G7" s="33" t="n"/>
      <c r="H7" s="33" t="n"/>
      <c r="J7" s="33">
        <f>D7*35</f>
        <v/>
      </c>
      <c r="O7" s="33" t="n"/>
    </row>
    <row r="8">
      <c r="A8" s="122" t="n"/>
      <c r="B8" s="105" t="inlineStr">
        <is>
          <t>DX-V-026-011</t>
        </is>
      </c>
      <c r="C8" s="128" t="n">
        <v>0.3</v>
      </c>
      <c r="D8" s="1">
        <f>C8*9</f>
        <v/>
      </c>
      <c r="F8" s="33">
        <f>D8*12</f>
        <v/>
      </c>
      <c r="G8" s="33" t="n"/>
      <c r="H8" s="33" t="n"/>
      <c r="J8" s="33">
        <f>D8*35</f>
        <v/>
      </c>
      <c r="O8" s="33" t="n"/>
    </row>
    <row r="9">
      <c r="A9" s="122" t="n"/>
      <c r="B9" s="105" t="inlineStr">
        <is>
          <t>DX-V-015-027</t>
        </is>
      </c>
      <c r="C9" s="128" t="n">
        <v>0.3</v>
      </c>
      <c r="D9" s="1">
        <f>C9*9</f>
        <v/>
      </c>
      <c r="F9" s="33">
        <f>D9*12</f>
        <v/>
      </c>
      <c r="G9" s="33" t="n"/>
      <c r="H9" s="33" t="n"/>
      <c r="J9" s="33">
        <f>D9*35</f>
        <v/>
      </c>
      <c r="O9" s="33" t="n"/>
    </row>
    <row r="10">
      <c r="A10" s="122" t="n"/>
      <c r="B10" s="105" t="inlineStr">
        <is>
          <t>DX-V-084-001</t>
        </is>
      </c>
      <c r="C10" s="128" t="n">
        <v>0.3</v>
      </c>
      <c r="D10" s="1">
        <f>C10*9</f>
        <v/>
      </c>
      <c r="E10" s="33">
        <f>D10*15</f>
        <v/>
      </c>
      <c r="F10" s="33" t="n"/>
      <c r="G10" s="33" t="n"/>
      <c r="H10" s="33" t="n"/>
      <c r="J10" s="33">
        <f>D10*35</f>
        <v/>
      </c>
      <c r="O10" s="33" t="n"/>
    </row>
    <row r="11">
      <c r="A11" s="122" t="n"/>
      <c r="B11" s="105" t="inlineStr">
        <is>
          <t>DX-V-088-004</t>
        </is>
      </c>
      <c r="C11" s="128" t="n">
        <v>0.3</v>
      </c>
      <c r="D11" s="1">
        <f>C11*9</f>
        <v/>
      </c>
      <c r="E11" s="33">
        <f>D11*15</f>
        <v/>
      </c>
      <c r="F11" s="33" t="n"/>
      <c r="G11" s="33" t="n"/>
      <c r="H11" s="33" t="n"/>
      <c r="J11" s="33">
        <f>D11*35</f>
        <v/>
      </c>
      <c r="O11" s="33" t="n"/>
    </row>
    <row r="12">
      <c r="A12" s="122" t="n"/>
      <c r="B12" s="105" t="inlineStr">
        <is>
          <t>DX-V-002-025</t>
        </is>
      </c>
      <c r="C12" s="128" t="n">
        <v>0.3</v>
      </c>
      <c r="D12" s="1">
        <f>C12*9</f>
        <v/>
      </c>
      <c r="E12" s="33">
        <f>D12*15</f>
        <v/>
      </c>
      <c r="F12" s="33" t="n"/>
      <c r="G12" s="33" t="n"/>
      <c r="H12" s="33" t="n"/>
      <c r="J12" s="33">
        <f>D12*35</f>
        <v/>
      </c>
      <c r="O12" s="33" t="n"/>
    </row>
    <row r="13">
      <c r="A13" s="122" t="n"/>
      <c r="B13" s="105" t="inlineStr">
        <is>
          <t>DX-V-032-020</t>
        </is>
      </c>
      <c r="C13" s="128" t="n">
        <v>0.3</v>
      </c>
      <c r="D13" s="1">
        <f>C13*9</f>
        <v/>
      </c>
      <c r="E13" s="33">
        <f>D13*15</f>
        <v/>
      </c>
      <c r="F13" s="33" t="n"/>
      <c r="G13" s="33" t="n"/>
      <c r="H13" s="33" t="n"/>
      <c r="J13" s="33">
        <f>D13*35</f>
        <v/>
      </c>
      <c r="O13" s="33" t="n"/>
    </row>
    <row r="14">
      <c r="A14" s="122" t="n"/>
      <c r="B14" s="105" t="inlineStr">
        <is>
          <t>DX-V-060-056</t>
        </is>
      </c>
      <c r="C14" s="128" t="n">
        <v>0.3</v>
      </c>
      <c r="D14" s="1">
        <f>C14*9</f>
        <v/>
      </c>
      <c r="F14" s="33">
        <f>D14*12</f>
        <v/>
      </c>
      <c r="G14" s="33" t="n"/>
      <c r="H14" s="33" t="n"/>
      <c r="J14" s="33">
        <f>D14*35</f>
        <v/>
      </c>
      <c r="O14" s="33" t="n"/>
    </row>
    <row r="15">
      <c r="A15" s="122" t="n"/>
      <c r="B15" s="105" t="inlineStr">
        <is>
          <t>DX-V-033-019</t>
        </is>
      </c>
      <c r="C15" s="128" t="n">
        <v>0.3</v>
      </c>
      <c r="D15" s="1">
        <f>C15*9</f>
        <v/>
      </c>
      <c r="E15" s="33">
        <f>D15*15</f>
        <v/>
      </c>
      <c r="G15" s="33" t="n"/>
      <c r="H15" s="33" t="n"/>
      <c r="J15" s="33">
        <f>D15*35</f>
        <v/>
      </c>
      <c r="O15" s="33" t="n"/>
    </row>
    <row r="16">
      <c r="A16" s="122" t="n"/>
      <c r="B16" s="105" t="inlineStr">
        <is>
          <t>DX-V-031-005</t>
        </is>
      </c>
      <c r="C16" s="128" t="n">
        <v>0.3</v>
      </c>
      <c r="D16" s="1">
        <f>C16*9</f>
        <v/>
      </c>
      <c r="E16" s="33" t="n"/>
      <c r="G16" s="33">
        <f>D16*15</f>
        <v/>
      </c>
      <c r="H16" s="33" t="n"/>
      <c r="J16" s="33">
        <f>D16*35</f>
        <v/>
      </c>
      <c r="M16" s="138" t="n"/>
      <c r="O16" s="33" t="n"/>
    </row>
    <row r="17">
      <c r="A17" s="122" t="n"/>
      <c r="B17" s="105" t="inlineStr">
        <is>
          <t>DX-V-033-020</t>
        </is>
      </c>
      <c r="C17" s="128" t="n">
        <v>0.3</v>
      </c>
      <c r="D17" s="1">
        <f>C17*9</f>
        <v/>
      </c>
      <c r="E17" s="33" t="n"/>
      <c r="F17" s="33">
        <f>D17*12</f>
        <v/>
      </c>
      <c r="G17" s="33" t="n"/>
      <c r="H17" s="33" t="n"/>
      <c r="J17" s="33">
        <f>D17*35</f>
        <v/>
      </c>
      <c r="M17" s="138" t="n"/>
      <c r="O17" s="33" t="n"/>
    </row>
    <row r="18">
      <c r="A18" s="139" t="n"/>
      <c r="B18" s="105" t="inlineStr">
        <is>
          <t>DX-V-087-005</t>
        </is>
      </c>
      <c r="C18" s="128" t="n">
        <v>0.3</v>
      </c>
      <c r="D18" s="1">
        <f>C18*9</f>
        <v/>
      </c>
      <c r="E18" s="33" t="n"/>
      <c r="F18" s="33">
        <f>D18*12</f>
        <v/>
      </c>
      <c r="G18" s="33" t="n"/>
      <c r="H18" s="33" t="n"/>
      <c r="J18" s="33">
        <f>D18*35</f>
        <v/>
      </c>
      <c r="M18" s="138" t="n"/>
      <c r="O18" s="33" t="n"/>
    </row>
    <row r="19">
      <c r="A19" s="139" t="n"/>
      <c r="B19" s="105" t="inlineStr">
        <is>
          <t>DX-V-060-060</t>
        </is>
      </c>
      <c r="C19" s="128" t="n">
        <v>0.3</v>
      </c>
      <c r="D19" s="1">
        <f>C19*9</f>
        <v/>
      </c>
      <c r="E19" s="33">
        <f>D19*15</f>
        <v/>
      </c>
      <c r="G19" s="33" t="n"/>
      <c r="H19" s="33" t="n"/>
      <c r="J19" s="33">
        <f>D19*35</f>
        <v/>
      </c>
      <c r="M19" s="138" t="n"/>
      <c r="O19" s="33" t="n"/>
    </row>
    <row r="20">
      <c r="A20" s="139" t="n"/>
      <c r="B20" s="105" t="inlineStr">
        <is>
          <t>DX-V-081-005</t>
        </is>
      </c>
      <c r="C20" s="128" t="n">
        <v>0.3</v>
      </c>
      <c r="D20" s="1">
        <f>C20*9</f>
        <v/>
      </c>
      <c r="E20" s="33">
        <f>D20*15</f>
        <v/>
      </c>
      <c r="G20" s="33" t="n"/>
      <c r="H20" s="33" t="n"/>
      <c r="J20" s="33">
        <f>D20*35</f>
        <v/>
      </c>
      <c r="M20" s="138" t="n"/>
      <c r="O20" s="33" t="n"/>
    </row>
    <row r="21">
      <c r="A21" s="139" t="n"/>
      <c r="B21" s="105" t="inlineStr">
        <is>
          <t>DX-V-017-016</t>
        </is>
      </c>
      <c r="C21" s="128" t="n">
        <v>0.3</v>
      </c>
      <c r="D21" s="1">
        <f>C21*9</f>
        <v/>
      </c>
      <c r="E21" s="33">
        <f>D21*15</f>
        <v/>
      </c>
      <c r="F21" s="33" t="n"/>
      <c r="G21" s="33" t="n"/>
      <c r="H21" s="33" t="n"/>
      <c r="J21" s="33">
        <f>D21*35</f>
        <v/>
      </c>
      <c r="O21" s="33" t="n"/>
    </row>
    <row r="22">
      <c r="A22" s="122" t="n"/>
      <c r="B22" s="113" t="inlineStr">
        <is>
          <t>DX-V-002-001</t>
        </is>
      </c>
      <c r="C22" s="128" t="n">
        <v>0.5</v>
      </c>
      <c r="D22" s="1">
        <f>C22*9</f>
        <v/>
      </c>
      <c r="E22" s="33">
        <f>D22*15</f>
        <v/>
      </c>
      <c r="F22" s="33" t="n"/>
      <c r="J22" s="33">
        <f>D22*35</f>
        <v/>
      </c>
      <c r="O22" s="33" t="n"/>
    </row>
    <row r="23">
      <c r="A23" s="122" t="n"/>
      <c r="B23" s="113" t="inlineStr">
        <is>
          <t>DX-V-007-002</t>
        </is>
      </c>
      <c r="C23" s="128" t="n">
        <v>0.5</v>
      </c>
      <c r="D23" s="1">
        <f>C23*9</f>
        <v/>
      </c>
      <c r="G23" s="33">
        <f>D23*15</f>
        <v/>
      </c>
      <c r="J23" s="33">
        <f>D23*35</f>
        <v/>
      </c>
      <c r="O23" s="33" t="n"/>
    </row>
    <row r="24">
      <c r="A24" s="122" t="n"/>
      <c r="B24" s="105" t="inlineStr">
        <is>
          <t>DX-V-088-005</t>
        </is>
      </c>
      <c r="C24" s="128" t="n">
        <v>0.3</v>
      </c>
      <c r="D24" s="1">
        <f>C24*9</f>
        <v/>
      </c>
      <c r="G24" s="33">
        <f>D24*15</f>
        <v/>
      </c>
      <c r="J24" s="33">
        <f>D24*35</f>
        <v/>
      </c>
      <c r="O24" s="33" t="n"/>
    </row>
    <row r="25">
      <c r="A25" s="122" t="n"/>
      <c r="B25" s="105" t="inlineStr">
        <is>
          <t>DX-V-088-006</t>
        </is>
      </c>
      <c r="C25" s="128" t="n">
        <v>0.3</v>
      </c>
      <c r="D25" s="1">
        <f>C25*9</f>
        <v/>
      </c>
      <c r="F25" s="33">
        <f>D25*12</f>
        <v/>
      </c>
      <c r="J25" s="33">
        <f>D25*35</f>
        <v/>
      </c>
      <c r="O25" s="33" t="n"/>
    </row>
    <row r="26">
      <c r="A26" s="122" t="n"/>
      <c r="B26" s="105" t="inlineStr">
        <is>
          <t>DX-V-088-007</t>
        </is>
      </c>
      <c r="C26" s="128" t="n">
        <v>0.3</v>
      </c>
      <c r="D26" s="1">
        <f>C26*9</f>
        <v/>
      </c>
      <c r="F26" s="33">
        <f>D26*12</f>
        <v/>
      </c>
      <c r="J26" s="33">
        <f>D26*35</f>
        <v/>
      </c>
      <c r="O26" s="33" t="n"/>
    </row>
    <row r="27">
      <c r="A27" s="122" t="n"/>
      <c r="B27" s="105" t="inlineStr">
        <is>
          <t>DX-V-084-002</t>
        </is>
      </c>
      <c r="C27" s="128" t="n">
        <v>0.3</v>
      </c>
      <c r="D27" s="1">
        <f>C27*9</f>
        <v/>
      </c>
      <c r="F27" s="33">
        <f>D27*12</f>
        <v/>
      </c>
      <c r="J27" s="33">
        <f>D27*35</f>
        <v/>
      </c>
      <c r="L27" s="105" t="n"/>
      <c r="O27" s="33" t="n"/>
    </row>
    <row r="28">
      <c r="A28" s="122" t="n"/>
      <c r="B28" s="105" t="inlineStr">
        <is>
          <t>DX-V-084-003</t>
        </is>
      </c>
      <c r="C28" s="128" t="n">
        <v>0.3</v>
      </c>
      <c r="D28" s="1">
        <f>C28*9</f>
        <v/>
      </c>
      <c r="F28" s="33">
        <f>D28*12</f>
        <v/>
      </c>
      <c r="J28" s="33">
        <f>D28*35</f>
        <v/>
      </c>
      <c r="O28" s="33" t="n"/>
    </row>
    <row r="29">
      <c r="A29" s="122" t="n"/>
      <c r="B29" s="105" t="inlineStr">
        <is>
          <t>DX-V-084-004</t>
        </is>
      </c>
      <c r="C29" s="128" t="n">
        <v>0.3</v>
      </c>
      <c r="D29" s="1">
        <f>C29*9</f>
        <v/>
      </c>
      <c r="F29" s="33">
        <f>D29*12</f>
        <v/>
      </c>
      <c r="J29" s="33">
        <f>D29*35</f>
        <v/>
      </c>
      <c r="L29" s="105" t="n"/>
      <c r="O29" s="33" t="n"/>
    </row>
    <row r="30">
      <c r="A30" s="122" t="n"/>
      <c r="B30" s="105" t="inlineStr">
        <is>
          <t>DX-V-084-005</t>
        </is>
      </c>
      <c r="C30" s="128" t="n">
        <v>0.3</v>
      </c>
      <c r="D30" s="1">
        <f>C30*9</f>
        <v/>
      </c>
      <c r="G30" s="33">
        <f>D30*15</f>
        <v/>
      </c>
      <c r="J30" s="33">
        <f>D30*35</f>
        <v/>
      </c>
      <c r="O30" s="33" t="n"/>
    </row>
    <row r="31">
      <c r="A31" s="122" t="n"/>
      <c r="B31" s="105" t="inlineStr">
        <is>
          <t>DX-V-073-003</t>
        </is>
      </c>
      <c r="C31" s="128" t="n">
        <v>0.3</v>
      </c>
      <c r="D31" s="1">
        <f>C31*9</f>
        <v/>
      </c>
      <c r="G31" s="33">
        <f>D31*15</f>
        <v/>
      </c>
      <c r="J31" s="33">
        <f>D31*35</f>
        <v/>
      </c>
      <c r="L31" s="105" t="n"/>
      <c r="O31" s="33" t="n"/>
    </row>
    <row r="32">
      <c r="A32" s="122" t="n"/>
      <c r="B32" s="105" t="inlineStr">
        <is>
          <t>DX-V-038-004</t>
        </is>
      </c>
      <c r="C32" s="128" t="n">
        <v>0.5</v>
      </c>
      <c r="D32" s="1">
        <f>C32*9</f>
        <v/>
      </c>
      <c r="E32" s="33">
        <f>D32*15</f>
        <v/>
      </c>
      <c r="J32" s="33">
        <f>D32*35</f>
        <v/>
      </c>
      <c r="O32" s="33" t="n"/>
    </row>
    <row r="33">
      <c r="A33" s="122" t="n"/>
      <c r="B33" s="105" t="inlineStr">
        <is>
          <t>DX-V-087-002</t>
        </is>
      </c>
      <c r="C33" s="128" t="n">
        <v>0.5</v>
      </c>
      <c r="D33" s="1">
        <f>C33*9</f>
        <v/>
      </c>
      <c r="E33" s="33">
        <f>D33*15</f>
        <v/>
      </c>
      <c r="J33" s="33">
        <f>D33*35</f>
        <v/>
      </c>
      <c r="L33" s="105" t="n"/>
      <c r="O33" s="33" t="n"/>
    </row>
    <row r="34">
      <c r="A34" s="122" t="n"/>
      <c r="B34" s="105" t="inlineStr">
        <is>
          <t>DX-V-065-001</t>
        </is>
      </c>
      <c r="C34" s="128" t="n">
        <v>0.5</v>
      </c>
      <c r="D34" s="1">
        <f>C34*9</f>
        <v/>
      </c>
      <c r="E34" s="33">
        <f>D34*15</f>
        <v/>
      </c>
      <c r="J34" s="33">
        <f>D34*35</f>
        <v/>
      </c>
      <c r="O34" s="33" t="n"/>
    </row>
    <row r="35">
      <c r="A35" s="122" t="n"/>
      <c r="B35" s="105" t="inlineStr">
        <is>
          <t>DX-V-051-008</t>
        </is>
      </c>
      <c r="C35" s="128" t="n">
        <v>0.3</v>
      </c>
      <c r="D35" s="1">
        <f>C35*9</f>
        <v/>
      </c>
      <c r="F35" s="33">
        <f>D35*12</f>
        <v/>
      </c>
      <c r="J35" s="33">
        <f>D35*35</f>
        <v/>
      </c>
      <c r="L35" s="105" t="n"/>
      <c r="O35" s="33" t="n"/>
    </row>
    <row r="36">
      <c r="A36" s="122" t="n"/>
      <c r="B36" s="105" t="inlineStr">
        <is>
          <t>DX-V-087-006</t>
        </is>
      </c>
      <c r="C36" s="128" t="n">
        <v>0.3</v>
      </c>
      <c r="D36" s="1">
        <f>C36*9</f>
        <v/>
      </c>
      <c r="F36" s="33">
        <f>D36*12</f>
        <v/>
      </c>
      <c r="J36" s="33">
        <f>D36*35</f>
        <v/>
      </c>
      <c r="O36" s="33" t="n"/>
    </row>
    <row r="37">
      <c r="A37" s="134" t="n"/>
      <c r="B37" s="105" t="inlineStr">
        <is>
          <t>DX-V-074-001</t>
        </is>
      </c>
      <c r="C37" s="128" t="n">
        <v>0.5</v>
      </c>
      <c r="D37" s="1">
        <f>C37*9</f>
        <v/>
      </c>
      <c r="E37" s="33">
        <f>D37*15</f>
        <v/>
      </c>
      <c r="J37" s="33">
        <f>D37*35</f>
        <v/>
      </c>
      <c r="O37" s="33" t="n"/>
    </row>
    <row r="38">
      <c r="B38" s="1" t="n"/>
      <c r="C38" s="128" t="n"/>
      <c r="J38" s="33" t="n"/>
      <c r="O38" s="33" t="n"/>
    </row>
    <row r="39">
      <c r="B39" s="105" t="n"/>
      <c r="C39" s="128" t="n"/>
      <c r="J39" s="33" t="n"/>
      <c r="O39" s="33" t="n"/>
    </row>
    <row r="40">
      <c r="A40" s="126" t="n"/>
      <c r="B40" s="105" t="n"/>
      <c r="C40" s="76" t="n"/>
      <c r="F40" s="33" t="n"/>
      <c r="G40" s="33" t="n"/>
      <c r="J40" s="33" t="n"/>
      <c r="Q40" s="4" t="n"/>
      <c r="R40" s="4" t="n"/>
    </row>
    <row r="41" ht="25" customHeight="1">
      <c r="A41" s="125" t="inlineStr">
        <is>
          <t>DD</t>
        </is>
      </c>
      <c r="B41" s="125" t="inlineStr">
        <is>
          <t>MGX</t>
        </is>
      </c>
      <c r="C41" s="23" t="n"/>
      <c r="D41" s="23" t="n"/>
      <c r="E41" s="23" t="n"/>
      <c r="F41" s="23" t="n"/>
      <c r="G41" s="23" t="n"/>
      <c r="H41" s="23" t="n"/>
      <c r="I41" s="23" t="n"/>
      <c r="J41" s="23" t="n"/>
    </row>
    <row r="42">
      <c r="A42" s="122" t="n"/>
      <c r="B42" s="105" t="inlineStr">
        <is>
          <t>DD-V-045-009</t>
        </is>
      </c>
      <c r="C42" s="128" t="n">
        <v>0.3</v>
      </c>
      <c r="D42" s="1">
        <f>C42*9</f>
        <v/>
      </c>
      <c r="F42" s="33">
        <f>D42*12</f>
        <v/>
      </c>
      <c r="H42" s="33" t="n"/>
      <c r="J42" s="33">
        <f>D42*35</f>
        <v/>
      </c>
    </row>
    <row r="43">
      <c r="A43" s="122" t="n"/>
      <c r="B43" s="105" t="inlineStr">
        <is>
          <t>DD-V-079-023</t>
        </is>
      </c>
      <c r="C43" s="128" t="n">
        <v>0.3</v>
      </c>
      <c r="D43" s="1">
        <f>C43*9</f>
        <v/>
      </c>
      <c r="E43" s="33">
        <f>D43*15</f>
        <v/>
      </c>
      <c r="H43" s="33" t="n"/>
      <c r="J43" s="33">
        <f>D43*35</f>
        <v/>
      </c>
    </row>
    <row r="44">
      <c r="A44" s="122" t="n"/>
      <c r="B44" s="105" t="inlineStr">
        <is>
          <t>DD-V-126-033</t>
        </is>
      </c>
      <c r="C44" s="128" t="n">
        <v>0.3</v>
      </c>
      <c r="D44" s="1">
        <f>C44*9</f>
        <v/>
      </c>
      <c r="E44" s="33" t="n"/>
      <c r="F44" s="33">
        <f>D44*12</f>
        <v/>
      </c>
      <c r="G44" s="33" t="n"/>
      <c r="H44" s="33" t="n"/>
      <c r="J44" s="33">
        <f>D44*35</f>
        <v/>
      </c>
    </row>
    <row r="45">
      <c r="A45" s="122" t="n"/>
      <c r="B45" s="105" t="inlineStr">
        <is>
          <t>DD-V-162-013</t>
        </is>
      </c>
      <c r="C45" s="128" t="n">
        <v>0.3</v>
      </c>
      <c r="D45" s="1">
        <f>C45*9</f>
        <v/>
      </c>
      <c r="E45" s="33">
        <f>D45*15</f>
        <v/>
      </c>
      <c r="F45" s="33" t="n"/>
      <c r="G45" s="33" t="n"/>
      <c r="H45" s="33" t="n"/>
      <c r="J45" s="33">
        <f>D45*35</f>
        <v/>
      </c>
    </row>
    <row r="46">
      <c r="A46" s="122" t="n"/>
      <c r="B46" s="105" t="inlineStr">
        <is>
          <t>DD-V-162-014</t>
        </is>
      </c>
      <c r="C46" s="128" t="n">
        <v>0.3</v>
      </c>
      <c r="D46" s="1">
        <f>C46*9</f>
        <v/>
      </c>
      <c r="E46" s="33">
        <f>D46*15</f>
        <v/>
      </c>
      <c r="F46" s="33" t="n"/>
      <c r="G46" s="33" t="n"/>
      <c r="H46" s="33" t="n"/>
      <c r="J46" s="33">
        <f>D46*35</f>
        <v/>
      </c>
    </row>
    <row r="47">
      <c r="A47" s="122" t="n"/>
      <c r="B47" s="105" t="inlineStr">
        <is>
          <t>DD-V-229-005</t>
        </is>
      </c>
      <c r="C47" s="128" t="n">
        <v>0.3</v>
      </c>
      <c r="D47" s="1">
        <f>C47*9</f>
        <v/>
      </c>
      <c r="E47" s="33" t="n"/>
      <c r="F47" s="33">
        <f>D47*12</f>
        <v/>
      </c>
      <c r="G47" s="33" t="n"/>
      <c r="H47" s="33" t="n"/>
      <c r="J47" s="33">
        <f>D47*35</f>
        <v/>
      </c>
    </row>
    <row r="48">
      <c r="A48" s="122" t="n"/>
      <c r="B48" s="105" t="inlineStr">
        <is>
          <t>DD-V-229-006</t>
        </is>
      </c>
      <c r="C48" s="128" t="n">
        <v>0.3</v>
      </c>
      <c r="D48" s="1">
        <f>C48*9</f>
        <v/>
      </c>
      <c r="E48" s="33" t="n"/>
      <c r="F48" s="33">
        <f>D48*12</f>
        <v/>
      </c>
      <c r="G48" s="33" t="n"/>
      <c r="H48" s="33" t="n"/>
      <c r="J48" s="33">
        <f>D48*35</f>
        <v/>
      </c>
    </row>
    <row r="49">
      <c r="A49" s="122" t="n"/>
      <c r="B49" s="105" t="inlineStr">
        <is>
          <t>DD-V-235-011 FR</t>
        </is>
      </c>
      <c r="C49" s="128" t="n">
        <v>0.3</v>
      </c>
      <c r="D49" s="1">
        <f>C49*9</f>
        <v/>
      </c>
      <c r="E49" s="33" t="n"/>
      <c r="F49" s="33">
        <f>D49*12</f>
        <v/>
      </c>
      <c r="G49" s="33" t="n"/>
      <c r="H49" s="33" t="n"/>
      <c r="J49" s="33">
        <f>D49*35</f>
        <v/>
      </c>
    </row>
    <row r="50">
      <c r="A50" s="122" t="n"/>
      <c r="B50" s="105" t="inlineStr">
        <is>
          <t>DD-V-235-011 DE</t>
        </is>
      </c>
      <c r="C50" s="128" t="n">
        <v>0.3</v>
      </c>
      <c r="D50" s="1">
        <f>C50*9</f>
        <v/>
      </c>
      <c r="E50" s="33" t="n"/>
      <c r="F50" s="33">
        <f>D50*12</f>
        <v/>
      </c>
      <c r="G50" s="33" t="n"/>
      <c r="H50" s="33" t="n"/>
      <c r="J50" s="33">
        <f>D50*35</f>
        <v/>
      </c>
    </row>
    <row r="51">
      <c r="A51" s="122" t="n"/>
      <c r="B51" s="105" t="inlineStr">
        <is>
          <t>DD-V-247-002</t>
        </is>
      </c>
      <c r="C51" s="128" t="n">
        <v>0.3</v>
      </c>
      <c r="D51" s="1">
        <f>C51*9</f>
        <v/>
      </c>
      <c r="E51" s="33">
        <f>D51*15</f>
        <v/>
      </c>
      <c r="F51" s="33" t="n"/>
      <c r="G51" s="33" t="n"/>
      <c r="H51" s="33" t="n"/>
      <c r="J51" s="33">
        <f>D51*35</f>
        <v/>
      </c>
    </row>
    <row r="52">
      <c r="A52" s="122" t="n"/>
      <c r="B52" s="105" t="inlineStr">
        <is>
          <t>DD-V-255-002</t>
        </is>
      </c>
      <c r="C52" s="128" t="n">
        <v>0.3</v>
      </c>
      <c r="D52" s="1">
        <f>C52*9</f>
        <v/>
      </c>
      <c r="E52" s="33">
        <f>D52*15</f>
        <v/>
      </c>
      <c r="F52" s="33" t="n"/>
      <c r="G52" s="33" t="n"/>
      <c r="H52" s="33" t="n"/>
      <c r="J52" s="33">
        <f>D52*35</f>
        <v/>
      </c>
    </row>
    <row r="53">
      <c r="A53" s="122" t="n"/>
      <c r="B53" s="105" t="inlineStr">
        <is>
          <t>DD-V-049-043</t>
        </is>
      </c>
      <c r="C53" s="128" t="n">
        <v>0.3</v>
      </c>
      <c r="D53" s="1">
        <f>C53*9</f>
        <v/>
      </c>
      <c r="E53" s="33">
        <f>D53*15</f>
        <v/>
      </c>
      <c r="F53" s="33" t="n"/>
      <c r="G53" s="33" t="n"/>
      <c r="H53" s="33" t="n"/>
      <c r="J53" s="33">
        <f>D53*35</f>
        <v/>
      </c>
    </row>
    <row r="54">
      <c r="A54" s="122" t="n"/>
      <c r="B54" s="105" t="inlineStr">
        <is>
          <t>DD-V-144-034</t>
        </is>
      </c>
      <c r="C54" s="128" t="n">
        <v>0.3</v>
      </c>
      <c r="D54" s="1">
        <f>C54*9</f>
        <v/>
      </c>
      <c r="E54" s="33">
        <f>D54*15</f>
        <v/>
      </c>
      <c r="F54" s="33" t="n"/>
      <c r="G54" s="33" t="n"/>
      <c r="H54" s="33" t="n"/>
      <c r="J54" s="33">
        <f>D54*35</f>
        <v/>
      </c>
    </row>
    <row r="55">
      <c r="A55" s="122" t="n"/>
      <c r="B55" s="105" t="inlineStr">
        <is>
          <t>DD-V-209-003</t>
        </is>
      </c>
      <c r="C55" s="128" t="n">
        <v>0.3</v>
      </c>
      <c r="D55" s="1">
        <f>C55*9</f>
        <v/>
      </c>
      <c r="E55" s="33" t="n"/>
      <c r="F55" s="33">
        <f>D55*12</f>
        <v/>
      </c>
      <c r="G55" s="33" t="n"/>
      <c r="H55" s="33" t="n"/>
      <c r="J55" s="33">
        <f>D55*35</f>
        <v/>
      </c>
    </row>
    <row r="56">
      <c r="A56" s="122" t="n"/>
      <c r="B56" s="105" t="inlineStr">
        <is>
          <t>DD-V-049-044</t>
        </is>
      </c>
      <c r="C56" s="128" t="n">
        <v>0.3</v>
      </c>
      <c r="D56" s="1">
        <f>C56*9</f>
        <v/>
      </c>
      <c r="E56" s="33">
        <f>D56*15</f>
        <v/>
      </c>
      <c r="F56" s="33" t="n"/>
      <c r="G56" s="33" t="n"/>
      <c r="H56" s="33" t="n"/>
      <c r="J56" s="33">
        <f>D56*35</f>
        <v/>
      </c>
    </row>
    <row r="57">
      <c r="A57" s="122" t="n"/>
      <c r="B57" s="105" t="inlineStr">
        <is>
          <t>DD-V-049-045</t>
        </is>
      </c>
      <c r="C57" s="128" t="n">
        <v>0.3</v>
      </c>
      <c r="D57" s="1">
        <f>C57*9</f>
        <v/>
      </c>
      <c r="E57" s="33">
        <f>D57*15</f>
        <v/>
      </c>
      <c r="F57" s="33" t="n"/>
      <c r="G57" s="33" t="n"/>
      <c r="H57" s="33" t="n"/>
      <c r="J57" s="33">
        <f>D57*35</f>
        <v/>
      </c>
    </row>
    <row r="58">
      <c r="A58" s="139" t="n"/>
      <c r="B58" s="105" t="inlineStr">
        <is>
          <t>DD-V-056-009</t>
        </is>
      </c>
      <c r="C58" s="128" t="n">
        <v>0.3</v>
      </c>
      <c r="D58" s="1">
        <f>C58*9</f>
        <v/>
      </c>
      <c r="E58" s="33" t="n"/>
      <c r="F58" s="33">
        <f>D58*12</f>
        <v/>
      </c>
      <c r="G58" s="33" t="n"/>
      <c r="H58" s="33" t="n"/>
      <c r="J58" s="33">
        <f>D58*35</f>
        <v/>
      </c>
    </row>
    <row r="59">
      <c r="A59" s="122" t="n"/>
      <c r="B59" s="105" t="inlineStr">
        <is>
          <t>DD-V-056-010</t>
        </is>
      </c>
      <c r="C59" s="128" t="n">
        <v>0.3</v>
      </c>
      <c r="D59" s="1">
        <f>C59*9</f>
        <v/>
      </c>
      <c r="E59" s="33" t="n"/>
      <c r="F59" s="33">
        <f>D59*12</f>
        <v/>
      </c>
      <c r="G59" s="33" t="n"/>
      <c r="H59" s="33" t="n"/>
      <c r="J59" s="33">
        <f>D59*35</f>
        <v/>
      </c>
    </row>
    <row r="60">
      <c r="A60" s="139" t="n"/>
      <c r="B60" s="105" t="inlineStr">
        <is>
          <t>DD-V-126-034</t>
        </is>
      </c>
      <c r="C60" s="128" t="n">
        <v>0.3</v>
      </c>
      <c r="D60" s="1">
        <f>C60*9</f>
        <v/>
      </c>
      <c r="E60" s="33" t="n"/>
      <c r="F60" s="33">
        <f>D60*12</f>
        <v/>
      </c>
      <c r="G60" s="33" t="n"/>
      <c r="H60" s="33" t="n"/>
      <c r="J60" s="33">
        <f>D60*35</f>
        <v/>
      </c>
    </row>
    <row r="61">
      <c r="A61" s="122" t="n"/>
      <c r="B61" s="105" t="inlineStr">
        <is>
          <t>DD-V-223-012</t>
        </is>
      </c>
      <c r="C61" s="128" t="n">
        <v>0.3</v>
      </c>
      <c r="D61" s="1">
        <f>C61*9</f>
        <v/>
      </c>
      <c r="E61" s="33">
        <f>D61*15</f>
        <v/>
      </c>
      <c r="F61" s="33" t="n"/>
      <c r="G61" s="33" t="n"/>
      <c r="H61" s="33" t="n"/>
      <c r="J61" s="33">
        <f>D61*35</f>
        <v/>
      </c>
    </row>
    <row r="62">
      <c r="A62" s="122" t="n"/>
      <c r="B62" s="105" t="inlineStr">
        <is>
          <t>DD-V-223-013</t>
        </is>
      </c>
      <c r="C62" s="128" t="n">
        <v>0.3</v>
      </c>
      <c r="D62" s="1">
        <f>C62*9</f>
        <v/>
      </c>
      <c r="E62" s="33">
        <f>D62*15</f>
        <v/>
      </c>
      <c r="F62" s="33" t="n"/>
      <c r="G62" s="33" t="n"/>
      <c r="H62" s="33" t="n"/>
      <c r="J62" s="33">
        <f>D62*35</f>
        <v/>
      </c>
    </row>
    <row r="63">
      <c r="A63" s="122" t="n"/>
      <c r="B63" s="105" t="inlineStr">
        <is>
          <t>DD-V-229-007</t>
        </is>
      </c>
      <c r="C63" s="128" t="n">
        <v>0.3</v>
      </c>
      <c r="D63" s="1">
        <f>C63*9</f>
        <v/>
      </c>
      <c r="E63" s="33" t="n"/>
      <c r="F63" s="33">
        <f>D63*12</f>
        <v/>
      </c>
      <c r="G63" s="33" t="n"/>
      <c r="H63" s="33" t="n"/>
      <c r="J63" s="33">
        <f>D63*35</f>
        <v/>
      </c>
    </row>
    <row r="64">
      <c r="A64" s="139" t="n"/>
      <c r="B64" s="105" t="inlineStr">
        <is>
          <t>DD-V-126-035</t>
        </is>
      </c>
      <c r="C64" s="128" t="n">
        <v>0.3</v>
      </c>
      <c r="D64" s="1">
        <f>C64*9</f>
        <v/>
      </c>
      <c r="E64" s="33" t="n"/>
      <c r="F64" s="33">
        <f>D64*12</f>
        <v/>
      </c>
      <c r="G64" s="33" t="n"/>
      <c r="H64" s="33" t="n"/>
      <c r="J64" s="33">
        <f>D64*35</f>
        <v/>
      </c>
    </row>
    <row r="65">
      <c r="A65" s="139" t="n"/>
      <c r="B65" s="105" t="inlineStr">
        <is>
          <t>DD-V-223-014</t>
        </is>
      </c>
      <c r="C65" s="128" t="n">
        <v>0.5</v>
      </c>
      <c r="D65" s="1">
        <f>C65*9</f>
        <v/>
      </c>
      <c r="E65" s="33">
        <f>D65*15</f>
        <v/>
      </c>
      <c r="F65" s="33" t="n"/>
      <c r="G65" s="33" t="n"/>
      <c r="H65" s="33" t="n"/>
      <c r="J65" s="33">
        <f>D65*35</f>
        <v/>
      </c>
    </row>
    <row r="66">
      <c r="A66" s="139" t="n"/>
      <c r="B66" s="105" t="inlineStr">
        <is>
          <t>DD-V-223-015</t>
        </is>
      </c>
      <c r="C66" s="128" t="n">
        <v>0.5</v>
      </c>
      <c r="D66" s="1">
        <f>C66*9</f>
        <v/>
      </c>
      <c r="E66" s="33">
        <f>D66*15</f>
        <v/>
      </c>
      <c r="F66" s="33" t="n"/>
      <c r="G66" s="33" t="n"/>
      <c r="H66" s="33" t="n"/>
      <c r="J66" s="33">
        <f>D66*35</f>
        <v/>
      </c>
    </row>
    <row r="67">
      <c r="A67" s="139" t="n"/>
      <c r="B67" s="105" t="inlineStr">
        <is>
          <t>DD-V-257-002</t>
        </is>
      </c>
      <c r="C67" s="128" t="n">
        <v>4.5</v>
      </c>
      <c r="D67" s="1">
        <f>C67*9</f>
        <v/>
      </c>
      <c r="E67" s="33">
        <f>D67*15</f>
        <v/>
      </c>
      <c r="F67" s="33" t="n"/>
      <c r="G67" s="33" t="n"/>
      <c r="H67" s="33" t="n"/>
      <c r="J67" s="33">
        <f>D67*35</f>
        <v/>
      </c>
    </row>
    <row r="68">
      <c r="A68" s="139" t="n"/>
      <c r="B68" s="105" t="inlineStr">
        <is>
          <t>DD-V-049-050</t>
        </is>
      </c>
      <c r="C68" s="128" t="n">
        <v>0.3</v>
      </c>
      <c r="D68" s="1">
        <f>C68*9</f>
        <v/>
      </c>
      <c r="E68" s="33" t="n"/>
      <c r="F68" s="33">
        <f>D68*12</f>
        <v/>
      </c>
      <c r="G68" s="33" t="n"/>
      <c r="H68" s="33" t="n"/>
      <c r="J68" s="33">
        <f>D68*35</f>
        <v/>
      </c>
    </row>
    <row r="69">
      <c r="A69" s="139" t="n"/>
      <c r="B69" s="105" t="inlineStr">
        <is>
          <t>DD-V-049-051</t>
        </is>
      </c>
      <c r="C69" s="128" t="n">
        <v>0.3</v>
      </c>
      <c r="D69" s="1">
        <f>C69*9</f>
        <v/>
      </c>
      <c r="E69" s="33" t="n"/>
      <c r="F69" s="33">
        <f>D69*12</f>
        <v/>
      </c>
      <c r="G69" s="33" t="n"/>
      <c r="H69" s="33" t="n"/>
      <c r="J69" s="33">
        <f>D69*35</f>
        <v/>
      </c>
    </row>
    <row r="70">
      <c r="A70" s="139" t="n"/>
      <c r="B70" s="105" t="inlineStr">
        <is>
          <t>DD-V-049-053</t>
        </is>
      </c>
      <c r="C70" s="128" t="n">
        <v>0.3</v>
      </c>
      <c r="D70" s="1">
        <f>C70*9</f>
        <v/>
      </c>
      <c r="E70" s="33" t="n"/>
      <c r="F70" s="33">
        <f>D70*12</f>
        <v/>
      </c>
      <c r="G70" s="33" t="n"/>
      <c r="H70" s="33" t="n"/>
      <c r="J70" s="33">
        <f>D70*35</f>
        <v/>
      </c>
    </row>
    <row r="71">
      <c r="A71" s="139" t="n"/>
      <c r="B71" s="105" t="inlineStr">
        <is>
          <t>DD-V-134-003</t>
        </is>
      </c>
      <c r="C71" s="128" t="n">
        <v>0.3</v>
      </c>
      <c r="D71" s="1">
        <f>C71*9</f>
        <v/>
      </c>
      <c r="E71" s="33">
        <f>D71*15</f>
        <v/>
      </c>
      <c r="F71" s="33" t="n"/>
      <c r="G71" s="33" t="n"/>
      <c r="H71" s="33" t="n"/>
      <c r="J71" s="33">
        <f>D71*35</f>
        <v/>
      </c>
    </row>
    <row r="72">
      <c r="A72" s="139" t="n"/>
      <c r="B72" s="105" t="inlineStr">
        <is>
          <t>DD-V-188-002</t>
        </is>
      </c>
      <c r="C72" s="128" t="n">
        <v>0.3</v>
      </c>
      <c r="D72" s="1">
        <f>C72*9</f>
        <v/>
      </c>
      <c r="E72" s="33">
        <f>D72*15</f>
        <v/>
      </c>
      <c r="F72" s="33" t="n"/>
      <c r="G72" s="33" t="n"/>
      <c r="H72" s="33" t="n"/>
      <c r="J72" s="33">
        <f>D72*35</f>
        <v/>
      </c>
    </row>
    <row r="73">
      <c r="A73" s="139" t="n"/>
      <c r="B73" s="105" t="inlineStr">
        <is>
          <t>DD-V-194-002</t>
        </is>
      </c>
      <c r="C73" s="128" t="n">
        <v>0.3</v>
      </c>
      <c r="D73" s="1">
        <f>C73*9</f>
        <v/>
      </c>
      <c r="E73" s="33">
        <f>D73*15</f>
        <v/>
      </c>
      <c r="F73" s="33" t="n"/>
      <c r="G73" s="33" t="n"/>
      <c r="H73" s="33" t="n"/>
      <c r="J73" s="33">
        <f>D73*35</f>
        <v/>
      </c>
    </row>
    <row r="74">
      <c r="A74" s="126" t="n"/>
      <c r="B74" s="105" t="n"/>
      <c r="C74" s="76" t="n"/>
      <c r="E74" s="33" t="n"/>
      <c r="F74" s="33" t="n"/>
      <c r="G74" s="33" t="n"/>
      <c r="H74" s="33" t="n"/>
      <c r="J74" s="33" t="n"/>
    </row>
    <row r="75">
      <c r="P75" s="4" t="n"/>
      <c r="Q75" s="4" t="n"/>
      <c r="R75" s="4" t="n"/>
    </row>
    <row r="76">
      <c r="A76" s="118" t="inlineStr">
        <is>
          <t>total</t>
        </is>
      </c>
      <c r="B76" s="57" t="n"/>
      <c r="C76" s="11">
        <f>SUM(C6:C74)</f>
        <v/>
      </c>
      <c r="D76" s="11">
        <f>SUM(D6:D74)</f>
        <v/>
      </c>
      <c r="E76" s="59">
        <f>SUM(E6:E74)</f>
        <v/>
      </c>
      <c r="F76" s="59">
        <f>SUM(F6:F75)</f>
        <v/>
      </c>
      <c r="G76" s="59">
        <f>SUM(G6:G74)</f>
        <v/>
      </c>
      <c r="H76" s="59">
        <f>SUM(H6:H74)</f>
        <v/>
      </c>
      <c r="I76" s="59">
        <f>SUM(E76:H76)</f>
        <v/>
      </c>
      <c r="J76" s="60">
        <f>SUM(J6:J75)</f>
        <v/>
      </c>
      <c r="K76" s="39" t="n"/>
      <c r="L76" s="29" t="inlineStr">
        <is>
          <t>UAH</t>
        </is>
      </c>
      <c r="M76" s="16" t="inlineStr">
        <is>
          <t>USD</t>
        </is>
      </c>
    </row>
    <row r="77">
      <c r="E77" s="142">
        <f>E76*40</f>
        <v/>
      </c>
      <c r="F77" s="112">
        <f>F76*40</f>
        <v/>
      </c>
      <c r="G77" s="112">
        <f>G76*40</f>
        <v/>
      </c>
      <c r="H77" s="112">
        <f>H76*40</f>
        <v/>
      </c>
      <c r="I77" s="112">
        <f>I76*40</f>
        <v/>
      </c>
      <c r="J77" s="112">
        <f>J76*40</f>
        <v/>
      </c>
      <c r="K77" s="5" t="inlineStr">
        <is>
          <t>CLIENT IN</t>
        </is>
      </c>
      <c r="L77" s="7">
        <f>M77*40</f>
        <v/>
      </c>
      <c r="M77" s="8">
        <f>J76</f>
        <v/>
      </c>
      <c r="R77" s="4" t="n"/>
    </row>
    <row r="78">
      <c r="F78" s="33" t="n"/>
      <c r="G78" s="123" t="n"/>
      <c r="H78" s="123" t="n"/>
      <c r="K78" s="5" t="inlineStr">
        <is>
          <t>STUDIO (TAX)</t>
        </is>
      </c>
      <c r="L78" s="7">
        <f>M78*40</f>
        <v/>
      </c>
      <c r="M78" s="8">
        <f>M77-M77*0.05</f>
        <v/>
      </c>
    </row>
    <row r="79">
      <c r="F79" s="33" t="n"/>
      <c r="K79" s="5" t="inlineStr">
        <is>
          <t>EMPL</t>
        </is>
      </c>
      <c r="L79" s="7">
        <f>M79*40</f>
        <v/>
      </c>
      <c r="M79" s="8">
        <f>I76</f>
        <v/>
      </c>
    </row>
    <row r="80">
      <c r="B80" s="1" t="n"/>
      <c r="K80" s="37" t="inlineStr">
        <is>
          <t>STUDIO</t>
        </is>
      </c>
      <c r="L80" s="7">
        <f>M80*40</f>
        <v/>
      </c>
      <c r="M80" s="8">
        <f>M78-M79</f>
        <v/>
      </c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</sheetData>
  <pageMargins left="0.7" right="0.7" top="0.75" bottom="0.75" header="0.3" footer="0.3"/>
  <pageSetup orientation="portrait" paperSize="9" horizontalDpi="0" verticalDpi="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68"/>
  <sheetViews>
    <sheetView zoomScaleNormal="100" workbookViewId="0">
      <pane ySplit="2" topLeftCell="A33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98" t="inlineStr">
        <is>
          <t>EMPL 1</t>
        </is>
      </c>
      <c r="G5" s="110" t="inlineStr">
        <is>
          <t>EMPL 2</t>
        </is>
      </c>
      <c r="H5" s="110" t="inlineStr">
        <is>
          <t>EMPL 3</t>
        </is>
      </c>
      <c r="I5" s="98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0" t="n"/>
      <c r="B6" s="105" t="inlineStr">
        <is>
          <t>DX-V-060-014</t>
        </is>
      </c>
      <c r="C6" s="128" t="n">
        <v>1</v>
      </c>
      <c r="D6" s="1">
        <f>C6*9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90" t="n"/>
      <c r="B7" s="105" t="inlineStr">
        <is>
          <t>DX-V-060-045</t>
        </is>
      </c>
      <c r="C7" s="128" t="n">
        <v>0.6</v>
      </c>
      <c r="D7" s="1">
        <f>C7*9</f>
        <v/>
      </c>
      <c r="F7" s="33">
        <f>D7*15</f>
        <v/>
      </c>
      <c r="G7" s="33" t="n"/>
      <c r="H7" s="33" t="n"/>
      <c r="I7" s="33" t="n"/>
      <c r="K7" s="33">
        <f>D7*35</f>
        <v/>
      </c>
      <c r="P7" s="33" t="n"/>
    </row>
    <row r="8">
      <c r="A8" s="90" t="n"/>
      <c r="B8" s="105" t="inlineStr">
        <is>
          <t>DX-V-060-046</t>
        </is>
      </c>
      <c r="C8" s="128" t="n">
        <v>0.3</v>
      </c>
      <c r="D8" s="1">
        <f>C8*9</f>
        <v/>
      </c>
      <c r="G8" s="33">
        <f>D8*12</f>
        <v/>
      </c>
      <c r="H8" s="33" t="n"/>
      <c r="I8" s="33" t="n"/>
      <c r="K8" s="33">
        <f>D8*35</f>
        <v/>
      </c>
      <c r="P8" s="33" t="n"/>
    </row>
    <row r="9">
      <c r="A9" s="90" t="n"/>
      <c r="B9" s="105" t="inlineStr">
        <is>
          <t>DX-V-060-047</t>
        </is>
      </c>
      <c r="C9" s="128" t="n">
        <v>0.3</v>
      </c>
      <c r="D9" s="1">
        <f>C9*9</f>
        <v/>
      </c>
      <c r="G9" s="33">
        <f>D9*12</f>
        <v/>
      </c>
      <c r="H9" s="33" t="n"/>
      <c r="I9" s="33" t="n"/>
      <c r="K9" s="33">
        <f>D9*35</f>
        <v/>
      </c>
      <c r="P9" s="33" t="n"/>
    </row>
    <row r="10">
      <c r="A10" s="90" t="n"/>
      <c r="B10" s="105" t="inlineStr">
        <is>
          <t>DX-V-060-048</t>
        </is>
      </c>
      <c r="C10" s="128" t="n">
        <v>0.3</v>
      </c>
      <c r="D10" s="1">
        <f>C10*9</f>
        <v/>
      </c>
      <c r="G10" s="33">
        <f>D10*12</f>
        <v/>
      </c>
      <c r="H10" s="33" t="n"/>
      <c r="I10" s="33" t="n"/>
      <c r="K10" s="33">
        <f>D10*35</f>
        <v/>
      </c>
      <c r="P10" s="33" t="n"/>
    </row>
    <row r="11">
      <c r="A11" s="90" t="n"/>
      <c r="B11" s="105" t="inlineStr">
        <is>
          <t>DX-V-060-049</t>
        </is>
      </c>
      <c r="C11" s="128" t="n">
        <v>0.3</v>
      </c>
      <c r="D11" s="1">
        <f>C11*9</f>
        <v/>
      </c>
      <c r="G11" s="33">
        <f>D11*12</f>
        <v/>
      </c>
      <c r="H11" s="33" t="n"/>
      <c r="I11" s="33" t="n"/>
      <c r="K11" s="33">
        <f>D11*35</f>
        <v/>
      </c>
      <c r="P11" s="33" t="n"/>
    </row>
    <row r="12">
      <c r="A12" s="90" t="n"/>
      <c r="B12" s="105" t="inlineStr">
        <is>
          <t>DX-V-060-023</t>
        </is>
      </c>
      <c r="C12" s="128" t="n">
        <v>0.5</v>
      </c>
      <c r="D12" s="1">
        <f>C12*9</f>
        <v/>
      </c>
      <c r="F12" s="33">
        <f>D12*15</f>
        <v/>
      </c>
      <c r="G12" s="33" t="n"/>
      <c r="H12" s="33" t="n"/>
      <c r="I12" s="33" t="n"/>
      <c r="K12" s="33">
        <f>D12*35</f>
        <v/>
      </c>
      <c r="P12" s="33" t="n"/>
    </row>
    <row r="13">
      <c r="A13" s="132" t="n"/>
      <c r="B13" s="105" t="inlineStr">
        <is>
          <t>DX-V-060-051</t>
        </is>
      </c>
      <c r="C13" s="128" t="n">
        <v>0.3</v>
      </c>
      <c r="D13" s="1">
        <f>C13*9</f>
        <v/>
      </c>
      <c r="F13" s="33" t="n"/>
      <c r="G13" s="33" t="n"/>
      <c r="H13" s="33" t="n"/>
      <c r="I13" s="33">
        <f>D13*12</f>
        <v/>
      </c>
      <c r="K13" s="33">
        <f>D13*35</f>
        <v/>
      </c>
      <c r="P13" s="33" t="n"/>
    </row>
    <row r="14">
      <c r="A14" s="90" t="n"/>
      <c r="B14" s="105" t="inlineStr">
        <is>
          <t>DX-V-073-002</t>
        </is>
      </c>
      <c r="C14" s="128" t="n">
        <v>1</v>
      </c>
      <c r="D14" s="1">
        <f>C14*9</f>
        <v/>
      </c>
      <c r="H14" s="33" t="n"/>
      <c r="I14" s="33">
        <f>D14*12</f>
        <v/>
      </c>
      <c r="K14" s="33">
        <f>D14*35</f>
        <v/>
      </c>
      <c r="P14" s="33" t="n"/>
    </row>
    <row r="15">
      <c r="A15" s="90" t="n"/>
      <c r="B15" s="105" t="inlineStr">
        <is>
          <t>DX-V-087-004</t>
        </is>
      </c>
      <c r="C15" s="128" t="n">
        <v>0.5</v>
      </c>
      <c r="D15" s="1">
        <f>C15*9</f>
        <v/>
      </c>
      <c r="H15" s="33" t="n"/>
      <c r="I15" s="33">
        <f>D15*12</f>
        <v/>
      </c>
      <c r="K15" s="33">
        <f>D15*35</f>
        <v/>
      </c>
      <c r="P15" s="33" t="n"/>
    </row>
    <row r="16">
      <c r="A16" s="90" t="n"/>
      <c r="B16" s="105" t="inlineStr">
        <is>
          <t>DX-V-060-014</t>
        </is>
      </c>
      <c r="C16" s="128" t="n">
        <v>0.3</v>
      </c>
      <c r="D16" s="1">
        <f>C16*9</f>
        <v/>
      </c>
      <c r="F16" s="33">
        <f>D16*15</f>
        <v/>
      </c>
      <c r="G16" s="33" t="n"/>
      <c r="H16" s="33" t="n"/>
      <c r="I16" s="33" t="n"/>
      <c r="K16" s="33">
        <f>D16*35</f>
        <v/>
      </c>
      <c r="P16" s="33" t="n"/>
    </row>
    <row r="17">
      <c r="A17" s="90" t="n"/>
      <c r="B17" s="105" t="inlineStr">
        <is>
          <t>DX-V-060-050</t>
        </is>
      </c>
      <c r="C17" s="128" t="n">
        <v>0.3</v>
      </c>
      <c r="D17" s="1">
        <f>C17*9</f>
        <v/>
      </c>
      <c r="G17" s="33" t="n"/>
      <c r="H17" s="33" t="n"/>
      <c r="I17" s="33">
        <f>D17*12</f>
        <v/>
      </c>
      <c r="K17" s="33">
        <f>D17*35</f>
        <v/>
      </c>
      <c r="P17" s="33" t="n"/>
    </row>
    <row r="18">
      <c r="A18" s="90" t="n"/>
      <c r="B18" s="105" t="inlineStr">
        <is>
          <t>DX-V-032-011</t>
        </is>
      </c>
      <c r="C18" s="128" t="n">
        <v>0.3</v>
      </c>
      <c r="D18" s="1">
        <f>C18*9</f>
        <v/>
      </c>
      <c r="G18" s="33">
        <f>D18*12</f>
        <v/>
      </c>
      <c r="K18" s="33">
        <f>D18*35</f>
        <v/>
      </c>
      <c r="P18" s="33" t="n"/>
    </row>
    <row r="19">
      <c r="A19" s="90" t="n"/>
      <c r="B19" s="105" t="inlineStr">
        <is>
          <t>DX-V-002-022</t>
        </is>
      </c>
      <c r="C19" s="128" t="n">
        <v>0.3</v>
      </c>
      <c r="D19" s="1">
        <f>C19*9</f>
        <v/>
      </c>
      <c r="F19" s="33">
        <f>D19*15</f>
        <v/>
      </c>
      <c r="K19" s="33">
        <f>D19*35</f>
        <v/>
      </c>
      <c r="P19" s="33" t="n"/>
    </row>
    <row r="20">
      <c r="A20" s="90" t="n"/>
      <c r="B20" s="105" t="inlineStr">
        <is>
          <t>DX-V-015-025</t>
        </is>
      </c>
      <c r="C20" s="128" t="n">
        <v>0.3</v>
      </c>
      <c r="D20" s="1">
        <f>C20*9</f>
        <v/>
      </c>
      <c r="G20" s="33">
        <f>D20*12</f>
        <v/>
      </c>
      <c r="K20" s="33">
        <f>D20*35</f>
        <v/>
      </c>
      <c r="P20" s="33" t="n"/>
    </row>
    <row r="21">
      <c r="A21" s="90" t="n"/>
      <c r="B21" s="105" t="inlineStr">
        <is>
          <t>DX-V-032-019</t>
        </is>
      </c>
      <c r="C21" s="128" t="n">
        <v>0.3</v>
      </c>
      <c r="D21" s="1">
        <f>C21*9</f>
        <v/>
      </c>
      <c r="G21" s="33">
        <f>D21*12</f>
        <v/>
      </c>
      <c r="K21" s="33">
        <f>D21*35</f>
        <v/>
      </c>
      <c r="P21" s="33" t="n"/>
    </row>
    <row r="22">
      <c r="A22" s="90" t="n"/>
      <c r="B22" s="105" t="inlineStr">
        <is>
          <t>DX-V-033-016</t>
        </is>
      </c>
      <c r="C22" s="128" t="n">
        <v>0.3</v>
      </c>
      <c r="D22" s="1">
        <f>C22*9</f>
        <v/>
      </c>
      <c r="G22" s="33">
        <f>D22*12</f>
        <v/>
      </c>
      <c r="K22" s="33">
        <f>D22*35</f>
        <v/>
      </c>
      <c r="P22" s="33" t="n"/>
    </row>
    <row r="23">
      <c r="A23" s="90" t="n"/>
      <c r="B23" s="105" t="inlineStr">
        <is>
          <t>DX-V-050-003</t>
        </is>
      </c>
      <c r="C23" s="128" t="n">
        <v>0.3</v>
      </c>
      <c r="D23" s="1">
        <f>C23*9</f>
        <v/>
      </c>
      <c r="F23" s="33">
        <f>D23*15</f>
        <v/>
      </c>
      <c r="K23" s="33">
        <f>D23*35</f>
        <v/>
      </c>
      <c r="P23" s="33" t="n"/>
    </row>
    <row r="24">
      <c r="A24" s="90" t="n"/>
      <c r="B24" s="105" t="inlineStr">
        <is>
          <t>DX-V-033-017</t>
        </is>
      </c>
      <c r="C24" s="128" t="n">
        <v>0.3</v>
      </c>
      <c r="D24" s="1">
        <f>C24*9</f>
        <v/>
      </c>
      <c r="G24" s="33">
        <f>D24*12</f>
        <v/>
      </c>
      <c r="K24" s="33">
        <f>D24*35</f>
        <v/>
      </c>
      <c r="P24" s="33" t="n"/>
    </row>
    <row r="25">
      <c r="A25" s="90" t="n"/>
      <c r="B25" s="105" t="inlineStr">
        <is>
          <t>DX-V-028-014</t>
        </is>
      </c>
      <c r="C25" s="128" t="n">
        <v>0.3</v>
      </c>
      <c r="D25" s="1">
        <f>C25*9</f>
        <v/>
      </c>
      <c r="F25" s="33">
        <f>D25*15</f>
        <v/>
      </c>
      <c r="K25" s="33">
        <f>D25*35</f>
        <v/>
      </c>
      <c r="P25" s="33" t="n"/>
    </row>
    <row r="26">
      <c r="A26" s="90" t="n"/>
      <c r="B26" s="105" t="inlineStr">
        <is>
          <t>DX-V-060-052</t>
        </is>
      </c>
      <c r="C26" s="128" t="n">
        <v>0.3</v>
      </c>
      <c r="D26" s="1">
        <f>C26*9</f>
        <v/>
      </c>
      <c r="F26" s="33">
        <f>D26*15</f>
        <v/>
      </c>
      <c r="K26" s="33">
        <f>D26*35</f>
        <v/>
      </c>
      <c r="P26" s="33" t="n"/>
    </row>
    <row r="27">
      <c r="A27" s="90" t="n"/>
      <c r="B27" s="105" t="inlineStr">
        <is>
          <t>DX-V-060-053</t>
        </is>
      </c>
      <c r="C27" s="128" t="n">
        <v>0.5</v>
      </c>
      <c r="D27" s="1">
        <f>C27*9</f>
        <v/>
      </c>
      <c r="F27" s="33">
        <f>D27*15</f>
        <v/>
      </c>
      <c r="K27" s="33">
        <f>D27*35</f>
        <v/>
      </c>
      <c r="P27" s="33" t="n"/>
    </row>
    <row r="28">
      <c r="A28" s="90" t="n"/>
      <c r="B28" s="105" t="inlineStr">
        <is>
          <t>DX-V-017-010</t>
        </is>
      </c>
      <c r="C28" s="128" t="n">
        <v>0.3</v>
      </c>
      <c r="D28" s="1">
        <f>C28*9</f>
        <v/>
      </c>
      <c r="G28" s="33">
        <f>D28*12</f>
        <v/>
      </c>
      <c r="K28" s="33">
        <f>D28*35</f>
        <v/>
      </c>
      <c r="P28" s="33" t="n"/>
    </row>
    <row r="29">
      <c r="A29" s="90" t="n"/>
      <c r="B29" s="105" t="inlineStr">
        <is>
          <t>DX-V-002-023</t>
        </is>
      </c>
      <c r="C29" s="128" t="n">
        <v>0.3</v>
      </c>
      <c r="D29" s="1">
        <f>C29*9</f>
        <v/>
      </c>
      <c r="G29" s="33">
        <f>D29*12</f>
        <v/>
      </c>
      <c r="K29" s="33">
        <f>D29*35</f>
        <v/>
      </c>
      <c r="P29" s="33" t="n"/>
    </row>
    <row r="30">
      <c r="A30" s="90" t="n"/>
      <c r="B30" s="105" t="inlineStr">
        <is>
          <t>DX-V-017-011</t>
        </is>
      </c>
      <c r="C30" s="128" t="n">
        <v>0.3</v>
      </c>
      <c r="D30" s="1">
        <f>C30*9</f>
        <v/>
      </c>
      <c r="G30" s="33">
        <f>D30*12</f>
        <v/>
      </c>
      <c r="K30" s="33">
        <f>D30*35</f>
        <v/>
      </c>
      <c r="P30" s="33" t="n"/>
    </row>
    <row r="31">
      <c r="A31" s="90" t="n"/>
      <c r="B31" s="105" t="inlineStr">
        <is>
          <t>DX-V-017-012</t>
        </is>
      </c>
      <c r="C31" s="128" t="n">
        <v>0.3</v>
      </c>
      <c r="D31" s="1">
        <f>C31*9</f>
        <v/>
      </c>
      <c r="G31" s="33">
        <f>D31*12</f>
        <v/>
      </c>
      <c r="K31" s="33">
        <f>D31*35</f>
        <v/>
      </c>
      <c r="P31" s="33" t="n"/>
    </row>
    <row r="32">
      <c r="A32" s="90" t="n"/>
      <c r="B32" s="105" t="inlineStr">
        <is>
          <t>DX-V-017-013</t>
        </is>
      </c>
      <c r="C32" s="128" t="n">
        <v>0.3</v>
      </c>
      <c r="D32" s="1">
        <f>C32*9</f>
        <v/>
      </c>
      <c r="G32" s="33">
        <f>D32*12</f>
        <v/>
      </c>
      <c r="K32" s="33">
        <f>D32*35</f>
        <v/>
      </c>
      <c r="P32" s="33" t="n"/>
    </row>
    <row r="33">
      <c r="A33" s="90" t="n"/>
      <c r="B33" s="105" t="inlineStr">
        <is>
          <t>DX-V-017-014</t>
        </is>
      </c>
      <c r="C33" s="128" t="n">
        <v>0.3</v>
      </c>
      <c r="D33" s="1">
        <f>C33*9</f>
        <v/>
      </c>
      <c r="G33" s="33">
        <f>D33*12</f>
        <v/>
      </c>
      <c r="K33" s="33">
        <f>D33*35</f>
        <v/>
      </c>
      <c r="P33" s="33" t="n"/>
    </row>
    <row r="34">
      <c r="A34" s="90" t="n"/>
      <c r="B34" s="105" t="inlineStr">
        <is>
          <t>DX-V-017-015</t>
        </is>
      </c>
      <c r="C34" s="128" t="n">
        <v>0.3</v>
      </c>
      <c r="D34" s="1">
        <f>C34*9</f>
        <v/>
      </c>
      <c r="G34" s="33">
        <f>D34*12</f>
        <v/>
      </c>
      <c r="K34" s="33">
        <f>D34*35</f>
        <v/>
      </c>
      <c r="P34" s="33" t="n"/>
    </row>
    <row r="35">
      <c r="A35" s="90" t="n"/>
      <c r="B35" s="105" t="inlineStr">
        <is>
          <t>DX-V-028-015</t>
        </is>
      </c>
      <c r="C35" s="128" t="n">
        <v>0.3</v>
      </c>
      <c r="D35" s="1">
        <f>C35*9</f>
        <v/>
      </c>
      <c r="F35" s="135" t="inlineStr">
        <is>
          <t>$41</t>
        </is>
      </c>
      <c r="K35" s="33">
        <f>D35*35</f>
        <v/>
      </c>
      <c r="P35" s="33" t="n"/>
    </row>
    <row r="36">
      <c r="A36" s="90" t="n"/>
      <c r="B36" s="105" t="inlineStr">
        <is>
          <t>DX-V-031-004</t>
        </is>
      </c>
      <c r="C36" s="128" t="n">
        <v>0.3</v>
      </c>
      <c r="D36" s="1">
        <f>C36*9</f>
        <v/>
      </c>
      <c r="F36" s="135" t="inlineStr">
        <is>
          <t>$41</t>
        </is>
      </c>
      <c r="K36" s="33">
        <f>D36*35</f>
        <v/>
      </c>
      <c r="P36" s="33" t="n"/>
    </row>
    <row r="37">
      <c r="A37" s="90" t="n"/>
      <c r="B37" s="105" t="inlineStr">
        <is>
          <t>DX-V-050-014</t>
        </is>
      </c>
      <c r="C37" s="128" t="n">
        <v>0.3</v>
      </c>
      <c r="D37" s="1">
        <f>C37*9</f>
        <v/>
      </c>
      <c r="F37" s="135" t="inlineStr">
        <is>
          <t>$41</t>
        </is>
      </c>
      <c r="K37" s="33">
        <f>D37*35</f>
        <v/>
      </c>
      <c r="P37" s="33" t="n"/>
    </row>
    <row r="38">
      <c r="A38" s="90" t="n"/>
      <c r="B38" s="105" t="inlineStr">
        <is>
          <t>DX-V-058-002</t>
        </is>
      </c>
      <c r="C38" s="128" t="n">
        <v>0.3</v>
      </c>
      <c r="D38" s="1">
        <f>C38*9</f>
        <v/>
      </c>
      <c r="F38" s="135" t="inlineStr">
        <is>
          <t>$41</t>
        </is>
      </c>
      <c r="K38" s="33">
        <f>D38*35</f>
        <v/>
      </c>
      <c r="P38" s="33" t="n"/>
    </row>
    <row r="39">
      <c r="A39" s="90" t="n"/>
      <c r="B39" s="105" t="inlineStr">
        <is>
          <t>DX-V-079-005</t>
        </is>
      </c>
      <c r="C39" s="128" t="n">
        <v>0.3</v>
      </c>
      <c r="D39" s="1">
        <f>C39*9</f>
        <v/>
      </c>
      <c r="F39" s="135" t="inlineStr">
        <is>
          <t>$41</t>
        </is>
      </c>
      <c r="K39" s="33">
        <f>D39*35</f>
        <v/>
      </c>
      <c r="P39" s="33" t="n"/>
    </row>
    <row r="40">
      <c r="A40" s="90" t="n"/>
      <c r="B40" s="105" t="inlineStr">
        <is>
          <t>DX-V-033-018</t>
        </is>
      </c>
      <c r="C40" s="128" t="n">
        <v>0.3</v>
      </c>
      <c r="D40" s="1">
        <f>C40*9</f>
        <v/>
      </c>
      <c r="K40" s="33">
        <f>D40*35</f>
        <v/>
      </c>
      <c r="P40" s="33" t="n"/>
    </row>
    <row r="41">
      <c r="L41" s="105" t="n"/>
      <c r="P41" s="33" t="n"/>
    </row>
    <row r="42" ht="25" customHeight="1">
      <c r="A42" s="125" t="inlineStr">
        <is>
          <t>DD</t>
        </is>
      </c>
      <c r="B42" s="125" t="inlineStr">
        <is>
          <t>MGX</t>
        </is>
      </c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>
      <c r="A43" s="132" t="n"/>
      <c r="B43" s="105" t="inlineStr">
        <is>
          <t>DD-V-116-025</t>
        </is>
      </c>
      <c r="C43" s="128" t="n">
        <v>0.3</v>
      </c>
      <c r="D43" s="1">
        <f>C43*9</f>
        <v/>
      </c>
      <c r="F43" s="33" t="n"/>
      <c r="G43" s="33">
        <f>D44*12</f>
        <v/>
      </c>
      <c r="H43" s="33" t="n"/>
      <c r="I43" s="33" t="n"/>
      <c r="K43" s="33">
        <f>D43*35</f>
        <v/>
      </c>
      <c r="M43" s="105" t="n"/>
    </row>
    <row r="44">
      <c r="A44" s="132" t="n"/>
      <c r="B44" s="105" t="inlineStr">
        <is>
          <t>DD-V-186-003</t>
        </is>
      </c>
      <c r="C44" s="128" t="n">
        <v>0.3</v>
      </c>
      <c r="D44" s="1">
        <f>C44*9</f>
        <v/>
      </c>
      <c r="F44" s="33" t="n"/>
      <c r="G44" s="33">
        <f>D44*12</f>
        <v/>
      </c>
      <c r="H44" s="33" t="n"/>
      <c r="I44" s="33" t="n"/>
      <c r="K44" s="33">
        <f>D44*35</f>
        <v/>
      </c>
      <c r="M44" s="105" t="n"/>
    </row>
    <row r="45">
      <c r="A45" s="132" t="n"/>
      <c r="B45" s="105" t="inlineStr">
        <is>
          <t>DD-V-235-004</t>
        </is>
      </c>
      <c r="C45" s="128" t="n">
        <v>0.3</v>
      </c>
      <c r="D45" s="1">
        <f>C45*9</f>
        <v/>
      </c>
      <c r="F45" s="33">
        <f>D45*15</f>
        <v/>
      </c>
      <c r="H45" s="33" t="n"/>
      <c r="I45" s="33" t="n"/>
      <c r="K45" s="33">
        <f>D45*35</f>
        <v/>
      </c>
      <c r="M45" s="105" t="n"/>
    </row>
    <row r="46">
      <c r="A46" s="132" t="n"/>
      <c r="B46" s="105" t="inlineStr">
        <is>
          <t>DD-V-235-005</t>
        </is>
      </c>
      <c r="C46" s="128" t="n">
        <v>0.3</v>
      </c>
      <c r="D46" s="1">
        <f>C46*9</f>
        <v/>
      </c>
      <c r="F46" s="33">
        <f>D46*15</f>
        <v/>
      </c>
      <c r="G46" s="33" t="n"/>
      <c r="H46" s="33" t="n"/>
      <c r="I46" s="33" t="n"/>
      <c r="K46" s="33">
        <f>D46*35</f>
        <v/>
      </c>
      <c r="M46" s="105" t="n"/>
    </row>
    <row r="47">
      <c r="A47" s="132" t="n"/>
      <c r="B47" s="105" t="inlineStr">
        <is>
          <t>DD-V-235-006</t>
        </is>
      </c>
      <c r="C47" s="128" t="n">
        <v>0.3</v>
      </c>
      <c r="D47" s="1">
        <f>C47*9</f>
        <v/>
      </c>
      <c r="F47" s="33">
        <f>D47*15</f>
        <v/>
      </c>
      <c r="G47" s="33" t="n"/>
      <c r="H47" s="33" t="n"/>
      <c r="I47" s="33" t="n"/>
      <c r="K47" s="33">
        <f>D47*35</f>
        <v/>
      </c>
      <c r="M47" s="105" t="n"/>
    </row>
    <row r="48">
      <c r="A48" s="132" t="n"/>
      <c r="B48" s="105" t="inlineStr">
        <is>
          <t>DD-V-034-030</t>
        </is>
      </c>
      <c r="C48" s="128" t="n">
        <v>0.3</v>
      </c>
      <c r="D48" s="1">
        <f>C48*9</f>
        <v/>
      </c>
      <c r="F48" s="33">
        <f>D48*15</f>
        <v/>
      </c>
      <c r="G48" s="33" t="n"/>
      <c r="H48" s="33" t="n"/>
      <c r="I48" s="33" t="n"/>
      <c r="K48" s="33">
        <f>D48*35</f>
        <v/>
      </c>
    </row>
    <row r="49">
      <c r="A49" s="132" t="n"/>
      <c r="B49" s="105" t="inlineStr">
        <is>
          <t>DD-V-034-031</t>
        </is>
      </c>
      <c r="C49" s="128" t="n">
        <v>0.3</v>
      </c>
      <c r="D49" s="1">
        <f>C49*9</f>
        <v/>
      </c>
      <c r="F49" s="33">
        <f>D49*15</f>
        <v/>
      </c>
      <c r="G49" s="33" t="n"/>
      <c r="H49" s="33" t="n"/>
      <c r="I49" s="33" t="n"/>
      <c r="K49" s="33">
        <f>D49*35</f>
        <v/>
      </c>
    </row>
    <row r="50">
      <c r="A50" s="132" t="n"/>
      <c r="B50" s="105" t="inlineStr">
        <is>
          <t>DD-V-034-032</t>
        </is>
      </c>
      <c r="C50" s="128" t="n">
        <v>0.3</v>
      </c>
      <c r="D50" s="1">
        <f>C50*9</f>
        <v/>
      </c>
      <c r="F50" s="33">
        <f>D50*15</f>
        <v/>
      </c>
      <c r="G50" s="33" t="n"/>
      <c r="H50" s="33" t="n"/>
      <c r="I50" s="33" t="n"/>
      <c r="K50" s="33">
        <f>D50*35</f>
        <v/>
      </c>
    </row>
    <row r="51">
      <c r="A51" s="132" t="n"/>
      <c r="B51" s="105" t="inlineStr">
        <is>
          <t>DD-V-034-033</t>
        </is>
      </c>
      <c r="C51" s="128" t="n">
        <v>0.3</v>
      </c>
      <c r="D51" s="1">
        <f>C51*9</f>
        <v/>
      </c>
      <c r="F51" s="33">
        <f>D51*15</f>
        <v/>
      </c>
      <c r="G51" s="33" t="n"/>
      <c r="H51" s="33" t="n"/>
      <c r="I51" s="33" t="n"/>
      <c r="K51" s="33">
        <f>D51*35</f>
        <v/>
      </c>
    </row>
    <row r="52">
      <c r="A52" s="132" t="n"/>
      <c r="B52" s="105" t="inlineStr">
        <is>
          <t>DD-V-049-039</t>
        </is>
      </c>
      <c r="C52" s="128" t="n">
        <v>0.3</v>
      </c>
      <c r="D52" s="1">
        <f>C52*9</f>
        <v/>
      </c>
      <c r="F52" s="33" t="n"/>
      <c r="G52" s="33">
        <f>D52*12</f>
        <v/>
      </c>
      <c r="H52" s="33" t="n"/>
      <c r="I52" s="33" t="n"/>
      <c r="K52" s="33">
        <f>D52*35</f>
        <v/>
      </c>
    </row>
    <row r="53">
      <c r="A53" s="132" t="n"/>
      <c r="B53" s="105" t="inlineStr">
        <is>
          <t>DD-V-049-040</t>
        </is>
      </c>
      <c r="C53" s="128" t="n">
        <v>0.3</v>
      </c>
      <c r="D53" s="1">
        <f>C53*9</f>
        <v/>
      </c>
      <c r="F53" s="33" t="n"/>
      <c r="G53" s="33">
        <f>D53*12</f>
        <v/>
      </c>
      <c r="H53" s="33" t="n"/>
      <c r="I53" s="33" t="n"/>
      <c r="K53" s="33">
        <f>D53*35</f>
        <v/>
      </c>
    </row>
    <row r="54">
      <c r="A54" s="132" t="n"/>
      <c r="B54" s="105" t="inlineStr">
        <is>
          <t>DD-V-049-041</t>
        </is>
      </c>
      <c r="C54" s="128" t="n">
        <v>0.3</v>
      </c>
      <c r="D54" s="1">
        <f>C54*9</f>
        <v/>
      </c>
      <c r="F54" s="33" t="n"/>
      <c r="G54" s="33">
        <f>D54*12</f>
        <v/>
      </c>
      <c r="H54" s="33" t="n"/>
      <c r="I54" s="33" t="n"/>
      <c r="K54" s="33">
        <f>D54*35</f>
        <v/>
      </c>
    </row>
    <row r="55">
      <c r="A55" s="132" t="n"/>
      <c r="B55" s="105" t="inlineStr">
        <is>
          <t>DD-V-049-042</t>
        </is>
      </c>
      <c r="C55" s="128" t="n">
        <v>0.3</v>
      </c>
      <c r="D55" s="1">
        <f>C55*9</f>
        <v/>
      </c>
      <c r="F55" s="33" t="n"/>
      <c r="G55" s="33">
        <f>D55*12</f>
        <v/>
      </c>
      <c r="H55" s="33" t="n"/>
      <c r="I55" s="33" t="n"/>
      <c r="K55" s="33">
        <f>D55*35</f>
        <v/>
      </c>
    </row>
    <row r="56">
      <c r="B56" s="114" t="n"/>
      <c r="C56" s="76" t="n"/>
      <c r="F56" s="33" t="n"/>
      <c r="G56" s="33" t="n"/>
      <c r="K56" s="33" t="n"/>
      <c r="Q56" s="4" t="n"/>
      <c r="R56" s="4" t="n"/>
      <c r="S56" s="4" t="n"/>
    </row>
    <row r="57">
      <c r="Q57" s="4" t="n"/>
      <c r="R57" s="4" t="n"/>
      <c r="S57" s="4" t="n"/>
    </row>
    <row r="58">
      <c r="A58" s="118" t="inlineStr">
        <is>
          <t>total</t>
        </is>
      </c>
      <c r="B58" s="57" t="n"/>
      <c r="C58" s="11">
        <f>SUM(C6:C55)</f>
        <v/>
      </c>
      <c r="D58" s="11">
        <f>SUM(D6:D55)</f>
        <v/>
      </c>
      <c r="E58" s="58" t="n"/>
      <c r="F58" s="59">
        <f>SUM(F6:F55)</f>
        <v/>
      </c>
      <c r="G58" s="59">
        <f>SUM(G6:G57)</f>
        <v/>
      </c>
      <c r="H58" s="59">
        <f>SUM(H6:H55)</f>
        <v/>
      </c>
      <c r="I58" s="59">
        <f>SUM(I6:I55)</f>
        <v/>
      </c>
      <c r="J58" s="59">
        <f>SUM(F58:I58)</f>
        <v/>
      </c>
      <c r="K58" s="60">
        <f>SUM(K6:K57)</f>
        <v/>
      </c>
      <c r="L58" s="39" t="n"/>
      <c r="M58" s="29" t="inlineStr">
        <is>
          <t>UAH</t>
        </is>
      </c>
      <c r="N58" s="16" t="inlineStr">
        <is>
          <t>USD</t>
        </is>
      </c>
    </row>
    <row r="59">
      <c r="F59" s="142">
        <f>F58*40</f>
        <v/>
      </c>
      <c r="G59" s="142">
        <f>G58*40</f>
        <v/>
      </c>
      <c r="H59" s="142">
        <f>H58*40</f>
        <v/>
      </c>
      <c r="I59" s="142">
        <f>I58*40</f>
        <v/>
      </c>
      <c r="J59" s="142">
        <f>J58*40</f>
        <v/>
      </c>
      <c r="K59" s="142">
        <f>K58*40</f>
        <v/>
      </c>
      <c r="L59" s="5" t="inlineStr">
        <is>
          <t>CLIENT IN</t>
        </is>
      </c>
      <c r="M59" s="7">
        <f>N59*40</f>
        <v/>
      </c>
      <c r="N59" s="8">
        <f>K58</f>
        <v/>
      </c>
      <c r="S59" s="4" t="n"/>
    </row>
    <row r="60">
      <c r="G60" s="33" t="n"/>
      <c r="H60" s="123" t="n"/>
      <c r="I60" s="123" t="n"/>
      <c r="L60" s="5" t="inlineStr">
        <is>
          <t>STUDIO (TAX)</t>
        </is>
      </c>
      <c r="M60" s="7">
        <f>N60*40</f>
        <v/>
      </c>
      <c r="N60" s="8">
        <f>N59-N59*0.05</f>
        <v/>
      </c>
    </row>
    <row r="61">
      <c r="G61" s="33" t="n"/>
      <c r="L61" s="5" t="inlineStr">
        <is>
          <t>EMPL</t>
        </is>
      </c>
      <c r="M61" s="7">
        <f>N61*40</f>
        <v/>
      </c>
      <c r="N61" s="8">
        <f>J58</f>
        <v/>
      </c>
    </row>
    <row r="62">
      <c r="B62" s="1" t="n"/>
      <c r="L62" s="37" t="inlineStr">
        <is>
          <t>STUDIO</t>
        </is>
      </c>
      <c r="M62" s="7">
        <f>N62*40</f>
        <v/>
      </c>
      <c r="N62" s="8">
        <f>N60-N61</f>
        <v/>
      </c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</sheetData>
  <pageMargins left="0.7" right="0.7" top="0.75" bottom="0.75" header="0.3" footer="0.3"/>
  <pageSetup orientation="portrait" paperSize="9" horizontalDpi="0" verticalDpi="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Normal="100" workbookViewId="0">
      <pane ySplit="2" topLeftCell="A32" activePane="bottomLeft" state="frozen"/>
      <selection pane="bottomLeft" activeCell="B2" sqref="B2"/>
    </sheetView>
  </sheetViews>
  <sheetFormatPr baseColWidth="10" defaultRowHeight="16"/>
  <cols>
    <col width="9.33203125" customWidth="1" style="1" min="1" max="1"/>
    <col width="21.332031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4.3320312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n"/>
    </row>
    <row r="5" ht="25" customHeight="1">
      <c r="A5" s="125" t="inlineStr">
        <is>
          <t>DX</t>
        </is>
      </c>
      <c r="B5" s="125" t="inlineStr">
        <is>
          <t>MGX</t>
        </is>
      </c>
      <c r="C5" s="127" t="inlineStr">
        <is>
          <t>SHIFTS</t>
        </is>
      </c>
      <c r="D5" s="25" t="inlineStr">
        <is>
          <t>HOURS</t>
        </is>
      </c>
      <c r="E5" s="25" t="inlineStr">
        <is>
          <t>D.LINE</t>
        </is>
      </c>
      <c r="F5" s="98" t="inlineStr">
        <is>
          <t>EMPL 1</t>
        </is>
      </c>
      <c r="G5" s="110" t="inlineStr">
        <is>
          <t>EMPL 2</t>
        </is>
      </c>
      <c r="H5" s="110" t="inlineStr">
        <is>
          <t>EMPL 3</t>
        </is>
      </c>
      <c r="I5" s="98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0" t="n"/>
      <c r="B6" s="105" t="inlineStr">
        <is>
          <t>DX-V-060-023</t>
        </is>
      </c>
      <c r="C6" s="128" t="n">
        <v>0.3</v>
      </c>
      <c r="D6" s="1">
        <f>C6*9</f>
        <v/>
      </c>
      <c r="F6" s="33">
        <f>D6*15</f>
        <v/>
      </c>
      <c r="G6" s="33" t="n"/>
      <c r="H6" s="33" t="n"/>
      <c r="I6" s="33" t="n"/>
      <c r="K6" s="33">
        <f>D6*35</f>
        <v/>
      </c>
      <c r="P6" s="33" t="n"/>
    </row>
    <row r="7">
      <c r="A7" s="90" t="n"/>
      <c r="B7" s="105" t="inlineStr">
        <is>
          <t>DX-V-023-003</t>
        </is>
      </c>
      <c r="C7" s="76" t="n">
        <v>1</v>
      </c>
      <c r="D7" s="1">
        <f>C7*9</f>
        <v/>
      </c>
      <c r="G7" s="33" t="n"/>
      <c r="H7" s="33" t="n"/>
      <c r="I7" s="33">
        <f>D7*12</f>
        <v/>
      </c>
      <c r="K7" s="33">
        <f>D7*35</f>
        <v/>
      </c>
      <c r="P7" s="33" t="n"/>
    </row>
    <row r="8">
      <c r="A8" s="90" t="n"/>
      <c r="B8" s="105" t="inlineStr">
        <is>
          <t>DX-V-002-001</t>
        </is>
      </c>
      <c r="C8" s="128" t="n">
        <v>0.5</v>
      </c>
      <c r="D8" s="1">
        <f>C8*9</f>
        <v/>
      </c>
      <c r="G8" s="33" t="n"/>
      <c r="H8" s="33" t="n"/>
      <c r="I8" s="33">
        <f>D8*12</f>
        <v/>
      </c>
      <c r="K8" s="33">
        <f>D8*35</f>
        <v/>
      </c>
      <c r="P8" s="33" t="n"/>
    </row>
    <row r="9">
      <c r="A9" s="90" t="n"/>
      <c r="B9" s="105" t="inlineStr">
        <is>
          <t>DX-V-026-001</t>
        </is>
      </c>
      <c r="C9" s="128" t="n">
        <v>0.5</v>
      </c>
      <c r="D9" s="1">
        <f>C9*9</f>
        <v/>
      </c>
      <c r="G9" s="33" t="n"/>
      <c r="H9" s="33">
        <f>D9*15</f>
        <v/>
      </c>
      <c r="I9" s="33" t="n"/>
      <c r="K9" s="33">
        <f>D9*35</f>
        <v/>
      </c>
      <c r="P9" s="33" t="n"/>
    </row>
    <row r="10">
      <c r="A10" s="90" t="n"/>
      <c r="B10" s="105" t="inlineStr">
        <is>
          <t>DX-V-015-015</t>
        </is>
      </c>
      <c r="C10" s="128" t="n">
        <v>0.5</v>
      </c>
      <c r="D10" s="1">
        <f>C10*9</f>
        <v/>
      </c>
      <c r="F10" s="33">
        <f>D10*15</f>
        <v/>
      </c>
      <c r="G10" s="33" t="n"/>
      <c r="H10" s="33" t="n"/>
      <c r="I10" s="33" t="n"/>
      <c r="K10" s="33">
        <f>D10*35</f>
        <v/>
      </c>
      <c r="P10" s="33" t="n"/>
    </row>
    <row r="11">
      <c r="A11" s="90" t="n"/>
      <c r="B11" s="105" t="inlineStr">
        <is>
          <t>DX-V-028-001</t>
        </is>
      </c>
      <c r="C11" s="128" t="n">
        <v>0.5</v>
      </c>
      <c r="D11" s="1">
        <f>C11*9</f>
        <v/>
      </c>
      <c r="G11" s="33" t="n"/>
      <c r="H11" s="33">
        <f>D11*15</f>
        <v/>
      </c>
      <c r="I11" s="33" t="n"/>
      <c r="K11" s="33">
        <f>D11*35</f>
        <v/>
      </c>
      <c r="P11" s="33" t="n"/>
    </row>
    <row r="12">
      <c r="A12" s="90" t="n"/>
      <c r="B12" s="105" t="inlineStr">
        <is>
          <t>DX-V-026-009</t>
        </is>
      </c>
      <c r="C12" s="128" t="n">
        <v>0.3</v>
      </c>
      <c r="D12" s="1">
        <f>C12*9</f>
        <v/>
      </c>
      <c r="G12" s="33" t="n"/>
      <c r="H12" s="33">
        <f>D12*15</f>
        <v/>
      </c>
      <c r="I12" s="33" t="n"/>
      <c r="K12" s="33">
        <f>D12*35</f>
        <v/>
      </c>
      <c r="P12" s="33" t="n"/>
    </row>
    <row r="13">
      <c r="A13" s="90" t="n"/>
      <c r="B13" s="105" t="inlineStr">
        <is>
          <t>DX-V-042-005</t>
        </is>
      </c>
      <c r="C13" s="128" t="n">
        <v>0.3</v>
      </c>
      <c r="D13" s="1">
        <f>C13*9</f>
        <v/>
      </c>
      <c r="F13" s="33" t="n"/>
      <c r="G13" s="33" t="n"/>
      <c r="H13" s="33" t="n"/>
      <c r="I13" s="33">
        <f>D13*12</f>
        <v/>
      </c>
      <c r="K13" s="33">
        <f>D13*35</f>
        <v/>
      </c>
      <c r="P13" s="33" t="n"/>
    </row>
    <row r="14">
      <c r="A14" s="90" t="n"/>
      <c r="B14" s="105" t="inlineStr">
        <is>
          <t>DX-V-065-002</t>
        </is>
      </c>
      <c r="C14" s="128" t="n">
        <v>0.3</v>
      </c>
      <c r="D14" s="1">
        <f>C14*9</f>
        <v/>
      </c>
      <c r="F14" s="33">
        <f>D14*15</f>
        <v/>
      </c>
      <c r="G14" s="33" t="n"/>
      <c r="H14" s="33" t="n"/>
      <c r="I14" s="33" t="n"/>
      <c r="K14" s="33">
        <f>D14*35</f>
        <v/>
      </c>
      <c r="P14" s="33" t="n"/>
    </row>
    <row r="15">
      <c r="A15" s="90" t="n"/>
      <c r="B15" s="105" t="inlineStr">
        <is>
          <t>DX-V-033-015</t>
        </is>
      </c>
      <c r="C15" s="128" t="n">
        <v>0.3</v>
      </c>
      <c r="D15" s="1">
        <f>C15*9</f>
        <v/>
      </c>
      <c r="F15" s="33" t="n"/>
      <c r="G15" s="33" t="n"/>
      <c r="H15" s="33" t="n"/>
      <c r="I15" s="33">
        <f>D15*12</f>
        <v/>
      </c>
      <c r="K15" s="33">
        <f>D15*35</f>
        <v/>
      </c>
      <c r="P15" s="33" t="n"/>
    </row>
    <row r="16">
      <c r="A16" s="90" t="n"/>
      <c r="B16" s="105" t="inlineStr">
        <is>
          <t>DX-V-026-010</t>
        </is>
      </c>
      <c r="C16" s="128" t="n">
        <v>0.3</v>
      </c>
      <c r="D16" s="1">
        <f>C16*9</f>
        <v/>
      </c>
      <c r="F16" s="33">
        <f>D16*15</f>
        <v/>
      </c>
      <c r="G16" s="33" t="n"/>
      <c r="H16" s="33" t="n"/>
      <c r="I16" s="33" t="n"/>
      <c r="K16" s="33">
        <f>D16*35</f>
        <v/>
      </c>
      <c r="P16" s="33" t="n"/>
    </row>
    <row r="17">
      <c r="A17" s="90" t="n"/>
      <c r="B17" s="105" t="inlineStr">
        <is>
          <t>DX-V-042-006</t>
        </is>
      </c>
      <c r="C17" s="128" t="n">
        <v>0.3</v>
      </c>
      <c r="D17" s="1">
        <f>C17*9</f>
        <v/>
      </c>
      <c r="F17" s="33" t="n"/>
      <c r="G17" s="33" t="n"/>
      <c r="H17" s="33" t="n"/>
      <c r="I17" s="33">
        <f>D17*12</f>
        <v/>
      </c>
      <c r="K17" s="33">
        <f>D17*35</f>
        <v/>
      </c>
      <c r="P17" s="33" t="n"/>
    </row>
    <row r="18">
      <c r="A18" s="90" t="n"/>
      <c r="B18" s="105" t="inlineStr">
        <is>
          <t>DX-V-051-001</t>
        </is>
      </c>
      <c r="C18" s="128" t="n">
        <v>0.5</v>
      </c>
      <c r="D18" s="1">
        <f>C18*9</f>
        <v/>
      </c>
      <c r="F18" s="33" t="n"/>
      <c r="G18" s="33" t="n"/>
      <c r="H18" s="33">
        <f>D18*15</f>
        <v/>
      </c>
      <c r="I18" s="33" t="n"/>
      <c r="K18" s="33">
        <f>D18*35</f>
        <v/>
      </c>
      <c r="P18" s="33" t="n"/>
    </row>
    <row r="19">
      <c r="A19" s="90" t="n"/>
      <c r="B19" s="105" t="inlineStr">
        <is>
          <t>DX-V-051-002</t>
        </is>
      </c>
      <c r="C19" s="128" t="n">
        <v>0.5</v>
      </c>
      <c r="D19" s="1">
        <f>C19*9</f>
        <v/>
      </c>
      <c r="G19" s="33" t="n"/>
      <c r="H19" s="33">
        <f>D19*15</f>
        <v/>
      </c>
      <c r="I19" s="33" t="n"/>
      <c r="K19" s="33">
        <f>D19*35</f>
        <v/>
      </c>
      <c r="P19" s="33" t="n"/>
    </row>
    <row r="20">
      <c r="A20" s="90" t="n"/>
      <c r="B20" s="105" t="inlineStr">
        <is>
          <t>DX-V-088-003</t>
        </is>
      </c>
      <c r="C20" s="128" t="n">
        <v>0.3</v>
      </c>
      <c r="D20" s="1">
        <f>C20*9</f>
        <v/>
      </c>
      <c r="F20" s="33">
        <f>D20*15</f>
        <v/>
      </c>
      <c r="G20" s="33" t="n"/>
      <c r="H20" s="33" t="n"/>
      <c r="I20" s="33" t="n"/>
      <c r="K20" s="33">
        <f>D20*35</f>
        <v/>
      </c>
      <c r="P20" s="33" t="n"/>
    </row>
    <row r="21">
      <c r="A21" s="90" t="n"/>
      <c r="B21" s="105" t="inlineStr">
        <is>
          <t>DX-V-032-017</t>
        </is>
      </c>
      <c r="C21" s="128" t="n">
        <v>0.5</v>
      </c>
      <c r="D21" s="1">
        <f>C21*9</f>
        <v/>
      </c>
      <c r="G21" s="33" t="n"/>
      <c r="H21" s="33" t="n"/>
      <c r="I21" s="33">
        <f>D21*12</f>
        <v/>
      </c>
      <c r="K21" s="33">
        <f>D21*35</f>
        <v/>
      </c>
      <c r="P21" s="33" t="n"/>
    </row>
    <row r="22">
      <c r="A22" s="90" t="n"/>
      <c r="B22" s="105" t="inlineStr">
        <is>
          <t>DX-V-079-003</t>
        </is>
      </c>
      <c r="C22" s="128" t="n">
        <v>0.5</v>
      </c>
      <c r="D22" s="1">
        <f>C22*9</f>
        <v/>
      </c>
      <c r="G22" s="33" t="n"/>
      <c r="H22" s="33">
        <f>D22*15</f>
        <v/>
      </c>
      <c r="I22" s="33" t="n"/>
      <c r="K22" s="33">
        <f>D22*35</f>
        <v/>
      </c>
      <c r="P22" s="33" t="n"/>
    </row>
    <row r="23">
      <c r="A23" s="90" t="n"/>
      <c r="B23" s="105" t="inlineStr">
        <is>
          <t>DX-V-060-031</t>
        </is>
      </c>
      <c r="C23" s="128" t="n">
        <v>0.3</v>
      </c>
      <c r="D23" s="1">
        <f>C23*9</f>
        <v/>
      </c>
      <c r="G23" s="33" t="n"/>
      <c r="H23" s="33" t="n"/>
      <c r="I23" s="33">
        <f>D23*12</f>
        <v/>
      </c>
      <c r="K23" s="33">
        <f>D23*35</f>
        <v/>
      </c>
      <c r="P23" s="33" t="n"/>
    </row>
    <row r="24">
      <c r="A24" s="90" t="n"/>
      <c r="B24" s="105" t="inlineStr">
        <is>
          <t>DX-V-060-030</t>
        </is>
      </c>
      <c r="C24" s="128" t="n">
        <v>0.3</v>
      </c>
      <c r="D24" s="1">
        <f>C24*9</f>
        <v/>
      </c>
      <c r="F24" s="33">
        <f>D24*15</f>
        <v/>
      </c>
      <c r="G24" s="33" t="n"/>
      <c r="H24" s="33" t="n"/>
      <c r="I24" s="33" t="n"/>
      <c r="K24" s="33">
        <f>D24*35</f>
        <v/>
      </c>
      <c r="P24" s="33" t="n"/>
    </row>
    <row r="25">
      <c r="A25" s="90" t="n"/>
      <c r="B25" s="105" t="inlineStr">
        <is>
          <t>DX-V-065-001</t>
        </is>
      </c>
      <c r="C25" s="128" t="n">
        <v>0.5</v>
      </c>
      <c r="D25" s="1">
        <f>C25*9</f>
        <v/>
      </c>
      <c r="G25" s="33" t="n"/>
      <c r="H25" s="33">
        <f>D25*15</f>
        <v/>
      </c>
      <c r="I25" s="33" t="n"/>
      <c r="K25" s="33">
        <f>D25*35</f>
        <v/>
      </c>
      <c r="P25" s="33" t="n"/>
    </row>
    <row r="26">
      <c r="A26" s="90" t="n"/>
      <c r="B26" s="105" t="inlineStr">
        <is>
          <t>DX-V-033-014</t>
        </is>
      </c>
      <c r="C26" s="128" t="n">
        <v>0.3</v>
      </c>
      <c r="D26" s="1">
        <f>C26*9</f>
        <v/>
      </c>
      <c r="F26" s="134" t="n"/>
      <c r="G26" s="134" t="n"/>
      <c r="H26" s="33">
        <f>D26*15</f>
        <v/>
      </c>
      <c r="I26" s="33" t="n"/>
      <c r="K26" s="33">
        <f>D26*35</f>
        <v/>
      </c>
      <c r="P26" s="33" t="n"/>
    </row>
    <row r="27">
      <c r="A27" s="90" t="n"/>
      <c r="B27" s="105" t="inlineStr">
        <is>
          <t>DX-V-060-014</t>
        </is>
      </c>
      <c r="C27" s="128" t="n">
        <v>0.5</v>
      </c>
      <c r="D27" s="1">
        <f>C27*9</f>
        <v/>
      </c>
      <c r="F27" s="33">
        <f>D27*15</f>
        <v/>
      </c>
      <c r="G27" s="134" t="n"/>
      <c r="H27" s="134" t="n"/>
      <c r="I27" s="33" t="n"/>
      <c r="K27" s="33">
        <f>D27*35</f>
        <v/>
      </c>
      <c r="P27" s="33" t="n"/>
    </row>
    <row r="28">
      <c r="A28" s="122" t="n"/>
      <c r="B28" s="105" t="inlineStr">
        <is>
          <t>DX-V-032-002</t>
        </is>
      </c>
      <c r="C28" s="128" t="n">
        <v>0.5</v>
      </c>
      <c r="D28" s="1">
        <f>C28*9</f>
        <v/>
      </c>
      <c r="F28" s="33">
        <f>D28*15</f>
        <v/>
      </c>
      <c r="G28" s="134" t="n"/>
      <c r="H28" s="134" t="n"/>
      <c r="I28" s="33" t="n"/>
      <c r="K28" s="33">
        <f>D28*35</f>
        <v/>
      </c>
      <c r="P28" s="33" t="n"/>
    </row>
    <row r="29">
      <c r="A29" s="122" t="n"/>
      <c r="B29" s="105" t="inlineStr">
        <is>
          <t>DX-V-060-034</t>
        </is>
      </c>
      <c r="C29" s="128" t="n">
        <v>0.3</v>
      </c>
      <c r="D29" s="1">
        <f>C29*9</f>
        <v/>
      </c>
      <c r="F29" s="134" t="n"/>
      <c r="G29" s="134" t="n"/>
      <c r="H29" s="33">
        <f>D29*15</f>
        <v/>
      </c>
      <c r="I29" s="33" t="n"/>
      <c r="K29" s="33">
        <f>D29*35</f>
        <v/>
      </c>
      <c r="P29" s="33" t="n"/>
    </row>
    <row r="30">
      <c r="A30" s="122" t="n"/>
      <c r="B30" s="105" t="inlineStr">
        <is>
          <t>DX-V-083-002</t>
        </is>
      </c>
      <c r="C30" s="76" t="n">
        <v>1</v>
      </c>
      <c r="D30" s="1">
        <f>C30*9</f>
        <v/>
      </c>
      <c r="F30" s="134" t="n"/>
      <c r="G30" s="134" t="n"/>
      <c r="H30" s="33">
        <f>D30*15</f>
        <v/>
      </c>
      <c r="I30" s="33" t="n"/>
      <c r="K30" s="33">
        <f>D30*35</f>
        <v/>
      </c>
      <c r="P30" s="33" t="n"/>
    </row>
    <row r="31">
      <c r="A31" s="122" t="n"/>
      <c r="B31" s="105" t="inlineStr">
        <is>
          <t>DX-V-050-003</t>
        </is>
      </c>
      <c r="C31" s="128" t="n">
        <v>0.5</v>
      </c>
      <c r="D31" s="1">
        <f>C31*9</f>
        <v/>
      </c>
      <c r="F31" s="134" t="n"/>
      <c r="G31" s="134" t="n"/>
      <c r="H31" s="33">
        <f>D31*15</f>
        <v/>
      </c>
      <c r="I31" s="33" t="n"/>
      <c r="K31" s="33">
        <f>D31*35</f>
        <v/>
      </c>
      <c r="P31" s="33" t="n"/>
    </row>
    <row r="32">
      <c r="A32" s="130" t="n"/>
      <c r="B32" s="105" t="inlineStr">
        <is>
          <t>DX-V-060-035</t>
        </is>
      </c>
      <c r="C32" s="128" t="n">
        <v>0.3</v>
      </c>
      <c r="D32" s="1">
        <f>C32*9</f>
        <v/>
      </c>
      <c r="G32" s="33" t="n"/>
      <c r="H32" s="33">
        <f>D32*15</f>
        <v/>
      </c>
      <c r="I32" s="33" t="n"/>
      <c r="K32" s="33">
        <f>D32*35</f>
        <v/>
      </c>
      <c r="P32" s="33" t="n"/>
    </row>
    <row r="33">
      <c r="A33" s="130" t="n"/>
      <c r="B33" s="105" t="inlineStr">
        <is>
          <t>DX-V-060-036</t>
        </is>
      </c>
      <c r="C33" s="128" t="n">
        <v>0.3</v>
      </c>
      <c r="D33" s="1">
        <f>C33*9</f>
        <v/>
      </c>
      <c r="G33" s="33" t="n"/>
      <c r="H33" s="33">
        <f>D33*15</f>
        <v/>
      </c>
      <c r="I33" s="33" t="n"/>
      <c r="K33" s="33">
        <f>D33*35</f>
        <v/>
      </c>
      <c r="P33" s="33" t="n"/>
    </row>
    <row r="34">
      <c r="A34" s="130" t="n"/>
      <c r="B34" s="105" t="inlineStr">
        <is>
          <t>DX-V-060-037</t>
        </is>
      </c>
      <c r="C34" s="128" t="n">
        <v>0.3</v>
      </c>
      <c r="D34" s="1">
        <f>C34*9</f>
        <v/>
      </c>
      <c r="G34" s="33" t="n"/>
      <c r="H34" s="33">
        <f>D34*15</f>
        <v/>
      </c>
      <c r="I34" s="33" t="n"/>
      <c r="K34" s="33">
        <f>D34*35</f>
        <v/>
      </c>
      <c r="P34" s="33" t="n"/>
    </row>
    <row r="35">
      <c r="A35" s="130" t="n"/>
      <c r="B35" s="105" t="inlineStr">
        <is>
          <t>DX-V-060-038</t>
        </is>
      </c>
      <c r="C35" s="128" t="n">
        <v>0.3</v>
      </c>
      <c r="D35" s="1">
        <f>C35*9</f>
        <v/>
      </c>
      <c r="F35" s="33">
        <f>D35*15</f>
        <v/>
      </c>
      <c r="G35" s="33" t="n"/>
      <c r="H35" s="33" t="n"/>
      <c r="I35" s="33" t="n"/>
      <c r="K35" s="33">
        <f>D35*35</f>
        <v/>
      </c>
      <c r="P35" s="33" t="n"/>
    </row>
    <row r="36">
      <c r="A36" s="130" t="n"/>
      <c r="B36" s="105" t="inlineStr">
        <is>
          <t>DX-V-060-039</t>
        </is>
      </c>
      <c r="C36" s="128" t="n">
        <v>0.3</v>
      </c>
      <c r="D36" s="1">
        <f>C36*9</f>
        <v/>
      </c>
      <c r="F36" s="33">
        <f>D36*15</f>
        <v/>
      </c>
      <c r="G36" s="33" t="n"/>
      <c r="H36" s="33" t="n"/>
      <c r="I36" s="33" t="n"/>
      <c r="K36" s="33">
        <f>D36*35</f>
        <v/>
      </c>
      <c r="P36" s="33" t="n"/>
    </row>
    <row r="37">
      <c r="A37" s="130" t="n"/>
      <c r="B37" s="105" t="inlineStr">
        <is>
          <t>DX-V-060-040</t>
        </is>
      </c>
      <c r="C37" s="128" t="n">
        <v>0.3</v>
      </c>
      <c r="D37" s="1">
        <f>C37*9</f>
        <v/>
      </c>
      <c r="F37" s="33">
        <f>D37*15</f>
        <v/>
      </c>
      <c r="G37" s="33" t="n"/>
      <c r="H37" s="33" t="n"/>
      <c r="I37" s="33" t="n"/>
      <c r="K37" s="33">
        <f>D37*35</f>
        <v/>
      </c>
      <c r="P37" s="33" t="n"/>
    </row>
    <row r="38">
      <c r="A38" s="130" t="n"/>
      <c r="B38" s="105" t="inlineStr">
        <is>
          <t>DX-V-060-041</t>
        </is>
      </c>
      <c r="C38" s="128" t="n">
        <v>0.3</v>
      </c>
      <c r="D38" s="1">
        <f>C38*9</f>
        <v/>
      </c>
      <c r="G38" s="33" t="n"/>
      <c r="H38" s="33" t="n"/>
      <c r="I38" s="33">
        <f>D38*12</f>
        <v/>
      </c>
      <c r="K38" s="33">
        <f>D38*35</f>
        <v/>
      </c>
      <c r="P38" s="33" t="n"/>
    </row>
    <row r="39">
      <c r="A39" s="130" t="n"/>
      <c r="B39" s="105" t="inlineStr">
        <is>
          <t>DX-V-060-042</t>
        </is>
      </c>
      <c r="C39" s="128" t="n">
        <v>0.3</v>
      </c>
      <c r="D39" s="1">
        <f>C39*9</f>
        <v/>
      </c>
      <c r="G39" s="33" t="n"/>
      <c r="H39" s="33" t="n"/>
      <c r="I39" s="33">
        <f>D39*12</f>
        <v/>
      </c>
      <c r="K39" s="33">
        <f>D39*35</f>
        <v/>
      </c>
      <c r="P39" s="33" t="n"/>
    </row>
    <row r="40">
      <c r="A40" s="130" t="n"/>
      <c r="B40" s="105" t="inlineStr">
        <is>
          <t>DX-V-060-043</t>
        </is>
      </c>
      <c r="C40" s="128" t="n">
        <v>0.3</v>
      </c>
      <c r="D40" s="1">
        <f>C40*9</f>
        <v/>
      </c>
      <c r="G40" s="33" t="n"/>
      <c r="H40" s="33" t="n"/>
      <c r="I40" s="33">
        <f>D40*12</f>
        <v/>
      </c>
      <c r="K40" s="33">
        <f>D40*35</f>
        <v/>
      </c>
      <c r="P40" s="33" t="n"/>
    </row>
    <row r="41">
      <c r="A41" s="130" t="n"/>
      <c r="B41" s="105" t="inlineStr">
        <is>
          <t>DX-V-060-044</t>
        </is>
      </c>
      <c r="C41" s="128" t="n">
        <v>0.3</v>
      </c>
      <c r="D41" s="1">
        <f>C41*9</f>
        <v/>
      </c>
      <c r="G41" s="33" t="n"/>
      <c r="H41" s="33" t="n"/>
      <c r="I41" s="33">
        <f>D41*12</f>
        <v/>
      </c>
      <c r="K41" s="33">
        <f>D41*35</f>
        <v/>
      </c>
      <c r="P41" s="33" t="n"/>
    </row>
    <row r="42">
      <c r="A42" s="130" t="n"/>
      <c r="B42" s="105" t="inlineStr">
        <is>
          <t>DX-V-083-004</t>
        </is>
      </c>
      <c r="C42" s="128" t="n">
        <v>0.3</v>
      </c>
      <c r="D42" s="1">
        <f>C42*9</f>
        <v/>
      </c>
      <c r="G42" s="33" t="n"/>
      <c r="H42" s="33">
        <f>D42*15</f>
        <v/>
      </c>
      <c r="I42" s="33" t="n"/>
      <c r="K42" s="33">
        <f>D42*35</f>
        <v/>
      </c>
      <c r="P42" s="33" t="n"/>
    </row>
    <row r="43">
      <c r="B43" s="105" t="n"/>
      <c r="C43" s="76" t="n"/>
      <c r="F43" s="33" t="n"/>
      <c r="I43" s="33" t="n"/>
      <c r="K43" s="33" t="n"/>
    </row>
    <row r="44" ht="25" customHeight="1">
      <c r="A44" s="111" t="n"/>
      <c r="B44" s="125" t="inlineStr">
        <is>
          <t>2D</t>
        </is>
      </c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>
      <c r="A45" s="126" t="n"/>
      <c r="B45" s="105" t="n"/>
      <c r="C45" s="76" t="n">
        <v>0</v>
      </c>
      <c r="D45" s="1">
        <f>C45*9</f>
        <v/>
      </c>
      <c r="F45" s="33" t="n"/>
      <c r="G45" s="33" t="n"/>
      <c r="H45" s="33" t="n"/>
      <c r="I45" s="33" t="n"/>
      <c r="K45" s="33">
        <f>D45*35</f>
        <v/>
      </c>
    </row>
    <row r="46">
      <c r="A46" s="126" t="n"/>
      <c r="B46" s="105" t="n"/>
      <c r="C46" s="76" t="n"/>
      <c r="G46" s="33" t="n"/>
      <c r="H46" s="33" t="n"/>
      <c r="K46" s="33" t="n"/>
      <c r="R46" s="4" t="n"/>
      <c r="S46" s="4" t="n"/>
    </row>
    <row r="47" ht="21" customHeight="1">
      <c r="A47" s="116" t="n"/>
      <c r="B47" s="105" t="n"/>
      <c r="C47" s="76" t="n"/>
      <c r="E47" s="131" t="inlineStr">
        <is>
          <t xml:space="preserve"> </t>
        </is>
      </c>
      <c r="G47" s="33" t="n"/>
      <c r="H47" s="33" t="n"/>
      <c r="I47" s="33" t="n"/>
      <c r="K47" s="33" t="n"/>
      <c r="R47" s="4" t="n"/>
      <c r="S47" s="4" t="n"/>
    </row>
    <row r="48" ht="25" customHeight="1">
      <c r="A48" s="125" t="inlineStr">
        <is>
          <t>DD</t>
        </is>
      </c>
      <c r="B48" s="125" t="inlineStr">
        <is>
          <t>MGX</t>
        </is>
      </c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132" t="n"/>
      <c r="B49" s="105" t="inlineStr">
        <is>
          <t>DD-V-137-039</t>
        </is>
      </c>
      <c r="C49" s="128" t="n">
        <v>0.5</v>
      </c>
      <c r="D49" s="1">
        <f>C49*9</f>
        <v/>
      </c>
      <c r="F49" s="33">
        <f>D49*15</f>
        <v/>
      </c>
      <c r="G49" s="33" t="n"/>
      <c r="H49" s="33" t="n"/>
      <c r="I49" s="33" t="n"/>
      <c r="K49" s="33">
        <f>D49*35</f>
        <v/>
      </c>
    </row>
    <row r="50">
      <c r="A50" s="132" t="n"/>
      <c r="B50" s="105" t="inlineStr">
        <is>
          <t>DD-V-202-001</t>
        </is>
      </c>
      <c r="C50" s="128" t="n">
        <v>0.5</v>
      </c>
      <c r="D50" s="1">
        <f>C50*9</f>
        <v/>
      </c>
      <c r="F50" s="33">
        <f>D50*15</f>
        <v/>
      </c>
      <c r="G50" s="33" t="n"/>
      <c r="H50" s="33" t="n"/>
      <c r="I50" s="33" t="n"/>
      <c r="K50" s="33">
        <f>D50*35</f>
        <v/>
      </c>
    </row>
    <row r="51">
      <c r="A51" s="132" t="n"/>
      <c r="B51" s="105" t="inlineStr">
        <is>
          <t>DD-V-045-002</t>
        </is>
      </c>
      <c r="C51" s="128" t="n">
        <v>0.5</v>
      </c>
      <c r="D51" s="1">
        <f>C51*9</f>
        <v/>
      </c>
      <c r="F51" s="33" t="n"/>
      <c r="G51" s="33" t="n"/>
      <c r="H51" s="33" t="n"/>
      <c r="I51" s="33">
        <f>D51*12</f>
        <v/>
      </c>
      <c r="K51" s="33">
        <f>D51*35</f>
        <v/>
      </c>
    </row>
    <row r="52">
      <c r="A52" s="132" t="n"/>
      <c r="B52" s="105" t="inlineStr">
        <is>
          <t>DD-V-078-001</t>
        </is>
      </c>
      <c r="C52" s="128" t="n">
        <v>0.5</v>
      </c>
      <c r="D52" s="1">
        <f>C52*9</f>
        <v/>
      </c>
      <c r="F52" s="33" t="n"/>
      <c r="G52" s="33" t="n"/>
      <c r="H52" s="33">
        <f>D52*15</f>
        <v/>
      </c>
      <c r="I52" s="33" t="n"/>
      <c r="K52" s="33">
        <f>D52*35</f>
        <v/>
      </c>
    </row>
    <row r="53">
      <c r="A53" s="126" t="n"/>
      <c r="B53" s="105" t="n"/>
      <c r="C53" s="76" t="n"/>
      <c r="F53" s="33" t="n"/>
      <c r="G53" s="33" t="n"/>
      <c r="H53" s="33" t="n"/>
      <c r="I53" s="33" t="n"/>
      <c r="K53" s="33" t="n"/>
    </row>
    <row r="54">
      <c r="A54" s="126" t="n"/>
      <c r="B54" s="105" t="n"/>
      <c r="C54" s="76" t="n"/>
      <c r="F54" s="33" t="n"/>
      <c r="G54" s="33" t="n"/>
      <c r="H54" s="33" t="n"/>
      <c r="I54" s="33" t="n"/>
      <c r="K54" s="33" t="n"/>
    </row>
    <row r="55" ht="25" customHeight="1">
      <c r="A55" s="111" t="n"/>
      <c r="B55" s="125" t="inlineStr">
        <is>
          <t>2D</t>
        </is>
      </c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</row>
    <row r="56">
      <c r="B56" s="105" t="n"/>
      <c r="C56" s="76" t="n">
        <v>0</v>
      </c>
      <c r="D56" s="1">
        <f>C56*9</f>
        <v/>
      </c>
      <c r="F56" s="33" t="n"/>
      <c r="G56" s="33" t="n"/>
      <c r="K56" s="33">
        <f>D56*35</f>
        <v/>
      </c>
      <c r="Q56" s="4" t="n"/>
      <c r="R56" s="4" t="n"/>
      <c r="S56" s="4" t="n"/>
    </row>
    <row r="57">
      <c r="B57" s="105" t="n"/>
      <c r="C57" s="76" t="n"/>
      <c r="F57" s="33" t="n"/>
      <c r="G57" s="33" t="n"/>
      <c r="K57" s="33" t="n"/>
      <c r="Q57" s="4" t="n"/>
      <c r="R57" s="4" t="n"/>
      <c r="S57" s="4" t="n"/>
    </row>
    <row r="58">
      <c r="B58" s="114" t="n"/>
      <c r="C58" s="76" t="n"/>
      <c r="F58" s="33" t="n"/>
      <c r="G58" s="33" t="n"/>
      <c r="K58" s="33" t="n"/>
      <c r="Q58" s="4" t="n"/>
      <c r="R58" s="4" t="n"/>
      <c r="S58" s="4" t="n"/>
    </row>
    <row r="59">
      <c r="Q59" s="4" t="n"/>
      <c r="R59" s="4" t="n"/>
      <c r="S59" s="4" t="n"/>
    </row>
    <row r="60">
      <c r="A60" s="118" t="inlineStr">
        <is>
          <t>total</t>
        </is>
      </c>
      <c r="B60" s="57" t="n"/>
      <c r="C60" s="11">
        <f>SUM(C6:C56)</f>
        <v/>
      </c>
      <c r="D60" s="11">
        <f>SUM(D6:D57)</f>
        <v/>
      </c>
      <c r="E60" s="58" t="n"/>
      <c r="F60" s="59">
        <f>SUM(F6:F54)</f>
        <v/>
      </c>
      <c r="G60" s="59">
        <f>SUM(G6:G59)</f>
        <v/>
      </c>
      <c r="H60" s="59">
        <f>SUM(H6:H54)</f>
        <v/>
      </c>
      <c r="I60" s="59">
        <f>SUM(I6:I54)</f>
        <v/>
      </c>
      <c r="J60" s="59">
        <f>SUM(F60:I60)</f>
        <v/>
      </c>
      <c r="K60" s="60">
        <f>SUM(K6:K59)</f>
        <v/>
      </c>
      <c r="L60" s="39" t="n"/>
      <c r="M60" s="29" t="inlineStr">
        <is>
          <t>UAH</t>
        </is>
      </c>
      <c r="N60" s="16" t="inlineStr">
        <is>
          <t>USD</t>
        </is>
      </c>
    </row>
    <row r="61">
      <c r="F61" s="112">
        <f>F60*40</f>
        <v/>
      </c>
      <c r="G61" s="112">
        <f>G60*40</f>
        <v/>
      </c>
      <c r="H61" s="112">
        <f>H60*40</f>
        <v/>
      </c>
      <c r="I61" s="112">
        <f>I60*40</f>
        <v/>
      </c>
      <c r="J61" s="112">
        <f>J60*40</f>
        <v/>
      </c>
      <c r="K61" s="112">
        <f>K60*40</f>
        <v/>
      </c>
      <c r="L61" s="5" t="inlineStr">
        <is>
          <t>CLIENT IN</t>
        </is>
      </c>
      <c r="M61" s="7">
        <f>N61*40</f>
        <v/>
      </c>
      <c r="N61" s="8">
        <f>K60</f>
        <v/>
      </c>
      <c r="S61" s="4" t="n"/>
    </row>
    <row r="62">
      <c r="G62" s="33" t="n"/>
      <c r="H62" s="123" t="n"/>
      <c r="I62" s="123" t="n"/>
      <c r="L62" s="5" t="inlineStr">
        <is>
          <t>STUDIO (TAX)</t>
        </is>
      </c>
      <c r="M62" s="7">
        <f>N62*40</f>
        <v/>
      </c>
      <c r="N62" s="8">
        <f>N61-N61*0.05</f>
        <v/>
      </c>
    </row>
    <row r="63">
      <c r="G63" s="33" t="n"/>
      <c r="J63" s="33" t="n"/>
      <c r="L63" s="5" t="inlineStr">
        <is>
          <t>EMPL</t>
        </is>
      </c>
      <c r="M63" s="7">
        <f>N63*40</f>
        <v/>
      </c>
      <c r="N63" s="8">
        <f>J60</f>
        <v/>
      </c>
    </row>
    <row r="64">
      <c r="B64" s="1" t="n"/>
      <c r="L64" s="37" t="inlineStr">
        <is>
          <t>STUDIO</t>
        </is>
      </c>
      <c r="M64" s="7">
        <f>N64*40</f>
        <v/>
      </c>
      <c r="N64" s="8">
        <f>N62-N63</f>
        <v/>
      </c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</sheetData>
  <pageMargins left="0.7" right="0.7" top="0.75" bottom="0.75" header="0.3" footer="0.3"/>
  <pageSetup orientation="portrait" paperSize="9" horizontalDpi="0" verticalDpi="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63"/>
  <sheetViews>
    <sheetView zoomScaleNormal="100" workbookViewId="0">
      <pane ySplit="2" topLeftCell="A16" activePane="bottomLeft" state="frozen"/>
      <selection pane="bottomLeft" activeCell="B2" sqref="B2"/>
    </sheetView>
  </sheetViews>
  <sheetFormatPr baseColWidth="10" defaultRowHeight="16"/>
  <cols>
    <col width="12.1640625" customWidth="1" style="1" min="1" max="1"/>
    <col width="25.1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0.6640625" customWidth="1" style="1" min="11" max="11"/>
    <col width="19.5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119" t="inlineStr">
        <is>
          <t>Маша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4" ht="21" customHeight="1">
      <c r="A4" s="116" t="inlineStr">
        <is>
          <t>DX</t>
        </is>
      </c>
    </row>
    <row r="5">
      <c r="A5" s="117" t="inlineStr">
        <is>
          <t>MGX</t>
        </is>
      </c>
      <c r="B5" s="23" t="inlineStr">
        <is>
          <t>October</t>
        </is>
      </c>
      <c r="C5" s="56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98" t="inlineStr">
        <is>
          <t>EMPL 1</t>
        </is>
      </c>
      <c r="G5" s="110" t="inlineStr">
        <is>
          <t>EMPL 2</t>
        </is>
      </c>
      <c r="H5" s="110" t="inlineStr">
        <is>
          <t>EMPL 3</t>
        </is>
      </c>
      <c r="I5" s="98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</row>
    <row r="6">
      <c r="A6" s="90" t="n"/>
      <c r="B6" s="105" t="inlineStr">
        <is>
          <t>DX-V-041-005</t>
        </is>
      </c>
      <c r="C6" s="76" t="n">
        <v>0.3</v>
      </c>
      <c r="D6" s="1">
        <f>C6*9</f>
        <v/>
      </c>
      <c r="G6" s="33" t="n"/>
      <c r="H6" s="33" t="n"/>
      <c r="I6" s="33">
        <f>D6*12</f>
        <v/>
      </c>
      <c r="K6" s="8">
        <f>D6*35</f>
        <v/>
      </c>
      <c r="P6" s="33" t="n"/>
    </row>
    <row r="7">
      <c r="A7" s="90" t="n"/>
      <c r="B7" s="105" t="inlineStr">
        <is>
          <t>DX-V-028-013</t>
        </is>
      </c>
      <c r="C7" s="76" t="n">
        <v>0.3</v>
      </c>
      <c r="D7" s="1">
        <f>C7*9</f>
        <v/>
      </c>
      <c r="G7" s="33" t="n"/>
      <c r="H7" s="33" t="n"/>
      <c r="I7" s="33">
        <f>D7*12</f>
        <v/>
      </c>
      <c r="K7" s="8">
        <f>D7*35</f>
        <v/>
      </c>
      <c r="P7" s="33" t="n"/>
    </row>
    <row r="8">
      <c r="A8" s="90" t="n"/>
      <c r="B8" s="105" t="inlineStr">
        <is>
          <t>DX-V-032-001</t>
        </is>
      </c>
      <c r="C8" s="76" t="n">
        <v>0.3</v>
      </c>
      <c r="D8" s="1">
        <f>C8*9</f>
        <v/>
      </c>
      <c r="G8" s="33" t="n"/>
      <c r="H8" s="33">
        <f>D8*15</f>
        <v/>
      </c>
      <c r="I8" s="33" t="n"/>
      <c r="K8" s="8">
        <f>D8*35</f>
        <v/>
      </c>
    </row>
    <row r="9">
      <c r="A9" s="90" t="n"/>
      <c r="B9" s="105" t="inlineStr">
        <is>
          <t>DX-V-015-013</t>
        </is>
      </c>
      <c r="C9" s="76" t="n">
        <v>0.3</v>
      </c>
      <c r="D9" s="1">
        <f>C9*9</f>
        <v/>
      </c>
      <c r="H9" s="33">
        <f>D9*15</f>
        <v/>
      </c>
      <c r="K9" s="8">
        <f>D9*35</f>
        <v/>
      </c>
      <c r="R9" s="4" t="n"/>
      <c r="S9" s="4" t="n"/>
    </row>
    <row r="10">
      <c r="A10" s="90" t="n"/>
      <c r="B10" s="105" t="inlineStr">
        <is>
          <t>DX-V-026-008</t>
        </is>
      </c>
      <c r="C10" s="76" t="n">
        <v>1</v>
      </c>
      <c r="D10" s="1">
        <f>C10*9</f>
        <v/>
      </c>
      <c r="F10" s="33" t="n"/>
      <c r="G10" s="33" t="n"/>
      <c r="H10" s="33" t="n"/>
      <c r="I10" s="33">
        <f>D10*12</f>
        <v/>
      </c>
      <c r="K10" s="8">
        <f>D10*35</f>
        <v/>
      </c>
      <c r="L10" s="8" t="n"/>
      <c r="M10" s="7" t="n"/>
      <c r="O10" s="4" t="n"/>
    </row>
    <row r="11">
      <c r="A11" s="90" t="n"/>
      <c r="B11" s="105" t="inlineStr">
        <is>
          <t>DX-V-083-001</t>
        </is>
      </c>
      <c r="C11" s="76" t="n">
        <v>0.5</v>
      </c>
      <c r="D11" s="1">
        <f>C11*9</f>
        <v/>
      </c>
      <c r="F11" s="33" t="n"/>
      <c r="G11" s="33" t="n"/>
      <c r="H11" s="33">
        <f>D11*15</f>
        <v/>
      </c>
      <c r="I11" s="33" t="n"/>
      <c r="K11" s="8">
        <f>D11*35</f>
        <v/>
      </c>
    </row>
    <row r="12">
      <c r="A12" s="90" t="n"/>
      <c r="B12" s="105" t="inlineStr">
        <is>
          <t>DX-V-060-012</t>
        </is>
      </c>
      <c r="C12" s="76" t="n">
        <v>0.3</v>
      </c>
      <c r="D12" s="1">
        <f>C12*9</f>
        <v/>
      </c>
      <c r="F12" s="33" t="n"/>
      <c r="G12" s="33" t="n"/>
      <c r="H12" s="33" t="n"/>
      <c r="I12" s="33">
        <f>D12*12</f>
        <v/>
      </c>
      <c r="K12" s="8">
        <f>D12*35</f>
        <v/>
      </c>
    </row>
    <row r="13">
      <c r="A13" s="90" t="n"/>
      <c r="B13" s="105" t="inlineStr">
        <is>
          <t>DX-V-050-006</t>
        </is>
      </c>
      <c r="C13" s="76" t="n">
        <v>0.3</v>
      </c>
      <c r="D13" s="1">
        <f>C13*9</f>
        <v/>
      </c>
      <c r="F13" s="33" t="n"/>
      <c r="G13" s="33" t="n"/>
      <c r="H13" s="33">
        <f>D13*15</f>
        <v/>
      </c>
      <c r="I13" s="33" t="n"/>
      <c r="K13" s="8">
        <f>D13*35</f>
        <v/>
      </c>
    </row>
    <row r="14">
      <c r="A14" s="90" t="n"/>
      <c r="B14" s="105" t="inlineStr">
        <is>
          <t>DX-V-050-009</t>
        </is>
      </c>
      <c r="C14" s="76" t="n">
        <v>0.6</v>
      </c>
      <c r="D14" s="1">
        <f>C14*9</f>
        <v/>
      </c>
      <c r="F14" s="33">
        <f>D14*15</f>
        <v/>
      </c>
      <c r="G14" s="33" t="n"/>
      <c r="H14" s="33" t="n"/>
      <c r="I14" s="33" t="n"/>
      <c r="K14" s="8">
        <f>D14*35</f>
        <v/>
      </c>
    </row>
    <row r="15">
      <c r="A15" s="90" t="n"/>
      <c r="B15" s="105" t="inlineStr">
        <is>
          <t>DX-V-050-010</t>
        </is>
      </c>
      <c r="C15" s="76" t="n">
        <v>0.3</v>
      </c>
      <c r="D15" s="1">
        <f>C15*9</f>
        <v/>
      </c>
      <c r="F15" s="33">
        <f>D15*15</f>
        <v/>
      </c>
      <c r="G15" s="33" t="n"/>
      <c r="H15" s="33" t="n"/>
      <c r="I15" s="33" t="n"/>
      <c r="K15" s="8">
        <f>D15*35</f>
        <v/>
      </c>
    </row>
    <row r="16">
      <c r="A16" s="90" t="n"/>
      <c r="B16" s="105" t="inlineStr">
        <is>
          <t>DX-V-050-011</t>
        </is>
      </c>
      <c r="C16" s="76" t="n">
        <v>0.5</v>
      </c>
      <c r="D16" s="1">
        <f>C16*9</f>
        <v/>
      </c>
      <c r="F16" s="33" t="n"/>
      <c r="G16" s="33" t="n"/>
      <c r="H16" s="33">
        <f>D16*15</f>
        <v/>
      </c>
      <c r="I16" s="33" t="n"/>
      <c r="K16" s="8">
        <f>D16*35</f>
        <v/>
      </c>
      <c r="P16" s="33" t="n"/>
    </row>
    <row r="17">
      <c r="A17" s="90" t="n"/>
      <c r="B17" s="105" t="inlineStr">
        <is>
          <t>DX-V-033-012</t>
        </is>
      </c>
      <c r="C17" s="76" t="n">
        <v>0.3</v>
      </c>
      <c r="D17" s="1">
        <f>C17*9</f>
        <v/>
      </c>
      <c r="F17" s="33" t="n"/>
      <c r="G17" s="33" t="n"/>
      <c r="H17" s="33" t="n"/>
      <c r="I17" s="33">
        <f>D17*12</f>
        <v/>
      </c>
      <c r="K17" s="8">
        <f>D17*35</f>
        <v/>
      </c>
      <c r="P17" s="33" t="n"/>
    </row>
    <row r="18">
      <c r="A18" s="90" t="n"/>
      <c r="B18" s="105" t="inlineStr">
        <is>
          <t>DX-V-033-013</t>
        </is>
      </c>
      <c r="C18" s="76" t="n">
        <v>0.3</v>
      </c>
      <c r="D18" s="1">
        <f>C18*9</f>
        <v/>
      </c>
      <c r="F18" s="33" t="n"/>
      <c r="G18" s="33" t="n"/>
      <c r="H18" s="33" t="n"/>
      <c r="I18" s="33">
        <f>D18*12</f>
        <v/>
      </c>
      <c r="K18" s="8">
        <f>D18*35</f>
        <v/>
      </c>
      <c r="P18" s="33" t="n"/>
    </row>
    <row r="19">
      <c r="A19" s="90" t="n"/>
      <c r="B19" s="105" t="inlineStr">
        <is>
          <t>DX-V-015-023</t>
        </is>
      </c>
      <c r="C19" s="76" t="n">
        <v>0.3</v>
      </c>
      <c r="D19" s="1">
        <f>C19*9</f>
        <v/>
      </c>
      <c r="F19" s="33" t="n"/>
      <c r="G19" s="33" t="n"/>
      <c r="H19" s="33">
        <f>D19*15</f>
        <v/>
      </c>
      <c r="I19" s="33" t="n"/>
      <c r="K19" s="8">
        <f>D19*35</f>
        <v/>
      </c>
    </row>
    <row r="20">
      <c r="A20" s="90" t="n"/>
      <c r="B20" s="105" t="inlineStr">
        <is>
          <t>DX-V-015-024</t>
        </is>
      </c>
      <c r="C20" s="76" t="n">
        <v>0.3</v>
      </c>
      <c r="D20" s="1">
        <f>C20*9</f>
        <v/>
      </c>
      <c r="F20" s="33" t="n"/>
      <c r="G20" s="33" t="n"/>
      <c r="H20" s="33">
        <f>D20*15</f>
        <v/>
      </c>
      <c r="I20" s="33" t="n"/>
      <c r="K20" s="8">
        <f>D20*35</f>
        <v/>
      </c>
      <c r="P20" s="33" t="n"/>
    </row>
    <row r="21">
      <c r="A21" s="90" t="n"/>
      <c r="B21" s="105" t="inlineStr">
        <is>
          <t>DX-V-060-025</t>
        </is>
      </c>
      <c r="C21" s="76" t="n">
        <v>0.5</v>
      </c>
      <c r="D21" s="1">
        <f>C21*9</f>
        <v/>
      </c>
      <c r="F21" s="33" t="n"/>
      <c r="G21" s="33" t="n"/>
      <c r="H21" s="33">
        <f>D21*15</f>
        <v/>
      </c>
      <c r="I21" s="33" t="n"/>
      <c r="K21" s="8">
        <f>D21*35</f>
        <v/>
      </c>
    </row>
    <row r="22">
      <c r="A22" s="90" t="n"/>
      <c r="B22" s="105" t="inlineStr">
        <is>
          <t>DX-V-032-009</t>
        </is>
      </c>
      <c r="C22" s="76" t="n">
        <v>0.3</v>
      </c>
      <c r="D22" s="1">
        <f>C22*9</f>
        <v/>
      </c>
      <c r="F22" s="33" t="n"/>
      <c r="G22" s="33" t="n"/>
      <c r="H22" s="33" t="n"/>
      <c r="I22" s="33">
        <f>D22*12</f>
        <v/>
      </c>
      <c r="K22" s="8">
        <f>D22*35</f>
        <v/>
      </c>
    </row>
    <row r="23">
      <c r="A23" s="90" t="n"/>
      <c r="B23" s="105" t="inlineStr">
        <is>
          <t>DX-V-031-002</t>
        </is>
      </c>
      <c r="C23" s="76" t="n">
        <v>0.3</v>
      </c>
      <c r="D23" s="1">
        <f>C23*9</f>
        <v/>
      </c>
      <c r="F23" s="33" t="n"/>
      <c r="G23" s="33" t="n"/>
      <c r="H23" s="33" t="n"/>
      <c r="I23" s="33">
        <f>D23*12</f>
        <v/>
      </c>
      <c r="K23" s="8">
        <f>D23*35</f>
        <v/>
      </c>
    </row>
    <row r="24">
      <c r="A24" s="90" t="n"/>
      <c r="B24" s="105" t="inlineStr">
        <is>
          <t>DX-V-050-007</t>
        </is>
      </c>
      <c r="C24" s="76" t="n">
        <v>0.6</v>
      </c>
      <c r="D24" s="1">
        <f>C24*9</f>
        <v/>
      </c>
      <c r="F24" s="33" t="n"/>
      <c r="G24" s="33" t="n"/>
      <c r="H24" s="33" t="n"/>
      <c r="I24" s="33">
        <f>D24*12</f>
        <v/>
      </c>
      <c r="K24" s="8">
        <f>D24*35</f>
        <v/>
      </c>
    </row>
    <row r="25">
      <c r="A25" s="90" t="n"/>
      <c r="B25" s="105" t="inlineStr">
        <is>
          <t>DX-V-060-014</t>
        </is>
      </c>
      <c r="C25" s="76" t="n">
        <v>0.5</v>
      </c>
      <c r="D25" s="1">
        <f>C25*9</f>
        <v/>
      </c>
      <c r="F25" s="33">
        <f>D25*15</f>
        <v/>
      </c>
      <c r="G25" s="33" t="n"/>
      <c r="H25" s="33" t="n"/>
      <c r="I25" s="33" t="n"/>
      <c r="K25" s="8">
        <f>D25*35</f>
        <v/>
      </c>
    </row>
    <row r="26">
      <c r="A26" s="90" t="n"/>
      <c r="B26" s="105" t="inlineStr">
        <is>
          <t>DX-V-060-020</t>
        </is>
      </c>
      <c r="C26" s="76" t="n">
        <v>0.3</v>
      </c>
      <c r="D26" s="1">
        <f>C26*9</f>
        <v/>
      </c>
      <c r="F26" s="33" t="n"/>
      <c r="G26" s="33" t="n"/>
      <c r="H26" s="33">
        <f>D26*15</f>
        <v/>
      </c>
      <c r="I26" s="33" t="n"/>
      <c r="K26" s="8">
        <f>D26*35</f>
        <v/>
      </c>
      <c r="L26" s="32" t="n"/>
    </row>
    <row r="27">
      <c r="A27" s="90" t="n"/>
      <c r="B27" s="105" t="inlineStr">
        <is>
          <t>DX-V-060-027</t>
        </is>
      </c>
      <c r="C27" s="76" t="n">
        <v>0.3</v>
      </c>
      <c r="D27" s="1">
        <f>C27*9</f>
        <v/>
      </c>
      <c r="F27" s="33">
        <f>D27*15</f>
        <v/>
      </c>
      <c r="G27" s="33" t="n"/>
      <c r="H27" s="33" t="n"/>
      <c r="I27" s="33" t="n"/>
      <c r="K27" s="8">
        <f>D27*35</f>
        <v/>
      </c>
      <c r="L27" s="32" t="n"/>
    </row>
    <row r="28">
      <c r="B28" s="105" t="n"/>
      <c r="C28" s="76" t="n"/>
      <c r="F28" s="33" t="n"/>
      <c r="I28" s="33" t="n"/>
      <c r="K28" s="33" t="n"/>
    </row>
    <row r="29">
      <c r="A29" s="117" t="inlineStr">
        <is>
          <t>2D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>
      <c r="A30" s="120" t="n"/>
      <c r="B30" s="105" t="inlineStr">
        <is>
          <t>DX-B-006-006</t>
        </is>
      </c>
      <c r="C30" s="76" t="n">
        <v>0.3</v>
      </c>
      <c r="D30" s="1">
        <f>C30*9</f>
        <v/>
      </c>
      <c r="F30" s="33">
        <f>D30*15</f>
        <v/>
      </c>
      <c r="G30" s="33" t="n"/>
      <c r="H30" s="33" t="n"/>
      <c r="I30" s="33" t="n"/>
      <c r="K30" s="8">
        <f>D30*35</f>
        <v/>
      </c>
    </row>
    <row r="31">
      <c r="A31" s="120" t="n"/>
      <c r="B31" s="105" t="inlineStr">
        <is>
          <t>DX-B-057-001</t>
        </is>
      </c>
      <c r="C31" s="76" t="n">
        <v>1</v>
      </c>
      <c r="D31" s="1">
        <f>C31*9</f>
        <v/>
      </c>
      <c r="F31" s="33">
        <f>D31*15</f>
        <v/>
      </c>
      <c r="G31" s="33" t="n"/>
      <c r="H31" s="33" t="n"/>
      <c r="I31" s="33" t="n"/>
      <c r="K31" s="8">
        <f>D31*35</f>
        <v/>
      </c>
    </row>
    <row r="32">
      <c r="A32" s="120" t="n"/>
      <c r="B32" s="105" t="inlineStr">
        <is>
          <t>DX-B-041-003</t>
        </is>
      </c>
      <c r="C32" s="76" t="n">
        <v>0.5</v>
      </c>
      <c r="D32" s="1">
        <f>C32*9</f>
        <v/>
      </c>
      <c r="G32" s="33">
        <f>D32*10</f>
        <v/>
      </c>
      <c r="H32" s="33" t="n"/>
      <c r="I32" s="33" t="n"/>
      <c r="K32" s="8">
        <f>D32*35</f>
        <v/>
      </c>
    </row>
    <row r="33">
      <c r="A33" s="120" t="n"/>
      <c r="B33" s="105" t="inlineStr">
        <is>
          <t>DX-B-041-004</t>
        </is>
      </c>
      <c r="C33" s="76" t="n">
        <v>0.5</v>
      </c>
      <c r="D33" s="1">
        <f>C33*9</f>
        <v/>
      </c>
      <c r="G33" s="33">
        <f>D33*10</f>
        <v/>
      </c>
      <c r="H33" s="33" t="n"/>
      <c r="K33" s="8">
        <f>D33*35</f>
        <v/>
      </c>
    </row>
    <row r="34">
      <c r="A34" s="105" t="n"/>
      <c r="B34" s="105">
        <f>SUM(D6:D33)</f>
        <v/>
      </c>
      <c r="C34" s="76" t="n"/>
      <c r="G34" s="33" t="n"/>
      <c r="H34" s="33" t="n"/>
      <c r="K34" s="33" t="n"/>
      <c r="R34" s="4" t="n"/>
      <c r="S34" s="4" t="n"/>
    </row>
    <row r="35">
      <c r="A35" s="105" t="n"/>
      <c r="B35" s="105" t="n"/>
      <c r="C35" s="76" t="n"/>
      <c r="G35" s="33" t="n"/>
      <c r="H35" s="33" t="n"/>
      <c r="K35" s="33" t="n"/>
      <c r="R35" s="4" t="n"/>
      <c r="S35" s="4" t="n"/>
    </row>
    <row r="36" ht="21" customHeight="1">
      <c r="A36" s="116" t="inlineStr">
        <is>
          <t>DD</t>
        </is>
      </c>
      <c r="B36" s="105" t="n"/>
      <c r="C36" s="76" t="n"/>
      <c r="G36" s="33" t="n"/>
      <c r="H36" s="33" t="n"/>
      <c r="I36" s="33" t="n"/>
      <c r="K36" s="33" t="n"/>
      <c r="R36" s="4" t="n"/>
      <c r="S36" s="4" t="n"/>
    </row>
    <row r="37">
      <c r="A37" s="117" t="inlineStr">
        <is>
          <t>MGX</t>
        </is>
      </c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>
      <c r="A38" s="121" t="n"/>
      <c r="B38" s="105" t="inlineStr">
        <is>
          <t>DD-V-247-001</t>
        </is>
      </c>
      <c r="C38" s="76" t="n">
        <v>1</v>
      </c>
      <c r="D38" s="1">
        <f>C38*9</f>
        <v/>
      </c>
      <c r="F38" s="33" t="n"/>
      <c r="G38" s="33" t="n"/>
      <c r="H38" s="33">
        <f>D38*15</f>
        <v/>
      </c>
      <c r="I38" s="33" t="n"/>
      <c r="K38" s="8">
        <f>D38*35</f>
        <v/>
      </c>
    </row>
    <row r="39">
      <c r="A39" s="121" t="n"/>
      <c r="B39" s="105" t="inlineStr">
        <is>
          <t>DD-V-235-001</t>
        </is>
      </c>
      <c r="C39" s="76" t="n">
        <v>1</v>
      </c>
      <c r="D39" s="1">
        <f>C39*9</f>
        <v/>
      </c>
      <c r="F39" s="33" t="n"/>
      <c r="G39" s="33" t="n"/>
      <c r="H39" s="33" t="n"/>
      <c r="I39" s="33">
        <f>D39*12</f>
        <v/>
      </c>
      <c r="K39" s="8">
        <f>D39*35</f>
        <v/>
      </c>
    </row>
    <row r="40">
      <c r="A40" s="122" t="n"/>
      <c r="B40" s="105" t="inlineStr">
        <is>
          <t>DD-V-137-023</t>
        </is>
      </c>
      <c r="C40" s="76" t="n">
        <v>0.5</v>
      </c>
      <c r="D40" s="1">
        <f>C40*9</f>
        <v/>
      </c>
      <c r="F40" s="33" t="n"/>
      <c r="G40" s="33" t="n"/>
      <c r="H40" s="33">
        <f>D40*15</f>
        <v/>
      </c>
      <c r="I40" s="33" t="n"/>
      <c r="K40" s="8">
        <f>D40*35</f>
        <v/>
      </c>
    </row>
    <row r="41">
      <c r="A41" s="122" t="n"/>
      <c r="B41" s="105" t="inlineStr">
        <is>
          <t>DD-V-045-002</t>
        </is>
      </c>
      <c r="C41" s="76" t="n">
        <v>0.5</v>
      </c>
      <c r="D41" s="1">
        <f>C41*9</f>
        <v/>
      </c>
      <c r="F41" s="33" t="n"/>
      <c r="G41" s="33" t="n"/>
      <c r="H41" s="33">
        <f>D41*15</f>
        <v/>
      </c>
      <c r="I41" s="33" t="n"/>
      <c r="K41" s="8">
        <f>D41*35</f>
        <v/>
      </c>
    </row>
    <row r="42">
      <c r="A42" s="122" t="n"/>
      <c r="B42" s="105" t="inlineStr">
        <is>
          <t>DD-V-205-002</t>
        </is>
      </c>
      <c r="C42" s="76" t="n">
        <v>0.3</v>
      </c>
      <c r="D42" s="1">
        <f>C42*9</f>
        <v/>
      </c>
      <c r="F42" s="33">
        <f>D42*15</f>
        <v/>
      </c>
      <c r="G42" s="33" t="n"/>
      <c r="H42" s="33" t="n"/>
      <c r="I42" s="33" t="n"/>
      <c r="K42" s="8">
        <f>D42*35</f>
        <v/>
      </c>
      <c r="N42" s="124" t="n"/>
    </row>
    <row r="43">
      <c r="A43" s="122" t="n"/>
      <c r="B43" s="105" t="inlineStr">
        <is>
          <t>DD-V-219-002</t>
        </is>
      </c>
      <c r="C43" s="76" t="n">
        <v>0.3</v>
      </c>
      <c r="D43" s="1">
        <f>C43*9</f>
        <v/>
      </c>
      <c r="F43" s="33">
        <f>D43*15</f>
        <v/>
      </c>
      <c r="G43" s="33" t="n"/>
      <c r="H43" s="33" t="n"/>
      <c r="I43" s="33" t="n"/>
      <c r="K43" s="8">
        <f>D43*35</f>
        <v/>
      </c>
    </row>
    <row r="44">
      <c r="A44" s="122" t="n"/>
      <c r="B44" s="105" t="inlineStr">
        <is>
          <t>DD-V-049-004</t>
        </is>
      </c>
      <c r="C44" s="76" t="n">
        <v>2</v>
      </c>
      <c r="D44" s="1">
        <f>C44*9</f>
        <v/>
      </c>
      <c r="F44" s="33" t="n"/>
      <c r="G44" s="33" t="n"/>
      <c r="H44" s="33">
        <f>D44*15</f>
        <v/>
      </c>
      <c r="I44" s="33" t="n"/>
      <c r="K44" s="8">
        <f>D44*35</f>
        <v/>
      </c>
    </row>
    <row r="45">
      <c r="A45" s="122" t="n"/>
      <c r="B45" s="105" t="inlineStr">
        <is>
          <t>DD-V-116-003</t>
        </is>
      </c>
      <c r="C45" s="76" t="n">
        <v>3.5</v>
      </c>
      <c r="D45" s="1">
        <f>C45*9</f>
        <v/>
      </c>
      <c r="F45" s="33" t="n"/>
      <c r="G45" s="33" t="n"/>
      <c r="H45" s="33" t="n"/>
      <c r="I45" s="33">
        <f>D45*12</f>
        <v/>
      </c>
      <c r="K45" s="8">
        <f>D45*35</f>
        <v/>
      </c>
    </row>
    <row r="46">
      <c r="A46" s="122" t="n"/>
      <c r="B46" s="105" t="inlineStr">
        <is>
          <t>DD-V-205-001</t>
        </is>
      </c>
      <c r="C46" s="76" t="n">
        <v>0.5</v>
      </c>
      <c r="D46" s="1">
        <f>C46*9</f>
        <v/>
      </c>
      <c r="F46" s="33" t="n"/>
      <c r="G46" s="33" t="n"/>
      <c r="H46" s="33">
        <f>D46*15</f>
        <v/>
      </c>
      <c r="I46" s="33" t="n"/>
      <c r="K46" s="8">
        <f>D46*35</f>
        <v/>
      </c>
    </row>
    <row r="47">
      <c r="A47" s="105" t="n"/>
      <c r="B47" s="1" t="n"/>
      <c r="C47" s="76" t="n"/>
      <c r="F47" s="33" t="n"/>
      <c r="G47" s="33" t="n"/>
      <c r="H47" s="33" t="n"/>
      <c r="I47" s="33" t="n"/>
      <c r="K47" s="33" t="n"/>
    </row>
    <row r="48">
      <c r="A48" s="117" t="inlineStr">
        <is>
          <t>2D</t>
        </is>
      </c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>
      <c r="A49" s="90" t="n"/>
      <c r="B49" s="105" t="inlineStr">
        <is>
          <t>DD-LO-038-001</t>
        </is>
      </c>
      <c r="C49" s="76" t="n">
        <v>0.5</v>
      </c>
      <c r="D49" s="1">
        <f>C49*9</f>
        <v/>
      </c>
      <c r="F49" s="33">
        <f>D49*15</f>
        <v/>
      </c>
      <c r="G49" s="33" t="n"/>
      <c r="K49" s="8">
        <f>D49*35</f>
        <v/>
      </c>
      <c r="Q49" s="4" t="n"/>
      <c r="R49" s="4" t="n"/>
      <c r="S49" s="4" t="n"/>
    </row>
    <row r="50">
      <c r="B50" s="105">
        <f>SUM(D38:D50)</f>
        <v/>
      </c>
      <c r="C50" s="76" t="n"/>
      <c r="F50" s="33" t="n"/>
      <c r="G50" s="33" t="n"/>
      <c r="K50" s="33" t="n"/>
      <c r="Q50" s="4" t="n"/>
      <c r="R50" s="4" t="n"/>
      <c r="S50" s="4" t="n"/>
    </row>
    <row r="51">
      <c r="B51" s="114" t="n"/>
      <c r="C51" s="76" t="n"/>
      <c r="F51" s="33" t="n"/>
      <c r="G51" s="33" t="n"/>
      <c r="K51" s="33" t="n"/>
      <c r="Q51" s="4" t="n"/>
      <c r="R51" s="4" t="n"/>
      <c r="S51" s="4" t="n"/>
    </row>
    <row r="52">
      <c r="Q52" s="4" t="n"/>
      <c r="R52" s="4" t="n"/>
      <c r="S52" s="4" t="n"/>
    </row>
    <row r="53">
      <c r="A53" s="118" t="inlineStr">
        <is>
          <t>total</t>
        </is>
      </c>
      <c r="B53" s="57" t="n"/>
      <c r="C53" s="11">
        <f>SUM(C6:C49)</f>
        <v/>
      </c>
      <c r="D53" s="11">
        <f>SUM(D6:D50)</f>
        <v/>
      </c>
      <c r="E53" s="58" t="n"/>
      <c r="F53" s="59">
        <f>SUM(F6:F47)</f>
        <v/>
      </c>
      <c r="G53" s="59">
        <f>SUM(G6:G52)</f>
        <v/>
      </c>
      <c r="H53" s="59">
        <f>SUM(H6:H47)</f>
        <v/>
      </c>
      <c r="I53" s="59">
        <f>SUM(I6:I47)</f>
        <v/>
      </c>
      <c r="J53" s="59">
        <f>SUM(F53:I53)</f>
        <v/>
      </c>
      <c r="K53" s="60">
        <f>SUM(K6:K52)</f>
        <v/>
      </c>
      <c r="L53" s="39" t="n"/>
      <c r="M53" s="29" t="inlineStr">
        <is>
          <t>UAH</t>
        </is>
      </c>
      <c r="N53" s="16" t="inlineStr">
        <is>
          <t>USD</t>
        </is>
      </c>
    </row>
    <row r="54">
      <c r="F54" s="122">
        <f>F53*40</f>
        <v/>
      </c>
      <c r="G54" s="122">
        <f>G53*40</f>
        <v/>
      </c>
      <c r="H54" s="122">
        <f>H53*40</f>
        <v/>
      </c>
      <c r="I54" s="122">
        <f>I53*40</f>
        <v/>
      </c>
      <c r="J54" s="122">
        <f>J53*40</f>
        <v/>
      </c>
      <c r="K54" s="33">
        <f>K53*40</f>
        <v/>
      </c>
      <c r="L54" s="5" t="inlineStr">
        <is>
          <t>CLIENT IN</t>
        </is>
      </c>
      <c r="M54" s="7">
        <f>N54*40</f>
        <v/>
      </c>
      <c r="N54" s="8">
        <f>K53</f>
        <v/>
      </c>
      <c r="S54" s="4" t="n"/>
    </row>
    <row r="55">
      <c r="G55" s="33" t="n"/>
      <c r="H55" s="123" t="inlineStr">
        <is>
          <t>plus 68</t>
        </is>
      </c>
      <c r="I55" s="123" t="inlineStr">
        <is>
          <t>plus 54</t>
        </is>
      </c>
      <c r="L55" s="5" t="inlineStr">
        <is>
          <t>STUDIO (TAX)</t>
        </is>
      </c>
      <c r="M55" s="7">
        <f>N55*40</f>
        <v/>
      </c>
      <c r="N55" s="8">
        <f>N54-N54*0.05</f>
        <v/>
      </c>
    </row>
    <row r="56">
      <c r="G56" s="33" t="n"/>
      <c r="L56" s="5" t="inlineStr">
        <is>
          <t>EMPL</t>
        </is>
      </c>
      <c r="M56" s="7">
        <f>N56*40</f>
        <v/>
      </c>
      <c r="N56" s="8">
        <f>J53</f>
        <v/>
      </c>
    </row>
    <row r="57">
      <c r="B57" s="1" t="n"/>
      <c r="L57" s="37" t="inlineStr">
        <is>
          <t>STUDIO</t>
        </is>
      </c>
      <c r="M57" s="7">
        <f>N57*40</f>
        <v/>
      </c>
      <c r="N57" s="8">
        <f>N55-N56</f>
        <v/>
      </c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</sheetData>
  <pageMargins left="0.7" right="0.7" top="0.75" bottom="0.75" header="0.3" footer="0.3"/>
  <pageSetup orientation="portrait" paperSize="9" horizontalDpi="0" verticalDpi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S101"/>
  <sheetViews>
    <sheetView zoomScale="106" zoomScaleNormal="106" workbookViewId="0">
      <pane ySplit="2" topLeftCell="A75" activePane="bottomLeft" state="frozen"/>
      <selection pane="bottomLeft" activeCell="B2" sqref="B2"/>
    </sheetView>
  </sheetViews>
  <sheetFormatPr baseColWidth="10" defaultRowHeight="16"/>
  <cols>
    <col width="12.1640625" customWidth="1" style="1" min="1" max="1"/>
    <col width="30.6640625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9"/>
    <col width="11.1640625" customWidth="1" style="1" min="10" max="10"/>
    <col width="11" customWidth="1" style="1" min="11" max="11"/>
    <col width="18.1640625" bestFit="1" customWidth="1" style="1" min="12" max="12"/>
    <col width="12.33203125" customWidth="1" style="1" min="13" max="13"/>
    <col width="14" bestFit="1" customWidth="1" style="1" min="14" max="14"/>
    <col width="12.5" bestFit="1" customWidth="1" style="1" min="15" max="15"/>
    <col width="13" customWidth="1" style="1" min="16" max="16"/>
    <col width="10.83203125" customWidth="1" style="1" min="17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109" t="inlineStr">
        <is>
          <t>Ріта</t>
        </is>
      </c>
      <c r="H2" s="38" t="inlineStr">
        <is>
          <t>Сергій</t>
        </is>
      </c>
      <c r="I2" s="109" t="inlineStr">
        <is>
          <t>Андрій</t>
        </is>
      </c>
    </row>
    <row r="3">
      <c r="F3" s="38" t="n"/>
      <c r="G3" s="38" t="n"/>
      <c r="H3" s="38" t="n"/>
      <c r="I3" s="38" t="n"/>
    </row>
    <row r="5">
      <c r="A5" s="111" t="inlineStr">
        <is>
          <t>MGX DX</t>
        </is>
      </c>
      <c r="B5" s="23" t="inlineStr">
        <is>
          <t>September</t>
        </is>
      </c>
      <c r="C5" s="56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98" t="inlineStr">
        <is>
          <t>EMPL 1</t>
        </is>
      </c>
      <c r="G5" s="110" t="inlineStr">
        <is>
          <t>EMPL 2</t>
        </is>
      </c>
      <c r="H5" s="110" t="inlineStr">
        <is>
          <t>EMPL 3</t>
        </is>
      </c>
      <c r="I5" s="98" t="inlineStr">
        <is>
          <t>EMPL 4</t>
        </is>
      </c>
      <c r="J5" s="31" t="inlineStr">
        <is>
          <t>Total EMPL</t>
        </is>
      </c>
      <c r="K5" s="39" t="inlineStr">
        <is>
          <t>STUDIO</t>
        </is>
      </c>
      <c r="L5" s="39" t="n"/>
      <c r="M5" s="39" t="n"/>
      <c r="N5" s="29" t="inlineStr">
        <is>
          <t>UAH</t>
        </is>
      </c>
      <c r="O5" s="16" t="inlineStr">
        <is>
          <t>USD</t>
        </is>
      </c>
    </row>
    <row r="6">
      <c r="A6" s="90" t="n"/>
      <c r="B6" s="105" t="inlineStr">
        <is>
          <t>DX-V-026-001</t>
        </is>
      </c>
      <c r="C6" s="76" t="n">
        <v>0.5</v>
      </c>
      <c r="D6" s="1">
        <f>C6*9</f>
        <v/>
      </c>
      <c r="F6" s="33" t="n"/>
      <c r="G6" s="33" t="n"/>
      <c r="H6" s="33">
        <f>D6*5</f>
        <v/>
      </c>
      <c r="I6" s="33">
        <f>D6*10</f>
        <v/>
      </c>
      <c r="K6" s="33">
        <f>D6*35</f>
        <v/>
      </c>
      <c r="M6" s="5" t="inlineStr">
        <is>
          <t>CLIENT IN</t>
        </is>
      </c>
      <c r="N6" s="7">
        <f>O6*40</f>
        <v/>
      </c>
      <c r="O6" s="8">
        <f>K98</f>
        <v/>
      </c>
      <c r="P6" s="33" t="n"/>
    </row>
    <row r="7">
      <c r="A7" s="90" t="n"/>
      <c r="B7" s="105" t="inlineStr">
        <is>
          <t>DX-V-026-007</t>
        </is>
      </c>
      <c r="C7" s="76" t="n">
        <v>0.5</v>
      </c>
      <c r="D7" s="1">
        <f>C7*9</f>
        <v/>
      </c>
      <c r="G7" s="33" t="n"/>
      <c r="H7" s="33">
        <f>D7*5</f>
        <v/>
      </c>
      <c r="I7" s="33">
        <f>D7*10</f>
        <v/>
      </c>
      <c r="K7" s="33">
        <f>D7*35</f>
        <v/>
      </c>
      <c r="M7" s="5" t="inlineStr">
        <is>
          <t>STUDIO (TAX)</t>
        </is>
      </c>
      <c r="N7" s="7">
        <f>O7*40</f>
        <v/>
      </c>
      <c r="O7" s="8">
        <f>O6-O6*0.05</f>
        <v/>
      </c>
      <c r="P7" s="33" t="n"/>
    </row>
    <row r="8">
      <c r="A8" s="90" t="n"/>
      <c r="B8" s="105" t="inlineStr">
        <is>
          <t>DX-V-050-004</t>
        </is>
      </c>
      <c r="C8" s="76" t="n">
        <v>0.5</v>
      </c>
      <c r="D8" s="1">
        <f>C8*9</f>
        <v/>
      </c>
      <c r="G8" s="33" t="n"/>
      <c r="H8" s="33">
        <f>D8*15</f>
        <v/>
      </c>
      <c r="I8" s="33" t="n"/>
      <c r="K8" s="33">
        <f>D8*35</f>
        <v/>
      </c>
      <c r="M8" s="5" t="inlineStr">
        <is>
          <t>EMPL</t>
        </is>
      </c>
      <c r="N8" s="7">
        <f>O8*40</f>
        <v/>
      </c>
      <c r="O8" s="8">
        <f>J98</f>
        <v/>
      </c>
      <c r="P8" s="33" t="n"/>
    </row>
    <row r="9">
      <c r="A9" s="90" t="n"/>
      <c r="B9" s="105" t="inlineStr">
        <is>
          <t>DX-V-050-003</t>
        </is>
      </c>
      <c r="C9" s="76" t="n">
        <v>0.5</v>
      </c>
      <c r="D9" s="1">
        <f>C9*9</f>
        <v/>
      </c>
      <c r="G9" s="33" t="n"/>
      <c r="H9" s="33">
        <f>D9*15</f>
        <v/>
      </c>
      <c r="I9" s="33" t="n"/>
      <c r="K9" s="33">
        <f>D9*35</f>
        <v/>
      </c>
      <c r="M9" s="37" t="inlineStr">
        <is>
          <t>STUDIO</t>
        </is>
      </c>
      <c r="N9" s="7">
        <f>O9*40</f>
        <v/>
      </c>
      <c r="O9" s="8">
        <f>O7-O8</f>
        <v/>
      </c>
      <c r="P9" s="33" t="n"/>
      <c r="Q9" s="4" t="n"/>
      <c r="R9" s="4" t="n"/>
      <c r="S9" s="4" t="n"/>
    </row>
    <row r="10">
      <c r="A10" s="90" t="n"/>
      <c r="B10" s="105" t="inlineStr">
        <is>
          <t>DX-V-042-002</t>
        </is>
      </c>
      <c r="C10" s="76" t="n">
        <v>0.3</v>
      </c>
      <c r="D10" s="1">
        <f>C10*9</f>
        <v/>
      </c>
      <c r="F10" s="33" t="n"/>
      <c r="G10" s="33" t="n"/>
      <c r="H10" s="33">
        <f>D10*15</f>
        <v/>
      </c>
      <c r="I10" s="33" t="n"/>
      <c r="K10" s="33">
        <f>D10*35</f>
        <v/>
      </c>
      <c r="L10" s="8" t="n"/>
      <c r="M10" s="7" t="n"/>
      <c r="O10" s="4" t="n"/>
      <c r="P10" s="33" t="n"/>
    </row>
    <row r="11">
      <c r="A11" s="90" t="n"/>
      <c r="B11" s="105" t="inlineStr">
        <is>
          <t>DX-V-041-003</t>
        </is>
      </c>
      <c r="C11" s="76" t="n">
        <v>0.3</v>
      </c>
      <c r="D11" s="1">
        <f>C11*9</f>
        <v/>
      </c>
      <c r="F11" s="33" t="n"/>
      <c r="G11" s="33" t="n"/>
      <c r="H11" s="33">
        <f>D11*15</f>
        <v/>
      </c>
      <c r="I11" s="33" t="n"/>
      <c r="K11" s="33">
        <f>D11*35</f>
        <v/>
      </c>
      <c r="L11" s="36" t="inlineStr">
        <is>
          <t>EMPL</t>
        </is>
      </c>
      <c r="M11" s="34" t="inlineStr">
        <is>
          <t>COST</t>
        </is>
      </c>
      <c r="N11" s="17" t="inlineStr">
        <is>
          <t>2PAY</t>
        </is>
      </c>
      <c r="O11" s="35" t="inlineStr">
        <is>
          <t>PAID</t>
        </is>
      </c>
      <c r="P11" s="33" t="n"/>
    </row>
    <row r="12">
      <c r="A12" s="90" t="n"/>
      <c r="B12" s="105" t="inlineStr">
        <is>
          <t>DX-V-041-004</t>
        </is>
      </c>
      <c r="C12" s="76" t="n">
        <v>0.3</v>
      </c>
      <c r="D12" s="1">
        <f>C12*9</f>
        <v/>
      </c>
      <c r="F12" s="33" t="n"/>
      <c r="I12" s="33">
        <f>D12*10</f>
        <v/>
      </c>
      <c r="K12" s="33">
        <f>D12*35</f>
        <v/>
      </c>
      <c r="L12" s="32" t="inlineStr">
        <is>
          <t>EMPL 1</t>
        </is>
      </c>
      <c r="M12" s="28">
        <f>F98</f>
        <v/>
      </c>
      <c r="N12" s="33">
        <f>M12-O12</f>
        <v/>
      </c>
      <c r="O12" s="8" t="n"/>
      <c r="P12" s="33" t="n"/>
    </row>
    <row r="13">
      <c r="A13" s="90" t="n"/>
      <c r="B13" s="105" t="inlineStr">
        <is>
          <t>DX-V-060-011</t>
        </is>
      </c>
      <c r="C13" s="76" t="n">
        <v>0.3</v>
      </c>
      <c r="D13" s="1">
        <f>C13*9</f>
        <v/>
      </c>
      <c r="H13" s="33">
        <f>D13*5</f>
        <v/>
      </c>
      <c r="I13" s="33">
        <f>D13*10</f>
        <v/>
      </c>
      <c r="K13" s="33">
        <f>D13*35</f>
        <v/>
      </c>
      <c r="L13" s="32" t="inlineStr">
        <is>
          <t>EMPL 2</t>
        </is>
      </c>
      <c r="M13" s="28">
        <f>H98</f>
        <v/>
      </c>
      <c r="N13" s="33">
        <f>M13-O13</f>
        <v/>
      </c>
      <c r="O13" s="8" t="n"/>
      <c r="P13" s="33" t="n"/>
    </row>
    <row r="14">
      <c r="A14" s="90" t="n"/>
      <c r="B14" s="105" t="inlineStr">
        <is>
          <t>DX-V-060-013</t>
        </is>
      </c>
      <c r="C14" s="76" t="n">
        <v>0.3</v>
      </c>
      <c r="D14" s="1">
        <f>C14*9</f>
        <v/>
      </c>
      <c r="F14" s="33" t="n"/>
      <c r="H14" s="33">
        <f>D14*5</f>
        <v/>
      </c>
      <c r="I14" s="33">
        <f>D14*10</f>
        <v/>
      </c>
      <c r="K14" s="33">
        <f>D14*35</f>
        <v/>
      </c>
      <c r="L14" s="32" t="inlineStr">
        <is>
          <t>EMPL 3</t>
        </is>
      </c>
      <c r="M14" s="28">
        <f>G98</f>
        <v/>
      </c>
      <c r="N14" s="33">
        <f>M14-O14</f>
        <v/>
      </c>
      <c r="O14" s="8" t="n"/>
      <c r="P14" s="33" t="n"/>
    </row>
    <row r="15">
      <c r="A15" s="90" t="n"/>
      <c r="B15" s="105" t="inlineStr">
        <is>
          <t>DX-V-060-005</t>
        </is>
      </c>
      <c r="C15" s="76" t="n">
        <v>0.3</v>
      </c>
      <c r="D15" s="1">
        <f>C15*9</f>
        <v/>
      </c>
      <c r="F15" s="33" t="n"/>
      <c r="H15" s="33">
        <f>D15*5</f>
        <v/>
      </c>
      <c r="I15" s="33">
        <f>D15*10</f>
        <v/>
      </c>
      <c r="K15" s="33">
        <f>D15*35</f>
        <v/>
      </c>
      <c r="L15" s="32" t="inlineStr">
        <is>
          <t>EMPL 4</t>
        </is>
      </c>
      <c r="M15" s="28">
        <f>I98</f>
        <v/>
      </c>
      <c r="N15" s="33">
        <f>M15-O15</f>
        <v/>
      </c>
      <c r="O15" s="8" t="n"/>
      <c r="P15" s="33" t="n"/>
    </row>
    <row r="16">
      <c r="A16" s="90" t="n"/>
      <c r="B16" s="105" t="inlineStr">
        <is>
          <t>DX-V-043-001</t>
        </is>
      </c>
      <c r="C16" s="76" t="n">
        <v>0.5</v>
      </c>
      <c r="D16" s="1">
        <f>C16*9</f>
        <v/>
      </c>
      <c r="H16" s="33">
        <f>D16*15</f>
        <v/>
      </c>
      <c r="K16" s="33">
        <f>D16*35</f>
        <v/>
      </c>
    </row>
    <row r="17">
      <c r="A17" s="90" t="n"/>
      <c r="B17" s="105" t="inlineStr">
        <is>
          <t>DX-V-028-009</t>
        </is>
      </c>
      <c r="C17" s="76" t="n">
        <v>0.3</v>
      </c>
      <c r="D17" s="1">
        <f>C17*9</f>
        <v/>
      </c>
      <c r="H17" s="33" t="n"/>
      <c r="I17" s="33">
        <f>D17*10</f>
        <v/>
      </c>
      <c r="K17" s="33">
        <f>D17*35</f>
        <v/>
      </c>
    </row>
    <row r="18">
      <c r="A18" s="90" t="n"/>
      <c r="B18" s="105" t="inlineStr">
        <is>
          <t>DX-V-031-003</t>
        </is>
      </c>
      <c r="C18" s="76" t="n">
        <v>0.3</v>
      </c>
      <c r="D18" s="1">
        <f>C18*9</f>
        <v/>
      </c>
      <c r="F18" s="33">
        <f>D18*15</f>
        <v/>
      </c>
      <c r="H18" s="33" t="n"/>
      <c r="K18" s="33">
        <f>D18*35</f>
        <v/>
      </c>
    </row>
    <row r="19">
      <c r="A19" s="90" t="n"/>
      <c r="B19" s="105" t="inlineStr">
        <is>
          <t>DX-V-033-009</t>
        </is>
      </c>
      <c r="C19" s="76" t="n">
        <v>0.3</v>
      </c>
      <c r="D19" s="1">
        <f>C19*9</f>
        <v/>
      </c>
      <c r="F19" s="33">
        <f>D17*7</f>
        <v/>
      </c>
      <c r="H19" s="33" t="n"/>
      <c r="I19" s="33">
        <f>D17*8</f>
        <v/>
      </c>
      <c r="K19" s="33">
        <f>D19*35</f>
        <v/>
      </c>
    </row>
    <row r="20">
      <c r="A20" s="90" t="n"/>
      <c r="B20" s="105" t="inlineStr">
        <is>
          <t>DX-V-075-005</t>
        </is>
      </c>
      <c r="C20" s="76" t="n">
        <v>0.3</v>
      </c>
      <c r="D20" s="1">
        <f>C20*9</f>
        <v/>
      </c>
      <c r="H20" s="33">
        <f>D20*15</f>
        <v/>
      </c>
      <c r="K20" s="33">
        <f>D20*35</f>
        <v/>
      </c>
    </row>
    <row r="21">
      <c r="A21" s="90" t="n"/>
      <c r="B21" s="105" t="inlineStr">
        <is>
          <t>DX-V-075-007</t>
        </is>
      </c>
      <c r="C21" s="76" t="n">
        <v>0.3</v>
      </c>
      <c r="D21" s="1">
        <f>C21*9</f>
        <v/>
      </c>
      <c r="H21" s="33" t="n"/>
      <c r="I21" s="33">
        <f>D21*10</f>
        <v/>
      </c>
      <c r="K21" s="33">
        <f>D21*35</f>
        <v/>
      </c>
    </row>
    <row r="22">
      <c r="A22" s="90" t="n"/>
      <c r="B22" s="105" t="inlineStr">
        <is>
          <t>DX-V-002-020</t>
        </is>
      </c>
      <c r="C22" s="76" t="n">
        <v>0.3</v>
      </c>
      <c r="D22" s="1">
        <f>C22*9</f>
        <v/>
      </c>
      <c r="G22" s="33" t="n"/>
      <c r="H22" s="33">
        <f>D22*15</f>
        <v/>
      </c>
      <c r="I22" s="33" t="n"/>
      <c r="K22" s="33">
        <f>D22*35</f>
        <v/>
      </c>
      <c r="R22" s="4" t="n"/>
      <c r="S22" s="4" t="n"/>
    </row>
    <row r="23">
      <c r="A23" s="90" t="n"/>
      <c r="B23" s="105" t="inlineStr">
        <is>
          <t>DX-V-028-010</t>
        </is>
      </c>
      <c r="C23" s="76" t="n">
        <v>0.3</v>
      </c>
      <c r="D23" s="1">
        <f>C23*9</f>
        <v/>
      </c>
      <c r="G23" s="33" t="n"/>
      <c r="H23" s="33">
        <f>D23*15</f>
        <v/>
      </c>
      <c r="I23" s="33" t="n"/>
      <c r="K23" s="33">
        <f>D23*35</f>
        <v/>
      </c>
      <c r="Q23" s="4" t="n"/>
      <c r="R23" s="4" t="n"/>
      <c r="S23" s="4" t="n"/>
    </row>
    <row r="24">
      <c r="A24" s="90" t="n"/>
      <c r="B24" s="105" t="inlineStr">
        <is>
          <t>DX-V-028-011</t>
        </is>
      </c>
      <c r="C24" s="76" t="n">
        <v>0.3</v>
      </c>
      <c r="D24" s="1">
        <f>C24*9</f>
        <v/>
      </c>
      <c r="G24" s="33" t="n"/>
      <c r="H24" s="33">
        <f>D24*15</f>
        <v/>
      </c>
      <c r="I24" s="33" t="n"/>
      <c r="K24" s="33">
        <f>D24*35</f>
        <v/>
      </c>
      <c r="Q24" s="4" t="n"/>
      <c r="R24" s="4" t="n"/>
      <c r="S24" s="4" t="n"/>
    </row>
    <row r="25">
      <c r="A25" s="90" t="n"/>
      <c r="B25" s="105" t="inlineStr">
        <is>
          <t>DX-V-028-012</t>
        </is>
      </c>
      <c r="C25" s="76" t="n">
        <v>0.3</v>
      </c>
      <c r="D25" s="1">
        <f>C25*9</f>
        <v/>
      </c>
      <c r="G25" s="33" t="n"/>
      <c r="H25" s="33">
        <f>D25*15</f>
        <v/>
      </c>
      <c r="I25" s="33" t="n"/>
      <c r="K25" s="33">
        <f>D25*35</f>
        <v/>
      </c>
      <c r="Q25" s="4" t="n"/>
      <c r="R25" s="4" t="n"/>
      <c r="S25" s="4" t="n"/>
    </row>
    <row r="26">
      <c r="A26" s="90" t="n"/>
      <c r="B26" s="105" t="inlineStr">
        <is>
          <t>DX-V-032-013</t>
        </is>
      </c>
      <c r="C26" s="76" t="n">
        <v>0.3</v>
      </c>
      <c r="D26" s="1">
        <f>C26*9</f>
        <v/>
      </c>
      <c r="G26" s="33" t="n"/>
      <c r="H26" s="33" t="n"/>
      <c r="I26" s="33">
        <f>D26*10</f>
        <v/>
      </c>
      <c r="K26" s="33">
        <f>D26*35</f>
        <v/>
      </c>
      <c r="Q26" s="4" t="n"/>
      <c r="R26" s="4" t="n"/>
      <c r="S26" s="4" t="n"/>
    </row>
    <row r="27">
      <c r="A27" s="90" t="n"/>
      <c r="B27" s="105" t="inlineStr">
        <is>
          <t>DX-V-032-014</t>
        </is>
      </c>
      <c r="C27" s="76" t="n">
        <v>0.3</v>
      </c>
      <c r="D27" s="1">
        <f>C27*9</f>
        <v/>
      </c>
      <c r="G27" s="33" t="n"/>
      <c r="H27" s="33" t="n"/>
      <c r="I27" s="33">
        <f>D27*10</f>
        <v/>
      </c>
      <c r="K27" s="33">
        <f>D27*35</f>
        <v/>
      </c>
      <c r="Q27" s="4" t="n"/>
      <c r="R27" s="4" t="n"/>
      <c r="S27" s="4" t="n"/>
    </row>
    <row r="28">
      <c r="A28" s="90" t="n"/>
      <c r="B28" s="105" t="inlineStr">
        <is>
          <t>DX-V-032-015</t>
        </is>
      </c>
      <c r="C28" s="76" t="n">
        <v>0.3</v>
      </c>
      <c r="D28" s="1">
        <f>C28*9</f>
        <v/>
      </c>
      <c r="G28" s="33" t="n"/>
      <c r="H28" s="33" t="n"/>
      <c r="I28" s="33">
        <f>D28*10</f>
        <v/>
      </c>
      <c r="K28" s="33">
        <f>D28*35</f>
        <v/>
      </c>
      <c r="Q28" s="4" t="n"/>
      <c r="R28" s="4" t="n"/>
      <c r="S28" s="4" t="n"/>
    </row>
    <row r="29">
      <c r="A29" s="90" t="n"/>
      <c r="B29" s="105" t="inlineStr">
        <is>
          <t>DX-V-033-010</t>
        </is>
      </c>
      <c r="C29" s="76" t="n">
        <v>0.3</v>
      </c>
      <c r="D29" s="1">
        <f>C29*9</f>
        <v/>
      </c>
      <c r="G29" s="33" t="n"/>
      <c r="H29" s="33" t="n"/>
      <c r="I29" s="33">
        <f>D29*10</f>
        <v/>
      </c>
      <c r="K29" s="33">
        <f>D29*35</f>
        <v/>
      </c>
      <c r="Q29" s="4" t="n"/>
      <c r="R29" s="4" t="n"/>
      <c r="S29" s="4" t="n"/>
    </row>
    <row r="30">
      <c r="A30" s="90" t="inlineStr">
        <is>
          <t>Dop Fix Yaron</t>
        </is>
      </c>
      <c r="B30" s="105" t="inlineStr">
        <is>
          <t>DX-V-060-009</t>
        </is>
      </c>
      <c r="C30" s="76" t="n">
        <v>0.5</v>
      </c>
      <c r="D30" s="1">
        <f>C30*9</f>
        <v/>
      </c>
      <c r="G30" s="33" t="n"/>
      <c r="H30" s="33">
        <f>D30*15</f>
        <v/>
      </c>
      <c r="I30" s="33" t="n"/>
      <c r="K30" s="33">
        <f>D30*35</f>
        <v/>
      </c>
      <c r="Q30" s="4" t="n"/>
      <c r="R30" s="4" t="n"/>
      <c r="S30" s="4" t="n"/>
    </row>
    <row r="31">
      <c r="A31" s="90" t="inlineStr">
        <is>
          <t>Dop Fix Yaron</t>
        </is>
      </c>
      <c r="B31" s="105" t="inlineStr">
        <is>
          <t>DX-V-060-010</t>
        </is>
      </c>
      <c r="C31" s="76" t="n">
        <v>0.5</v>
      </c>
      <c r="D31" s="1">
        <f>C31*9</f>
        <v/>
      </c>
      <c r="G31" s="33" t="n"/>
      <c r="H31" s="33">
        <f>D31*15</f>
        <v/>
      </c>
      <c r="I31" s="33" t="n"/>
      <c r="K31" s="33">
        <f>D31*35</f>
        <v/>
      </c>
      <c r="Q31" s="4" t="n"/>
      <c r="R31" s="4" t="n"/>
      <c r="S31" s="4" t="n"/>
    </row>
    <row r="32">
      <c r="A32" s="90" t="n"/>
      <c r="B32" s="105" t="inlineStr">
        <is>
          <t>DX-V-050-005</t>
        </is>
      </c>
      <c r="C32" s="76" t="n">
        <v>0.3</v>
      </c>
      <c r="D32" s="1">
        <f>C32*9</f>
        <v/>
      </c>
      <c r="G32" s="33" t="n"/>
      <c r="H32" s="33" t="n"/>
      <c r="I32" s="33">
        <f>D32*12</f>
        <v/>
      </c>
      <c r="K32" s="33">
        <f>D32*35</f>
        <v/>
      </c>
      <c r="Q32" s="4" t="n"/>
      <c r="R32" s="4" t="n"/>
      <c r="S32" s="4" t="n"/>
    </row>
    <row r="33">
      <c r="A33" s="90" t="n"/>
      <c r="B33" s="105" t="inlineStr">
        <is>
          <t>DX-V-015-018</t>
        </is>
      </c>
      <c r="C33" s="76" t="n">
        <v>0.3</v>
      </c>
      <c r="D33" s="1">
        <f>C33*9</f>
        <v/>
      </c>
      <c r="G33" s="33" t="n"/>
      <c r="H33" s="33" t="n"/>
      <c r="I33" s="33">
        <f>D33*12</f>
        <v/>
      </c>
      <c r="K33" s="33">
        <f>D33*35</f>
        <v/>
      </c>
      <c r="Q33" s="4" t="n"/>
      <c r="R33" s="4" t="n"/>
      <c r="S33" s="4" t="n"/>
    </row>
    <row r="34">
      <c r="A34" s="90" t="n"/>
      <c r="B34" s="105" t="inlineStr">
        <is>
          <t>DX-V-015-019</t>
        </is>
      </c>
      <c r="C34" s="76" t="n">
        <v>0.3</v>
      </c>
      <c r="D34" s="1">
        <f>C34*9</f>
        <v/>
      </c>
      <c r="G34" s="33" t="n"/>
      <c r="H34" s="33" t="n"/>
      <c r="I34" s="33">
        <f>D34*12</f>
        <v/>
      </c>
      <c r="K34" s="33">
        <f>D34*35</f>
        <v/>
      </c>
      <c r="Q34" s="4" t="n"/>
      <c r="R34" s="4" t="n"/>
      <c r="S34" s="4" t="n"/>
    </row>
    <row r="35">
      <c r="A35" s="90" t="n"/>
      <c r="B35" s="105" t="inlineStr">
        <is>
          <t>DX-V-015-020</t>
        </is>
      </c>
      <c r="C35" s="76" t="n">
        <v>0.3</v>
      </c>
      <c r="D35" s="1">
        <f>C35*9</f>
        <v/>
      </c>
      <c r="G35" s="33" t="n"/>
      <c r="H35" s="33" t="n"/>
      <c r="I35" s="33">
        <f>D35*12</f>
        <v/>
      </c>
      <c r="K35" s="33">
        <f>D35*35</f>
        <v/>
      </c>
      <c r="Q35" s="4" t="n"/>
      <c r="R35" s="4" t="n"/>
      <c r="S35" s="4" t="n"/>
    </row>
    <row r="36">
      <c r="A36" s="90" t="n"/>
      <c r="B36" s="105" t="inlineStr">
        <is>
          <t>DX-V-015-021</t>
        </is>
      </c>
      <c r="C36" s="76" t="n">
        <v>0.3</v>
      </c>
      <c r="D36" s="1">
        <f>C36*9</f>
        <v/>
      </c>
      <c r="G36" s="33" t="n"/>
      <c r="H36" s="33" t="n"/>
      <c r="I36" s="33">
        <f>D36*12</f>
        <v/>
      </c>
      <c r="K36" s="33">
        <f>D36*35</f>
        <v/>
      </c>
      <c r="Q36" s="4" t="n"/>
      <c r="R36" s="4" t="n"/>
      <c r="S36" s="4" t="n"/>
    </row>
    <row r="37">
      <c r="A37" s="90" t="n"/>
      <c r="B37" s="105" t="inlineStr">
        <is>
          <t>DX-V-051-004</t>
        </is>
      </c>
      <c r="C37" s="76" t="n">
        <v>0.3</v>
      </c>
      <c r="D37" s="1">
        <f>C37*9</f>
        <v/>
      </c>
      <c r="G37" s="33" t="n"/>
      <c r="H37" s="33">
        <f>D37*15</f>
        <v/>
      </c>
      <c r="I37" s="33" t="n"/>
      <c r="K37" s="33">
        <f>D37*35</f>
        <v/>
      </c>
      <c r="Q37" s="4" t="n"/>
      <c r="R37" s="4" t="n"/>
      <c r="S37" s="4" t="n"/>
    </row>
    <row r="38">
      <c r="A38" s="90" t="n"/>
      <c r="B38" s="105" t="inlineStr">
        <is>
          <t>DX-V-015-022</t>
        </is>
      </c>
      <c r="C38" s="76" t="n">
        <v>0.3</v>
      </c>
      <c r="D38" s="1">
        <f>C38*9</f>
        <v/>
      </c>
      <c r="F38" s="33">
        <f>D38*15</f>
        <v/>
      </c>
      <c r="G38" s="33" t="n"/>
      <c r="I38" s="33" t="n"/>
      <c r="K38" s="33">
        <f>D38*35</f>
        <v/>
      </c>
      <c r="Q38" s="4" t="n"/>
      <c r="R38" s="4" t="n"/>
      <c r="S38" s="4" t="n"/>
    </row>
    <row r="39">
      <c r="A39" s="90" t="n"/>
      <c r="B39" s="105" t="inlineStr">
        <is>
          <t>DX-V-051-005</t>
        </is>
      </c>
      <c r="C39" s="76" t="n">
        <v>0.3</v>
      </c>
      <c r="D39" s="1">
        <f>C39*9</f>
        <v/>
      </c>
      <c r="G39" s="33" t="n"/>
      <c r="H39" s="33">
        <f>D39*15</f>
        <v/>
      </c>
      <c r="I39" s="33" t="n"/>
      <c r="K39" s="33">
        <f>D39*35</f>
        <v/>
      </c>
      <c r="Q39" s="4" t="n"/>
      <c r="R39" s="4" t="n"/>
      <c r="S39" s="4" t="n"/>
    </row>
    <row r="40">
      <c r="A40" s="90" t="n"/>
      <c r="B40" s="105" t="inlineStr">
        <is>
          <t>DX-V-032-016</t>
        </is>
      </c>
      <c r="C40" s="76" t="n">
        <v>0.3</v>
      </c>
      <c r="D40" s="1">
        <f>C40*9</f>
        <v/>
      </c>
      <c r="G40" s="33" t="n"/>
      <c r="H40" s="33">
        <f>D40*15</f>
        <v/>
      </c>
      <c r="I40" s="33" t="n"/>
      <c r="K40" s="33">
        <f>D40*35</f>
        <v/>
      </c>
      <c r="Q40" s="4" t="n"/>
      <c r="R40" s="4" t="n"/>
      <c r="S40" s="4" t="n"/>
    </row>
    <row r="41">
      <c r="A41" s="90" t="n"/>
      <c r="B41" s="105" t="inlineStr">
        <is>
          <t>DX-V-079-003</t>
        </is>
      </c>
      <c r="C41" s="76" t="n">
        <v>0.3</v>
      </c>
      <c r="D41" s="1">
        <f>C41*9</f>
        <v/>
      </c>
      <c r="G41" s="33" t="n"/>
      <c r="H41" s="33" t="n"/>
      <c r="I41" s="33">
        <f>D41*12</f>
        <v/>
      </c>
      <c r="K41" s="33">
        <f>D41*35</f>
        <v/>
      </c>
      <c r="Q41" s="4" t="n"/>
      <c r="R41" s="4" t="n"/>
      <c r="S41" s="4" t="n"/>
    </row>
    <row r="42">
      <c r="B42" s="105" t="n"/>
      <c r="C42" s="76" t="n"/>
      <c r="G42" s="33" t="n"/>
      <c r="H42" s="33" t="n"/>
      <c r="I42" s="33" t="n"/>
      <c r="K42" s="33" t="n"/>
      <c r="Q42" s="4" t="n"/>
      <c r="R42" s="4" t="n"/>
      <c r="S42" s="4" t="n"/>
    </row>
    <row r="43">
      <c r="K43" s="33" t="n"/>
      <c r="Q43" s="4" t="n"/>
      <c r="R43" s="4" t="n"/>
      <c r="S43" s="4" t="n"/>
    </row>
    <row r="44">
      <c r="A44" s="111" t="inlineStr">
        <is>
          <t>MGX DD</t>
        </is>
      </c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Q44" s="4" t="n"/>
      <c r="R44" s="4" t="n"/>
      <c r="S44" s="4" t="n"/>
    </row>
    <row r="45">
      <c r="A45" s="90" t="n"/>
      <c r="B45" s="105" t="inlineStr">
        <is>
          <t>DD-V-049-032</t>
        </is>
      </c>
      <c r="C45" s="76" t="n">
        <v>0.5</v>
      </c>
      <c r="D45" s="1">
        <f>C45*9</f>
        <v/>
      </c>
      <c r="H45" s="33">
        <f>D45*15</f>
        <v/>
      </c>
      <c r="K45" s="33">
        <f>D45*35</f>
        <v/>
      </c>
      <c r="Q45" s="4" t="n"/>
      <c r="R45" s="4" t="n"/>
      <c r="S45" s="4" t="n"/>
    </row>
    <row r="46">
      <c r="A46" s="90" t="n"/>
      <c r="B46" s="105" t="inlineStr">
        <is>
          <t>DD-UGC-300-001 DD-V-162-011</t>
        </is>
      </c>
      <c r="C46" s="76" t="n">
        <v>0.5</v>
      </c>
      <c r="D46" s="1">
        <f>C46*9</f>
        <v/>
      </c>
      <c r="G46" s="33" t="n"/>
      <c r="H46" s="33">
        <f>D46*15</f>
        <v/>
      </c>
      <c r="I46" s="33" t="n"/>
      <c r="K46" s="33">
        <f>D46*35</f>
        <v/>
      </c>
      <c r="Q46" s="4" t="n"/>
      <c r="R46" s="4" t="n"/>
      <c r="S46" s="4" t="n"/>
    </row>
    <row r="47">
      <c r="A47" s="90" t="n"/>
      <c r="B47" s="105" t="inlineStr">
        <is>
          <t>DD-UGC-300-001 DD-V-162-012</t>
        </is>
      </c>
      <c r="C47" s="76" t="n">
        <v>0.5</v>
      </c>
      <c r="D47" s="1">
        <f>C47*9</f>
        <v/>
      </c>
      <c r="G47" s="33" t="n"/>
      <c r="H47" s="33">
        <f>D47*15</f>
        <v/>
      </c>
      <c r="I47" s="33" t="n"/>
      <c r="K47" s="33">
        <f>D47*35</f>
        <v/>
      </c>
      <c r="N47" s="5" t="n"/>
      <c r="P47" s="4" t="n"/>
      <c r="Q47" s="4" t="n"/>
      <c r="R47" s="4" t="n"/>
      <c r="S47" s="4" t="n"/>
    </row>
    <row r="48">
      <c r="A48" s="90" t="n"/>
      <c r="B48" s="105" t="inlineStr">
        <is>
          <t>DD-V-181-033</t>
        </is>
      </c>
      <c r="C48" s="76" t="n">
        <v>0.05</v>
      </c>
      <c r="D48" s="1">
        <f>C48*9</f>
        <v/>
      </c>
      <c r="G48" s="33" t="n"/>
      <c r="H48" s="33">
        <f>D48*15</f>
        <v/>
      </c>
      <c r="I48" s="33" t="n"/>
      <c r="K48" s="33">
        <f>D48*35</f>
        <v/>
      </c>
      <c r="N48" s="5" t="n"/>
      <c r="P48" s="4" t="n"/>
      <c r="Q48" s="4" t="n"/>
      <c r="R48" s="4" t="n"/>
      <c r="S48" s="4" t="n"/>
    </row>
    <row r="49">
      <c r="A49" s="90" t="n"/>
      <c r="B49" s="105" t="inlineStr">
        <is>
          <t>DD-V-181-034_US2023</t>
        </is>
      </c>
      <c r="C49" s="76" t="n">
        <v>0.05</v>
      </c>
      <c r="D49" s="1">
        <f>C49*9</f>
        <v/>
      </c>
      <c r="G49" s="33" t="n"/>
      <c r="H49" s="33">
        <f>D49*15</f>
        <v/>
      </c>
      <c r="I49" s="33" t="n"/>
      <c r="K49" s="33">
        <f>D49*35</f>
        <v/>
      </c>
      <c r="N49" s="5" t="n"/>
      <c r="P49" s="4" t="n"/>
      <c r="Q49" s="4" t="n"/>
      <c r="R49" s="4" t="n"/>
      <c r="S49" s="4" t="n"/>
    </row>
    <row r="50">
      <c r="A50" s="90" t="n"/>
      <c r="B50" s="105" t="inlineStr">
        <is>
          <t>DD-V-211-001</t>
        </is>
      </c>
      <c r="C50" s="76" t="n">
        <v>0.05</v>
      </c>
      <c r="D50" s="1">
        <f>C50*9</f>
        <v/>
      </c>
      <c r="G50" s="33" t="n"/>
      <c r="H50" s="33">
        <f>D50*15</f>
        <v/>
      </c>
      <c r="I50" s="33" t="n"/>
      <c r="K50" s="33">
        <f>D50*35</f>
        <v/>
      </c>
      <c r="N50" s="5" t="n"/>
      <c r="P50" s="4" t="n"/>
      <c r="Q50" s="4" t="n"/>
      <c r="R50" s="4" t="n"/>
      <c r="S50" s="4" t="n"/>
    </row>
    <row r="51">
      <c r="A51" s="90" t="n"/>
      <c r="B51" s="105" t="inlineStr">
        <is>
          <t>DD-V-221-001</t>
        </is>
      </c>
      <c r="C51" s="76" t="n">
        <v>0.05</v>
      </c>
      <c r="D51" s="1">
        <f>C51*9</f>
        <v/>
      </c>
      <c r="G51" s="33" t="n"/>
      <c r="H51" s="33" t="n"/>
      <c r="I51" s="33">
        <f>D51*10</f>
        <v/>
      </c>
      <c r="K51" s="33">
        <f>D51*35</f>
        <v/>
      </c>
      <c r="N51" s="5" t="n"/>
      <c r="P51" s="4" t="n"/>
      <c r="Q51" s="4" t="n"/>
      <c r="R51" s="4" t="n"/>
      <c r="S51" s="4" t="n"/>
    </row>
    <row r="52">
      <c r="A52" s="90" t="n"/>
      <c r="B52" s="105" t="inlineStr">
        <is>
          <t>DD-V-181-028</t>
        </is>
      </c>
      <c r="C52" s="76" t="n">
        <v>0.05</v>
      </c>
      <c r="D52" s="1">
        <f>C52*9</f>
        <v/>
      </c>
      <c r="F52" s="33">
        <f>D52*15</f>
        <v/>
      </c>
      <c r="G52" s="33" t="n"/>
      <c r="H52" s="33" t="n"/>
      <c r="I52" s="33" t="n"/>
      <c r="K52" s="33">
        <f>D52*35</f>
        <v/>
      </c>
      <c r="N52" s="5" t="n"/>
      <c r="P52" s="4" t="n"/>
      <c r="Q52" s="4" t="n"/>
      <c r="R52" s="4" t="n"/>
      <c r="S52" s="4" t="n"/>
    </row>
    <row r="53">
      <c r="A53" s="90" t="n"/>
      <c r="B53" s="105" t="inlineStr">
        <is>
          <t>DD-V-181-035</t>
        </is>
      </c>
      <c r="C53" s="76" t="n">
        <v>0.05</v>
      </c>
      <c r="D53" s="1">
        <f>C53*9</f>
        <v/>
      </c>
      <c r="F53" s="33">
        <f>D53*15</f>
        <v/>
      </c>
      <c r="G53" s="33" t="n"/>
      <c r="H53" s="33" t="n"/>
      <c r="I53" s="33" t="n"/>
      <c r="K53" s="33">
        <f>D53*35</f>
        <v/>
      </c>
      <c r="N53" s="5" t="n"/>
      <c r="P53" s="4" t="n"/>
      <c r="Q53" s="4" t="n"/>
      <c r="R53" s="4" t="n"/>
      <c r="S53" s="4" t="n"/>
    </row>
    <row r="54">
      <c r="A54" s="90" t="n"/>
      <c r="B54" s="105" t="inlineStr">
        <is>
          <t>DD-V-181-036</t>
        </is>
      </c>
      <c r="C54" s="76" t="n">
        <v>0.05</v>
      </c>
      <c r="D54" s="1">
        <f>C54*9</f>
        <v/>
      </c>
      <c r="F54" s="33">
        <f>D54*15</f>
        <v/>
      </c>
      <c r="G54" s="33" t="n"/>
      <c r="H54" s="33" t="n"/>
      <c r="I54" s="33" t="n"/>
      <c r="K54" s="33">
        <f>D54*35</f>
        <v/>
      </c>
      <c r="N54" s="5" t="n"/>
      <c r="P54" s="4" t="n"/>
      <c r="Q54" s="4" t="n"/>
      <c r="R54" s="4" t="n"/>
      <c r="S54" s="4" t="n"/>
    </row>
    <row r="55">
      <c r="A55" s="90" t="n"/>
      <c r="B55" s="105" t="inlineStr">
        <is>
          <t>DD-V-181-029</t>
        </is>
      </c>
      <c r="C55" s="76" t="n">
        <v>0.05</v>
      </c>
      <c r="D55" s="1">
        <f>C55*9</f>
        <v/>
      </c>
      <c r="F55" s="33">
        <f>D55*15</f>
        <v/>
      </c>
      <c r="G55" s="33" t="n"/>
      <c r="H55" s="33" t="n"/>
      <c r="I55" s="33" t="n"/>
      <c r="K55" s="33">
        <f>D55*35</f>
        <v/>
      </c>
      <c r="N55" s="5" t="n"/>
      <c r="P55" s="4" t="n"/>
      <c r="Q55" s="4" t="n"/>
      <c r="R55" s="4" t="n"/>
      <c r="S55" s="4" t="n"/>
    </row>
    <row r="56">
      <c r="A56" s="90" t="n"/>
      <c r="B56" s="105" t="inlineStr">
        <is>
          <t>DD-V-181-037</t>
        </is>
      </c>
      <c r="C56" s="76" t="n">
        <v>0.05</v>
      </c>
      <c r="D56" s="1">
        <f>C56*9</f>
        <v/>
      </c>
      <c r="F56" s="33">
        <f>D56*15</f>
        <v/>
      </c>
      <c r="G56" s="33" t="n"/>
      <c r="H56" s="33" t="n"/>
      <c r="I56" s="33" t="n"/>
      <c r="K56" s="33">
        <f>D56*35</f>
        <v/>
      </c>
      <c r="N56" s="5" t="n"/>
      <c r="P56" s="4" t="n"/>
      <c r="Q56" s="4" t="n"/>
      <c r="R56" s="4" t="n"/>
      <c r="S56" s="4" t="n"/>
    </row>
    <row r="57">
      <c r="A57" s="90" t="n"/>
      <c r="B57" s="105" t="inlineStr">
        <is>
          <t>DD-V-181-038</t>
        </is>
      </c>
      <c r="C57" s="76" t="n">
        <v>0.05</v>
      </c>
      <c r="D57" s="1">
        <f>C57*9</f>
        <v/>
      </c>
      <c r="F57" s="33">
        <f>D57*15</f>
        <v/>
      </c>
      <c r="G57" s="33" t="n"/>
      <c r="H57" s="33" t="n"/>
      <c r="I57" s="33" t="n"/>
      <c r="K57" s="33">
        <f>D57*35</f>
        <v/>
      </c>
      <c r="N57" s="5" t="n"/>
      <c r="P57" s="4" t="n"/>
      <c r="Q57" s="4" t="n"/>
      <c r="R57" s="4" t="n"/>
      <c r="S57" s="4" t="n"/>
    </row>
    <row r="58">
      <c r="A58" s="90" t="n"/>
      <c r="B58" s="105" t="inlineStr">
        <is>
          <t>DD-V-181-030</t>
        </is>
      </c>
      <c r="C58" s="76" t="n">
        <v>0.05</v>
      </c>
      <c r="D58" s="1">
        <f>C58*9</f>
        <v/>
      </c>
      <c r="G58" s="33" t="n"/>
      <c r="H58" s="33" t="n"/>
      <c r="I58" s="33">
        <f>D58*10</f>
        <v/>
      </c>
      <c r="K58" s="33">
        <f>D58*35</f>
        <v/>
      </c>
      <c r="N58" s="5" t="n"/>
      <c r="P58" s="4" t="n"/>
      <c r="Q58" s="4" t="n"/>
      <c r="R58" s="4" t="n"/>
      <c r="S58" s="4" t="n"/>
    </row>
    <row r="59">
      <c r="A59" s="90" t="n"/>
      <c r="B59" s="105" t="inlineStr">
        <is>
          <t>DD-V-181-039</t>
        </is>
      </c>
      <c r="C59" s="76" t="n">
        <v>0.05</v>
      </c>
      <c r="D59" s="1">
        <f>C59*9</f>
        <v/>
      </c>
      <c r="G59" s="33" t="n"/>
      <c r="H59" s="33" t="n"/>
      <c r="I59" s="33">
        <f>D59*10</f>
        <v/>
      </c>
      <c r="K59" s="33">
        <f>D59*35</f>
        <v/>
      </c>
      <c r="N59" s="5" t="n"/>
      <c r="P59" s="4" t="n"/>
      <c r="Q59" s="4" t="n"/>
      <c r="R59" s="4" t="n"/>
      <c r="S59" s="4" t="n"/>
    </row>
    <row r="60">
      <c r="A60" s="90" t="n"/>
      <c r="B60" s="105" t="inlineStr">
        <is>
          <t>DD-V-181-040</t>
        </is>
      </c>
      <c r="C60" s="76" t="n">
        <v>0.05</v>
      </c>
      <c r="D60" s="1">
        <f>C60*9</f>
        <v/>
      </c>
      <c r="G60" s="33" t="n"/>
      <c r="H60" s="33" t="n"/>
      <c r="I60" s="33">
        <f>D60*10</f>
        <v/>
      </c>
      <c r="K60" s="33">
        <f>D60*35</f>
        <v/>
      </c>
      <c r="N60" s="5" t="n"/>
      <c r="P60" s="4" t="n"/>
      <c r="Q60" s="4" t="n"/>
      <c r="R60" s="4" t="n"/>
      <c r="S60" s="4" t="n"/>
    </row>
    <row r="61">
      <c r="A61" s="90" t="n"/>
      <c r="B61" s="105" t="inlineStr">
        <is>
          <t>DD-V-181-031</t>
        </is>
      </c>
      <c r="C61" s="76" t="n">
        <v>0.05</v>
      </c>
      <c r="D61" s="1">
        <f>C61*9</f>
        <v/>
      </c>
      <c r="G61" s="33" t="n"/>
      <c r="H61" s="33" t="n"/>
      <c r="I61" s="33">
        <f>D61*10</f>
        <v/>
      </c>
      <c r="K61" s="33">
        <f>D61*35</f>
        <v/>
      </c>
      <c r="N61" s="5" t="n"/>
      <c r="P61" s="4" t="n"/>
      <c r="Q61" s="4" t="n"/>
      <c r="R61" s="4" t="n"/>
      <c r="S61" s="4" t="n"/>
    </row>
    <row r="62">
      <c r="A62" s="90" t="n"/>
      <c r="B62" s="105" t="inlineStr">
        <is>
          <t>DD-V-181-041</t>
        </is>
      </c>
      <c r="C62" s="76" t="n">
        <v>0.05</v>
      </c>
      <c r="D62" s="1">
        <f>C62*9</f>
        <v/>
      </c>
      <c r="G62" s="33" t="n"/>
      <c r="H62" s="33" t="n"/>
      <c r="I62" s="33">
        <f>D62*10</f>
        <v/>
      </c>
      <c r="K62" s="33">
        <f>D62*35</f>
        <v/>
      </c>
      <c r="N62" s="5" t="n"/>
      <c r="P62" s="4" t="n"/>
      <c r="Q62" s="4" t="n"/>
      <c r="R62" s="4" t="n"/>
      <c r="S62" s="4" t="n"/>
    </row>
    <row r="63">
      <c r="A63" s="90" t="n"/>
      <c r="B63" s="105" t="inlineStr">
        <is>
          <t>DD-V-181-042</t>
        </is>
      </c>
      <c r="C63" s="76" t="n">
        <v>0.05</v>
      </c>
      <c r="D63" s="1">
        <f>C63*9</f>
        <v/>
      </c>
      <c r="G63" s="33" t="n"/>
      <c r="H63" s="33" t="n"/>
      <c r="I63" s="33">
        <f>D63*10</f>
        <v/>
      </c>
      <c r="K63" s="33">
        <f>D63*35</f>
        <v/>
      </c>
      <c r="N63" s="5" t="n"/>
      <c r="P63" s="4" t="n"/>
      <c r="Q63" s="4" t="n"/>
      <c r="R63" s="4" t="n"/>
      <c r="S63" s="4" t="n"/>
    </row>
    <row r="64">
      <c r="A64" s="90" t="n"/>
      <c r="B64" s="105" t="inlineStr">
        <is>
          <t>DD-V-181-043</t>
        </is>
      </c>
      <c r="C64" s="76" t="n">
        <v>0.05</v>
      </c>
      <c r="D64" s="1">
        <f>C64*9</f>
        <v/>
      </c>
      <c r="G64" s="33" t="n"/>
      <c r="H64" s="33" t="n"/>
      <c r="I64" s="33">
        <f>D64*10</f>
        <v/>
      </c>
      <c r="K64" s="33">
        <f>D64*35</f>
        <v/>
      </c>
      <c r="N64" s="5" t="n"/>
      <c r="P64" s="4" t="n"/>
      <c r="Q64" s="4" t="n"/>
      <c r="R64" s="4" t="n"/>
      <c r="S64" s="4" t="n"/>
    </row>
    <row r="65">
      <c r="A65" s="90" t="n"/>
      <c r="B65" s="105" t="inlineStr">
        <is>
          <t>DD-V-181-044</t>
        </is>
      </c>
      <c r="C65" s="76" t="n">
        <v>0.05</v>
      </c>
      <c r="D65" s="1">
        <f>C65*9</f>
        <v/>
      </c>
      <c r="G65" s="33" t="n"/>
      <c r="H65" s="33" t="n"/>
      <c r="I65" s="33">
        <f>D65*10</f>
        <v/>
      </c>
      <c r="K65" s="33">
        <f>D65*35</f>
        <v/>
      </c>
      <c r="N65" s="5" t="n"/>
      <c r="P65" s="4" t="n"/>
      <c r="Q65" s="4" t="n"/>
      <c r="R65" s="4" t="n"/>
      <c r="S65" s="4" t="n"/>
    </row>
    <row r="66">
      <c r="A66" s="90" t="n"/>
      <c r="B66" s="105" t="inlineStr">
        <is>
          <t>DD-V-235-002</t>
        </is>
      </c>
      <c r="C66" s="76" t="n">
        <v>1</v>
      </c>
      <c r="D66" s="1">
        <f>C66*9</f>
        <v/>
      </c>
      <c r="G66" s="33" t="n"/>
      <c r="H66" s="33">
        <f>D66*15</f>
        <v/>
      </c>
      <c r="I66" s="33" t="n"/>
      <c r="K66" s="33">
        <f>D66*35</f>
        <v/>
      </c>
      <c r="N66" s="5" t="n"/>
      <c r="P66" s="4" t="n"/>
      <c r="Q66" s="4" t="n"/>
      <c r="R66" s="4" t="n"/>
      <c r="S66" s="4" t="n"/>
    </row>
    <row r="67">
      <c r="A67" s="90" t="n"/>
      <c r="B67" s="105" t="inlineStr">
        <is>
          <t>DD-V-078-055</t>
        </is>
      </c>
      <c r="C67" s="76" t="n">
        <v>0.2</v>
      </c>
      <c r="D67" s="1">
        <f>C67*9</f>
        <v/>
      </c>
      <c r="G67" s="33" t="n"/>
      <c r="H67" s="33">
        <f>D67*15</f>
        <v/>
      </c>
      <c r="I67" s="33" t="n"/>
      <c r="K67" s="33">
        <f>D67*35</f>
        <v/>
      </c>
    </row>
    <row r="68">
      <c r="A68" s="90" t="n"/>
      <c r="B68" s="105" t="inlineStr">
        <is>
          <t>DD-V-181-005</t>
        </is>
      </c>
      <c r="C68" s="76" t="n">
        <v>0.1</v>
      </c>
      <c r="D68" s="1">
        <f>C68*9</f>
        <v/>
      </c>
      <c r="G68" s="33" t="n"/>
      <c r="H68" s="33">
        <f>D68*15</f>
        <v/>
      </c>
      <c r="I68" s="33" t="n"/>
      <c r="K68" s="33">
        <f>D68*35</f>
        <v/>
      </c>
    </row>
    <row r="69">
      <c r="A69" s="90" t="n"/>
      <c r="B69" s="113" t="inlineStr">
        <is>
          <t>DD-V-126-032</t>
        </is>
      </c>
      <c r="C69" s="76" t="n">
        <v>0.5</v>
      </c>
      <c r="D69" s="1">
        <f>C69*9</f>
        <v/>
      </c>
      <c r="G69" s="33" t="n"/>
      <c r="H69" s="33" t="n"/>
      <c r="I69" s="33">
        <f>D69*10</f>
        <v/>
      </c>
      <c r="K69" s="33">
        <f>D69*35</f>
        <v/>
      </c>
    </row>
    <row r="70">
      <c r="A70" s="90" t="n"/>
      <c r="B70" s="113" t="inlineStr">
        <is>
          <t>DD-V-144-032</t>
        </is>
      </c>
      <c r="C70" s="76" t="n">
        <v>0.5</v>
      </c>
      <c r="D70" s="1">
        <f>C70*9</f>
        <v/>
      </c>
      <c r="G70" s="33" t="n"/>
      <c r="H70" s="33" t="n"/>
      <c r="I70" s="33">
        <f>D70*10</f>
        <v/>
      </c>
      <c r="K70" s="33">
        <f>D70*35</f>
        <v/>
      </c>
    </row>
    <row r="71">
      <c r="A71" s="90" t="n"/>
      <c r="B71" s="113" t="inlineStr">
        <is>
          <t>DD-V-049-031</t>
        </is>
      </c>
      <c r="C71" s="76" t="n">
        <v>0.5</v>
      </c>
      <c r="D71" s="1">
        <f>C71*9</f>
        <v/>
      </c>
      <c r="G71" s="33" t="n"/>
      <c r="H71" s="33">
        <f>D71*15</f>
        <v/>
      </c>
      <c r="K71" s="33">
        <f>D71*35</f>
        <v/>
      </c>
    </row>
    <row r="72">
      <c r="A72" s="90" t="n"/>
      <c r="B72" s="105" t="inlineStr">
        <is>
          <t>DD-V-242-002</t>
        </is>
      </c>
      <c r="C72" s="76" t="n">
        <v>0.5</v>
      </c>
      <c r="D72" s="1">
        <f>C72*9</f>
        <v/>
      </c>
      <c r="G72" s="33" t="n"/>
      <c r="H72" s="33">
        <f>D72*15</f>
        <v/>
      </c>
      <c r="K72" s="33">
        <f>D72*35</f>
        <v/>
      </c>
    </row>
    <row r="73">
      <c r="A73" s="90" t="n"/>
      <c r="B73" s="105" t="inlineStr">
        <is>
          <t>DD-V-078-056</t>
        </is>
      </c>
      <c r="C73" s="76" t="n">
        <v>1</v>
      </c>
      <c r="D73" s="1">
        <f>C73*9</f>
        <v/>
      </c>
      <c r="G73" s="33" t="n"/>
      <c r="H73" s="33" t="n"/>
      <c r="I73" s="33">
        <f>D73*12</f>
        <v/>
      </c>
      <c r="K73" s="33">
        <f>D73*35</f>
        <v/>
      </c>
    </row>
    <row r="74">
      <c r="A74" s="90" t="n"/>
      <c r="B74" s="105" t="inlineStr">
        <is>
          <t>DD-V-221-002</t>
        </is>
      </c>
      <c r="C74" s="76" t="n">
        <v>0.5</v>
      </c>
      <c r="D74" s="1">
        <f>C74*9</f>
        <v/>
      </c>
      <c r="G74" s="33" t="n"/>
      <c r="H74" s="33">
        <f>D74*15</f>
        <v/>
      </c>
      <c r="K74" s="33">
        <f>D74*35</f>
        <v/>
      </c>
    </row>
    <row r="75">
      <c r="A75" s="90" t="n"/>
      <c r="B75" s="105" t="inlineStr">
        <is>
          <t>DD-V-233-002</t>
        </is>
      </c>
      <c r="C75" s="76" t="n">
        <v>0.5</v>
      </c>
      <c r="D75" s="1">
        <f>C75*9</f>
        <v/>
      </c>
      <c r="G75" s="33" t="n"/>
      <c r="H75" s="33">
        <f>D75*15</f>
        <v/>
      </c>
      <c r="K75" s="33">
        <f>D75*35</f>
        <v/>
      </c>
    </row>
    <row r="76">
      <c r="A76" s="90" t="n"/>
      <c r="B76" s="105" t="inlineStr">
        <is>
          <t>DD-V-078-053</t>
        </is>
      </c>
      <c r="C76" s="76" t="n">
        <v>0.5</v>
      </c>
      <c r="D76" s="1">
        <f>C76*9</f>
        <v/>
      </c>
      <c r="E76" s="105" t="n"/>
      <c r="F76" s="105" t="n"/>
      <c r="G76" s="105" t="n"/>
      <c r="H76" s="33">
        <f>D76*15</f>
        <v/>
      </c>
      <c r="I76" s="105" t="n"/>
      <c r="J76" s="105" t="n"/>
      <c r="K76" s="33">
        <f>D76*35</f>
        <v/>
      </c>
      <c r="L76" s="123" t="n"/>
    </row>
    <row r="77">
      <c r="A77" s="90" t="n"/>
      <c r="B77" s="105" t="inlineStr">
        <is>
          <t>DD-V-078-054</t>
        </is>
      </c>
      <c r="C77" s="76" t="n">
        <v>0.5</v>
      </c>
      <c r="D77" s="1">
        <f>C77*9</f>
        <v/>
      </c>
      <c r="E77" s="105" t="n"/>
      <c r="F77" s="105" t="n"/>
      <c r="G77" s="105" t="n"/>
      <c r="H77" s="105" t="n"/>
      <c r="I77" s="33">
        <f>D77*12</f>
        <v/>
      </c>
      <c r="J77" s="105" t="n"/>
      <c r="K77" s="33">
        <f>D77*35</f>
        <v/>
      </c>
      <c r="L77" s="123" t="n"/>
    </row>
    <row r="78">
      <c r="A78" s="105" t="n"/>
      <c r="B78" s="105" t="n"/>
      <c r="C78" s="76" t="n"/>
      <c r="G78" s="33" t="n"/>
      <c r="H78" s="33" t="n"/>
      <c r="K78" s="33" t="n"/>
    </row>
    <row r="79">
      <c r="A79" s="105" t="n"/>
      <c r="B79" s="105" t="n"/>
      <c r="C79" s="76" t="n"/>
      <c r="G79" s="33" t="n"/>
      <c r="H79" s="33" t="n"/>
      <c r="I79" s="33" t="n"/>
      <c r="K79" s="33" t="n"/>
    </row>
    <row r="80">
      <c r="A80" s="111" t="inlineStr">
        <is>
          <t>2D DX</t>
        </is>
      </c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P80" s="6" t="n"/>
      <c r="Q80" s="4" t="n"/>
      <c r="R80" s="4" t="n"/>
      <c r="S80" s="4" t="n"/>
    </row>
    <row r="81">
      <c r="A81" s="90" t="n"/>
      <c r="B81" s="105" t="inlineStr">
        <is>
          <t>DX-FG-009-002</t>
        </is>
      </c>
      <c r="C81" s="76" t="n">
        <v>0.5</v>
      </c>
      <c r="D81" s="1">
        <f>C81*9</f>
        <v/>
      </c>
      <c r="F81" s="33">
        <f>D81*15</f>
        <v/>
      </c>
      <c r="G81" s="33" t="n"/>
      <c r="H81" s="33" t="n"/>
      <c r="I81" s="33" t="n"/>
      <c r="K81" s="33">
        <f>D81*35</f>
        <v/>
      </c>
      <c r="P81" s="6" t="n"/>
      <c r="Q81" s="4" t="n"/>
      <c r="R81" s="4" t="n"/>
      <c r="S81" s="4" t="n"/>
    </row>
    <row r="82">
      <c r="A82" s="90" t="n"/>
      <c r="B82" s="105" t="inlineStr">
        <is>
          <t>DX-SPS-004-006</t>
        </is>
      </c>
      <c r="C82" s="76" t="n">
        <v>0.5</v>
      </c>
      <c r="D82" s="1">
        <f>C82*9</f>
        <v/>
      </c>
      <c r="F82" s="33">
        <f>D82*15</f>
        <v/>
      </c>
      <c r="G82" s="33" t="n"/>
      <c r="H82" s="33" t="n"/>
      <c r="I82" s="33" t="n"/>
      <c r="K82" s="33">
        <f>D82*35</f>
        <v/>
      </c>
      <c r="P82" s="4" t="n"/>
      <c r="Q82" s="4" t="n"/>
      <c r="R82" s="4" t="n"/>
      <c r="S82" s="4" t="n"/>
    </row>
    <row r="83">
      <c r="A83" s="90" t="n"/>
      <c r="B83" s="105" t="inlineStr">
        <is>
          <t>DX-B-015-003</t>
        </is>
      </c>
      <c r="C83" s="76" t="n">
        <v>0.5</v>
      </c>
      <c r="D83" s="1">
        <f>C83*9</f>
        <v/>
      </c>
      <c r="F83" s="33">
        <f>D83*5</f>
        <v/>
      </c>
      <c r="G83" s="33">
        <f>D83*10</f>
        <v/>
      </c>
      <c r="H83" s="33" t="n"/>
      <c r="I83" s="33" t="n"/>
      <c r="K83" s="33">
        <f>D83*35</f>
        <v/>
      </c>
      <c r="P83" s="33" t="n"/>
      <c r="Q83" s="4" t="n"/>
      <c r="R83" s="4" t="n"/>
      <c r="S83" s="4" t="n"/>
    </row>
    <row r="84">
      <c r="A84" s="90" t="n"/>
      <c r="B84" s="105" t="inlineStr">
        <is>
          <t>DX-B-011-008</t>
        </is>
      </c>
      <c r="C84" s="76" t="n">
        <v>0.5</v>
      </c>
      <c r="D84" s="1">
        <f>C84*9</f>
        <v/>
      </c>
      <c r="F84" s="33">
        <f>D84*5</f>
        <v/>
      </c>
      <c r="G84" s="33">
        <f>D84*10</f>
        <v/>
      </c>
      <c r="H84" s="33" t="n"/>
      <c r="I84" s="33" t="n"/>
      <c r="K84" s="33">
        <f>D84*35</f>
        <v/>
      </c>
      <c r="P84" s="33" t="n"/>
      <c r="Q84" s="4" t="n"/>
      <c r="R84" s="4" t="n"/>
      <c r="S84" s="4" t="n"/>
    </row>
    <row r="85">
      <c r="A85" s="90" t="n"/>
      <c r="B85" s="105" t="inlineStr">
        <is>
          <t>DX-SS-011-001</t>
        </is>
      </c>
      <c r="C85" s="76" t="n">
        <v>2</v>
      </c>
      <c r="D85" s="1">
        <f>C85*9</f>
        <v/>
      </c>
      <c r="F85" s="33">
        <f>D85*5</f>
        <v/>
      </c>
      <c r="G85" s="33">
        <f>D85*10</f>
        <v/>
      </c>
      <c r="H85" s="33" t="n"/>
      <c r="I85" s="33" t="n"/>
      <c r="K85" s="33">
        <f>D85*35</f>
        <v/>
      </c>
      <c r="P85" s="4" t="n"/>
      <c r="Q85" s="4" t="n"/>
      <c r="R85" s="4" t="n"/>
      <c r="S85" s="4" t="n"/>
    </row>
    <row r="86">
      <c r="A86" s="90" t="n"/>
      <c r="B86" s="105" t="inlineStr">
        <is>
          <t>DX-SS-011-002</t>
        </is>
      </c>
      <c r="C86" s="76" t="n">
        <v>0.5</v>
      </c>
      <c r="D86" s="1">
        <f>C86*9</f>
        <v/>
      </c>
      <c r="F86" s="33">
        <f>D86*5</f>
        <v/>
      </c>
      <c r="G86" s="33">
        <f>D86*10</f>
        <v/>
      </c>
      <c r="H86" s="33" t="n"/>
      <c r="I86" s="33" t="n"/>
      <c r="K86" s="33">
        <f>D86*35</f>
        <v/>
      </c>
    </row>
    <row r="87">
      <c r="A87" s="90" t="n"/>
      <c r="B87" s="105" t="inlineStr">
        <is>
          <t>DX-B-015-001</t>
        </is>
      </c>
      <c r="C87" s="76" t="n">
        <v>0.5</v>
      </c>
      <c r="D87" s="1">
        <f>C87*9</f>
        <v/>
      </c>
      <c r="F87" s="33">
        <f>D87*15</f>
        <v/>
      </c>
      <c r="G87" s="33" t="n"/>
      <c r="H87" s="33" t="n"/>
      <c r="I87" s="33" t="n"/>
      <c r="K87" s="33">
        <f>D87*35</f>
        <v/>
      </c>
      <c r="P87" s="4" t="n"/>
      <c r="Q87" s="4" t="n"/>
      <c r="R87" s="4" t="n"/>
      <c r="S87" s="4" t="n"/>
    </row>
    <row r="88">
      <c r="A88" s="90" t="n"/>
      <c r="B88" s="105" t="inlineStr">
        <is>
          <t>DX-B-034-001</t>
        </is>
      </c>
      <c r="C88" s="76" t="n">
        <v>0.3</v>
      </c>
      <c r="D88" s="1">
        <f>C88*9</f>
        <v/>
      </c>
      <c r="F88" s="33">
        <f>D88*5</f>
        <v/>
      </c>
      <c r="G88" s="33">
        <f>D88*10</f>
        <v/>
      </c>
      <c r="H88" s="33" t="n"/>
      <c r="I88" s="33" t="n"/>
      <c r="K88" s="33">
        <f>D88*35</f>
        <v/>
      </c>
    </row>
    <row r="89">
      <c r="A89" s="96" t="n"/>
      <c r="B89" s="105" t="inlineStr">
        <is>
          <t>DX-B-054-001</t>
        </is>
      </c>
      <c r="C89" s="76" t="n">
        <v>0.5</v>
      </c>
      <c r="D89" s="1">
        <f>C89*9</f>
        <v/>
      </c>
      <c r="F89" s="33">
        <f>D89*5</f>
        <v/>
      </c>
      <c r="G89" s="33">
        <f>D89*10</f>
        <v/>
      </c>
      <c r="H89" s="33" t="n"/>
      <c r="I89" s="33" t="n"/>
      <c r="K89" s="33">
        <f>D89*35</f>
        <v/>
      </c>
    </row>
    <row r="90">
      <c r="A90" s="90" t="n"/>
      <c r="B90" s="105" t="inlineStr">
        <is>
          <t>DX-LO-014-002</t>
        </is>
      </c>
      <c r="C90" s="76" t="n">
        <v>0.5</v>
      </c>
      <c r="D90" s="1">
        <f>C90*9</f>
        <v/>
      </c>
      <c r="F90" s="33">
        <f>D90*15</f>
        <v/>
      </c>
      <c r="G90" s="33" t="n"/>
      <c r="H90" s="33" t="n"/>
      <c r="I90" s="33" t="n"/>
      <c r="K90" s="33">
        <f>D90*35</f>
        <v/>
      </c>
    </row>
    <row r="91">
      <c r="A91" s="90" t="n"/>
      <c r="B91" s="105" t="inlineStr">
        <is>
          <t>DX-LO-014-003</t>
        </is>
      </c>
      <c r="C91" s="76" t="n">
        <v>0.5</v>
      </c>
      <c r="D91" s="1">
        <f>C91*9</f>
        <v/>
      </c>
      <c r="F91" s="33">
        <f>D91*15</f>
        <v/>
      </c>
      <c r="G91" s="33" t="n"/>
      <c r="H91" s="33" t="n"/>
      <c r="I91" s="33" t="n"/>
      <c r="K91" s="33">
        <f>D91*35</f>
        <v/>
      </c>
    </row>
    <row r="92">
      <c r="A92" s="105" t="n"/>
      <c r="B92" s="1" t="n"/>
      <c r="C92" s="76" t="n"/>
      <c r="F92" s="33" t="n"/>
      <c r="G92" s="33" t="n"/>
      <c r="H92" s="33" t="n"/>
      <c r="I92" s="33" t="n"/>
      <c r="K92" s="33" t="n"/>
      <c r="P92" s="4" t="n"/>
      <c r="Q92" s="4" t="n"/>
      <c r="R92" s="4" t="n"/>
      <c r="S92" s="4" t="n"/>
    </row>
    <row r="93">
      <c r="A93" s="111" t="inlineStr">
        <is>
          <t>2D DD</t>
        </is>
      </c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</row>
    <row r="94">
      <c r="A94" s="90" t="n"/>
      <c r="B94" s="115" t="inlineStr">
        <is>
          <t>DD-B-092-002</t>
        </is>
      </c>
      <c r="C94" s="76" t="n">
        <v>0.2</v>
      </c>
      <c r="D94" s="1">
        <f>C94*9</f>
        <v/>
      </c>
      <c r="F94" s="33">
        <f>D94*5</f>
        <v/>
      </c>
      <c r="G94" s="33">
        <f>D94*10</f>
        <v/>
      </c>
      <c r="K94" s="33">
        <f>D94*35</f>
        <v/>
      </c>
    </row>
    <row r="95">
      <c r="A95" s="90" t="n"/>
      <c r="B95" s="114" t="inlineStr">
        <is>
          <t>DD-LO-021-002</t>
        </is>
      </c>
      <c r="C95" s="76" t="n">
        <v>0.5</v>
      </c>
      <c r="D95" s="1">
        <f>C95*9</f>
        <v/>
      </c>
      <c r="F95" s="33">
        <f>D95*15</f>
        <v/>
      </c>
      <c r="G95" s="33" t="n"/>
      <c r="K95" s="33">
        <f>D95*35</f>
        <v/>
      </c>
    </row>
    <row r="96">
      <c r="B96" s="114" t="n"/>
      <c r="C96" s="76" t="n"/>
      <c r="F96" s="33" t="n"/>
      <c r="G96" s="33" t="n"/>
      <c r="K96" s="33" t="n"/>
    </row>
    <row r="98">
      <c r="A98" s="11" t="n"/>
      <c r="B98" s="57" t="n"/>
      <c r="C98" s="11">
        <f>SUM(C6:C95)</f>
        <v/>
      </c>
      <c r="D98" s="11">
        <f>SUM(D6:D95)</f>
        <v/>
      </c>
      <c r="E98" s="58" t="n"/>
      <c r="F98" s="59">
        <f>SUM(F6:F92)</f>
        <v/>
      </c>
      <c r="G98" s="59">
        <f>SUM(G6:G92)</f>
        <v/>
      </c>
      <c r="H98" s="59">
        <f>SUM(H6:H92)</f>
        <v/>
      </c>
      <c r="I98" s="59">
        <f>SUM(I6:I92)</f>
        <v/>
      </c>
      <c r="J98" s="59">
        <f>SUM(F98:I98)</f>
        <v/>
      </c>
      <c r="K98" s="60">
        <f>SUM(K6:K97)</f>
        <v/>
      </c>
    </row>
    <row r="99">
      <c r="F99" s="112">
        <f>F98*40</f>
        <v/>
      </c>
      <c r="G99" s="112">
        <f>G98*40</f>
        <v/>
      </c>
      <c r="H99" s="112">
        <f>H98*40</f>
        <v/>
      </c>
      <c r="I99" s="112">
        <f>I98*40</f>
        <v/>
      </c>
      <c r="J99" s="112">
        <f>J98*40</f>
        <v/>
      </c>
      <c r="K99" s="33">
        <f>K98*40</f>
        <v/>
      </c>
    </row>
    <row r="100">
      <c r="G100" s="33" t="n"/>
    </row>
    <row r="101">
      <c r="G101" s="33" t="n"/>
    </row>
  </sheetData>
  <pageMargins left="0.7" right="0.7" top="0.75" bottom="0.75" header="0.3" footer="0.3"/>
  <pageSetup orientation="portrait" paperSize="9" horizontalDpi="0" verticalDpi="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2" topLeftCell="A26" activePane="bottomLeft" state="frozen"/>
      <selection pane="bottomLeft" activeCell="J53" sqref="J53"/>
    </sheetView>
  </sheetViews>
  <sheetFormatPr baseColWidth="10" defaultRowHeight="16"/>
  <cols>
    <col width="3.6640625" bestFit="1" customWidth="1" style="1" min="1" max="1"/>
    <col width="83" customWidth="1" style="2" min="2" max="2"/>
    <col width="10.83203125" customWidth="1" style="1" min="3" max="4"/>
    <col width="9.83203125" customWidth="1" style="1" min="5" max="5"/>
    <col width="10.33203125" customWidth="1" style="1" min="6" max="6"/>
    <col width="10.83203125" customWidth="1" style="1" min="7" max="7"/>
    <col width="11.1640625" customWidth="1" style="1" min="8" max="8"/>
    <col width="11" customWidth="1" style="1" min="9" max="9"/>
    <col width="10.33203125" customWidth="1" style="1" min="10" max="10"/>
    <col width="12.33203125" customWidth="1" style="1" min="11" max="11"/>
    <col width="14" bestFit="1" customWidth="1" style="1" min="12" max="12"/>
    <col width="12.5" bestFit="1" customWidth="1" style="1" min="13" max="13"/>
    <col width="13" customWidth="1" style="1" min="14" max="14"/>
    <col width="10.83203125" customWidth="1" style="1" min="15" max="16384"/>
  </cols>
  <sheetData>
    <row r="1">
      <c r="A1" s="11" t="n"/>
      <c r="B1" s="97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</row>
    <row r="2">
      <c r="B2" s="104" t="inlineStr">
        <is>
          <t>2024 PROJECT NAME</t>
        </is>
      </c>
      <c r="F2" s="41" t="inlineStr">
        <is>
          <t>Настя</t>
        </is>
      </c>
      <c r="G2" s="38" t="inlineStr">
        <is>
          <t>Сергій</t>
        </is>
      </c>
    </row>
    <row r="3">
      <c r="F3" s="38" t="n"/>
      <c r="G3" s="38" t="n"/>
    </row>
    <row r="5">
      <c r="A5" s="27" t="n"/>
      <c r="B5" s="23" t="inlineStr">
        <is>
          <t>August</t>
        </is>
      </c>
      <c r="C5" s="56" t="inlineStr">
        <is>
          <t>SHIFTS</t>
        </is>
      </c>
      <c r="D5" s="24" t="inlineStr">
        <is>
          <t>HOURS</t>
        </is>
      </c>
      <c r="E5" s="25" t="inlineStr">
        <is>
          <t>D.LINE</t>
        </is>
      </c>
      <c r="F5" s="98" t="inlineStr">
        <is>
          <t>EMPL 1</t>
        </is>
      </c>
      <c r="G5" s="98" t="inlineStr">
        <is>
          <t>EMPL 2</t>
        </is>
      </c>
      <c r="H5" s="31" t="inlineStr">
        <is>
          <t>Total EMPL</t>
        </is>
      </c>
      <c r="I5" s="39" t="inlineStr">
        <is>
          <t>STUDIO</t>
        </is>
      </c>
      <c r="J5" s="39" t="n"/>
      <c r="K5" s="39" t="n"/>
      <c r="L5" s="29" t="inlineStr">
        <is>
          <t>UAH</t>
        </is>
      </c>
      <c r="M5" s="16" t="inlineStr">
        <is>
          <t>USD</t>
        </is>
      </c>
    </row>
    <row r="6">
      <c r="A6" s="96" t="n">
        <v>1</v>
      </c>
      <c r="B6" s="107" t="inlineStr">
        <is>
          <t>DX-V-032-004_TinderSwipe_DX-V-026-001_EN_59s</t>
        </is>
      </c>
      <c r="C6" s="76" t="n">
        <v>0.7</v>
      </c>
      <c r="D6" s="1">
        <f>C6*9</f>
        <v/>
      </c>
      <c r="F6" s="33">
        <f>D6*15</f>
        <v/>
      </c>
      <c r="G6" s="3" t="n"/>
      <c r="I6" s="33">
        <f>D6*35</f>
        <v/>
      </c>
      <c r="K6" s="5" t="inlineStr">
        <is>
          <t>CLIENT IN</t>
        </is>
      </c>
      <c r="L6" s="7">
        <f>M6*40</f>
        <v/>
      </c>
      <c r="M6" s="8">
        <f>I45</f>
        <v/>
      </c>
      <c r="N6" s="33" t="n"/>
    </row>
    <row r="7">
      <c r="A7" s="90" t="n">
        <v>2</v>
      </c>
      <c r="B7" s="78" t="inlineStr">
        <is>
          <t>DX-V-032-005_TinderSwipe_NoCursor</t>
        </is>
      </c>
      <c r="C7" s="76" t="n">
        <v>0.5</v>
      </c>
      <c r="D7" s="1">
        <f>C7*9</f>
        <v/>
      </c>
      <c r="G7" s="33">
        <f>D7*15</f>
        <v/>
      </c>
      <c r="I7" s="33">
        <f>D7*35</f>
        <v/>
      </c>
      <c r="K7" s="5" t="inlineStr">
        <is>
          <t>STUDIO (TAX)</t>
        </is>
      </c>
      <c r="L7" s="7">
        <f>M7*40</f>
        <v/>
      </c>
      <c r="M7" s="8">
        <f>M6-M6*0.05</f>
        <v/>
      </c>
      <c r="N7" s="33" t="n"/>
    </row>
    <row r="8">
      <c r="A8" s="90" t="n">
        <v>3</v>
      </c>
      <c r="B8" s="100" t="inlineStr">
        <is>
          <t>DX-V-032-008_TinderSwipe_DX-H-048-001</t>
        </is>
      </c>
      <c r="C8" s="76" t="n">
        <v>0.3</v>
      </c>
      <c r="D8" s="1">
        <f>C8*9</f>
        <v/>
      </c>
      <c r="G8" s="33">
        <f>D8*15</f>
        <v/>
      </c>
      <c r="I8" s="33">
        <f>D8*35</f>
        <v/>
      </c>
      <c r="K8" s="5" t="inlineStr">
        <is>
          <t>EMPL</t>
        </is>
      </c>
      <c r="L8" s="7">
        <f>M8*40</f>
        <v/>
      </c>
      <c r="M8" s="8">
        <f>H45</f>
        <v/>
      </c>
      <c r="N8" s="33" t="n"/>
    </row>
    <row r="9">
      <c r="A9" s="90" t="n">
        <v>4</v>
      </c>
      <c r="B9" s="95" t="inlineStr">
        <is>
          <t>DX-V-002-016_Worlds_NLVillage_NL_30s LOC to EN</t>
        </is>
      </c>
      <c r="C9" s="76" t="n">
        <v>0.5</v>
      </c>
      <c r="D9" s="1">
        <f>C9*9</f>
        <v/>
      </c>
      <c r="G9" s="33">
        <f>D9*15</f>
        <v/>
      </c>
      <c r="I9" s="33">
        <f>D9*35</f>
        <v/>
      </c>
      <c r="K9" s="37" t="inlineStr">
        <is>
          <t>STUDIO</t>
        </is>
      </c>
      <c r="L9" s="7">
        <f>M9*40</f>
        <v/>
      </c>
      <c r="M9" s="8">
        <f>M7-M8</f>
        <v/>
      </c>
      <c r="N9" s="33" t="n"/>
      <c r="O9" s="4" t="n"/>
      <c r="P9" s="4" t="n"/>
      <c r="Q9" s="4" t="n"/>
    </row>
    <row r="10">
      <c r="A10" s="90" t="n">
        <v>5</v>
      </c>
      <c r="B10" s="65" t="inlineStr">
        <is>
          <t>DX-V-060-001_MKTrail_Netherlands | LOC*1: NL</t>
        </is>
      </c>
      <c r="C10" s="76" t="n">
        <v>0.5</v>
      </c>
      <c r="D10" s="1">
        <f>C10*9</f>
        <v/>
      </c>
      <c r="F10" s="33">
        <f>D10*15</f>
        <v/>
      </c>
      <c r="I10" s="33">
        <f>D10*35</f>
        <v/>
      </c>
      <c r="J10" s="8" t="n"/>
      <c r="K10" s="7" t="n"/>
      <c r="M10" s="4" t="n"/>
      <c r="N10" s="33" t="n"/>
    </row>
    <row r="11">
      <c r="A11" s="90" t="n">
        <v>6</v>
      </c>
      <c r="B11" s="77" t="inlineStr">
        <is>
          <t xml:space="preserve">DX-V-060-002_MKTrail_Netherlands_DX-H-067-001 (NLClogs) </t>
        </is>
      </c>
      <c r="C11" s="76" t="n">
        <v>0.5</v>
      </c>
      <c r="D11" s="1">
        <f>C11*9</f>
        <v/>
      </c>
      <c r="F11" s="33">
        <f>D11*15</f>
        <v/>
      </c>
      <c r="I11" s="33">
        <f>D11*35</f>
        <v/>
      </c>
      <c r="J11" s="36" t="inlineStr">
        <is>
          <t>EMPL</t>
        </is>
      </c>
      <c r="K11" s="34" t="inlineStr">
        <is>
          <t>COST</t>
        </is>
      </c>
      <c r="L11" s="17" t="inlineStr">
        <is>
          <t>2PAY</t>
        </is>
      </c>
      <c r="M11" s="35" t="inlineStr">
        <is>
          <t>PAID</t>
        </is>
      </c>
      <c r="N11" s="33" t="n"/>
    </row>
    <row r="12">
      <c r="A12" s="90" t="n">
        <v>7</v>
      </c>
      <c r="B12" s="77" t="inlineStr">
        <is>
          <t>DX-V-060-003_MKTrail_Netherlands_DX-H-066-001 (NLFlowerBlow)</t>
        </is>
      </c>
      <c r="C12" s="76" t="n">
        <v>0.5</v>
      </c>
      <c r="D12" s="1">
        <f>C12*9</f>
        <v/>
      </c>
      <c r="F12" s="33">
        <f>D12*15</f>
        <v/>
      </c>
      <c r="I12" s="33">
        <f>D12*35</f>
        <v/>
      </c>
      <c r="J12" s="32" t="inlineStr">
        <is>
          <t>EMPL 1</t>
        </is>
      </c>
      <c r="K12" s="28">
        <f>F45</f>
        <v/>
      </c>
      <c r="L12" s="33">
        <f>K12-M12</f>
        <v/>
      </c>
      <c r="M12" s="8" t="n"/>
      <c r="N12" s="33" t="n"/>
    </row>
    <row r="13">
      <c r="A13" s="103" t="n">
        <v>8</v>
      </c>
      <c r="B13" s="107" t="inlineStr">
        <is>
          <t>DX-V-060-005_MKTrail_HLWN_DD-H-170-001(FrankensteinTickle)</t>
        </is>
      </c>
      <c r="C13" s="76" t="n">
        <v>0.5</v>
      </c>
      <c r="D13" s="1">
        <f>C13*9</f>
        <v/>
      </c>
      <c r="I13" s="33">
        <f>D13*35</f>
        <v/>
      </c>
      <c r="J13" s="32" t="inlineStr">
        <is>
          <t>EMPL 2</t>
        </is>
      </c>
      <c r="K13" s="28">
        <f>G45</f>
        <v/>
      </c>
      <c r="L13" s="33">
        <f>K13-M13</f>
        <v/>
      </c>
      <c r="M13" s="8" t="n"/>
      <c r="N13" s="33" t="n"/>
    </row>
    <row r="14">
      <c r="A14" s="96" t="n">
        <v>9</v>
      </c>
      <c r="B14" s="101" t="inlineStr">
        <is>
          <t>DX-V-060-006_MKTrail_Netherlands_DX-H-045-003 (LeaningOnCloud_WIN-SFX)</t>
        </is>
      </c>
      <c r="C14" s="76" t="n">
        <v>0.5</v>
      </c>
      <c r="D14" s="1">
        <f>C14*9</f>
        <v/>
      </c>
      <c r="F14" s="33">
        <f>D14*15</f>
        <v/>
      </c>
      <c r="I14" s="33">
        <f>D14*35</f>
        <v/>
      </c>
      <c r="J14" s="32" t="n"/>
      <c r="K14" s="8" t="n"/>
      <c r="L14" s="33" t="n"/>
      <c r="M14" s="8" t="n"/>
      <c r="N14" s="33" t="n"/>
    </row>
    <row r="15">
      <c r="A15" s="90" t="n">
        <v>10</v>
      </c>
      <c r="B15" s="101" t="inlineStr">
        <is>
          <t>DX-V-060-007_MKTrail_Netherlands_DX-H-045-004 (LeaningOnCloud_FAIL-SFX)</t>
        </is>
      </c>
      <c r="C15" s="76" t="n">
        <v>0.5</v>
      </c>
      <c r="D15" s="1">
        <f>C15*9</f>
        <v/>
      </c>
      <c r="F15" s="33">
        <f>D15*15</f>
        <v/>
      </c>
      <c r="I15" s="33">
        <f>D15*35</f>
        <v/>
      </c>
      <c r="J15" s="32" t="n"/>
      <c r="K15" s="8" t="n"/>
      <c r="L15" s="33" t="n"/>
      <c r="M15" s="7" t="n"/>
      <c r="N15" s="33" t="n"/>
    </row>
    <row r="16">
      <c r="A16" s="90" t="n">
        <v>11</v>
      </c>
      <c r="B16" s="106" t="inlineStr">
        <is>
          <t>DX-V-033-008_BuildInPuzzle_DX-V-017-003 (WorldsIntro)_PTE</t>
        </is>
      </c>
      <c r="C16" s="76" t="n">
        <v>1.5</v>
      </c>
      <c r="D16" s="1">
        <f>C16*9</f>
        <v/>
      </c>
      <c r="I16" s="33">
        <f>D16*35</f>
        <v/>
      </c>
    </row>
    <row r="17">
      <c r="A17" s="90" t="n">
        <v>12</v>
      </c>
      <c r="B17" s="79" t="inlineStr">
        <is>
          <t>DD-V-079-001_GameplayPeoject_Blue_DE_30s</t>
        </is>
      </c>
      <c r="C17" s="76" t="n">
        <v>0.5</v>
      </c>
      <c r="D17" s="1">
        <f>C17*9</f>
        <v/>
      </c>
      <c r="F17" s="33">
        <f>D17*15</f>
        <v/>
      </c>
      <c r="I17" s="33">
        <f>D17*35</f>
        <v/>
      </c>
    </row>
    <row r="18">
      <c r="A18" s="90" t="n">
        <v>13</v>
      </c>
      <c r="B18" s="101" t="inlineStr">
        <is>
          <t>DD-V-079-020_GameplayProject_Blue_DD-H-073-001(HookXmas2021_Snowball)_DE_00s</t>
        </is>
      </c>
      <c r="C18" s="76" t="n">
        <v>0.3</v>
      </c>
      <c r="D18" s="1">
        <f>C18*9</f>
        <v/>
      </c>
      <c r="F18" s="33">
        <f>D18*15</f>
        <v/>
      </c>
      <c r="I18" s="33">
        <f>D18*35</f>
        <v/>
      </c>
      <c r="P18" s="4" t="n"/>
      <c r="Q18" s="4" t="n"/>
    </row>
    <row r="19">
      <c r="A19" s="90" t="n">
        <v>14</v>
      </c>
      <c r="B19" s="79" t="inlineStr">
        <is>
          <t>DD-V-079-019_GameplayProject_Blue_DD-H-177-001(HookBeerFest)_DE_00s</t>
        </is>
      </c>
      <c r="C19" s="76" t="n">
        <v>0.3</v>
      </c>
      <c r="D19" s="1">
        <f>C19*9</f>
        <v/>
      </c>
      <c r="F19" s="33">
        <f>D19*15</f>
        <v/>
      </c>
      <c r="I19" s="33">
        <f>D19*35</f>
        <v/>
      </c>
      <c r="N19" s="4" t="n"/>
      <c r="O19" s="4" t="n"/>
      <c r="P19" s="4" t="n"/>
      <c r="Q19" s="4" t="n"/>
    </row>
    <row r="20">
      <c r="A20" s="90" t="n">
        <v>15</v>
      </c>
      <c r="B20" s="79" t="inlineStr">
        <is>
          <t>DD-V-126-030_PullThePin_DD-H-177-001(HookBeerFest)_DE_00s</t>
        </is>
      </c>
      <c r="C20" s="76" t="n">
        <v>0.3</v>
      </c>
      <c r="D20" s="1">
        <f>C20*9</f>
        <v/>
      </c>
      <c r="G20" s="33">
        <f>D20*15</f>
        <v/>
      </c>
      <c r="I20" s="33">
        <f>D20*35</f>
        <v/>
      </c>
      <c r="L20" s="5" t="n"/>
      <c r="N20" s="4" t="n"/>
      <c r="O20" s="4" t="n"/>
      <c r="P20" s="4" t="n"/>
      <c r="Q20" s="4" t="n"/>
    </row>
    <row r="21">
      <c r="A21" s="90" t="n">
        <v>16</v>
      </c>
      <c r="B21" s="79" t="inlineStr">
        <is>
          <t>DD-V-123-002_BeerPong_DD-H-177-001(HookBeerFest)_DE_00s</t>
        </is>
      </c>
      <c r="C21" s="76" t="n">
        <v>0.3</v>
      </c>
      <c r="D21" s="1">
        <f>C21*9</f>
        <v/>
      </c>
      <c r="G21" s="33">
        <f>D21*15</f>
        <v/>
      </c>
      <c r="I21" s="33">
        <f>D21*35</f>
        <v/>
      </c>
      <c r="L21" s="5" t="n"/>
      <c r="N21" s="4" t="n"/>
      <c r="O21" s="4" t="n"/>
      <c r="P21" s="4" t="n"/>
      <c r="Q21" s="4" t="n"/>
    </row>
    <row r="22">
      <c r="A22" s="90" t="n">
        <v>17</v>
      </c>
      <c r="B22" s="79" t="inlineStr">
        <is>
          <t>DD-V-116-023_Trail_Xmas_DE_DD-H-073-001(HookXmas2021_Snowball)_DE_00s</t>
        </is>
      </c>
      <c r="C22" s="76" t="n">
        <v>0.3</v>
      </c>
      <c r="D22" s="1">
        <f>C22*9</f>
        <v/>
      </c>
      <c r="G22" s="33">
        <f>D22*15</f>
        <v/>
      </c>
      <c r="I22" s="33">
        <f>D22*35</f>
        <v/>
      </c>
      <c r="L22" s="5" t="n"/>
      <c r="N22" s="4" t="n"/>
      <c r="O22" s="4" t="n"/>
      <c r="P22" s="4" t="n"/>
      <c r="Q22" s="4" t="n"/>
    </row>
    <row r="23">
      <c r="A23" s="90" t="n">
        <v>18</v>
      </c>
      <c r="B23" s="79" t="inlineStr">
        <is>
          <t>DD-V-078-051_RoyalMatch_NoDiceTryYourself_DD-H-073-001(HookXmas2021_Snowball)_DE_00s</t>
        </is>
      </c>
      <c r="C23" s="76" t="n">
        <v>0.3</v>
      </c>
      <c r="D23" s="1">
        <f>C23*9</f>
        <v/>
      </c>
      <c r="G23" s="33">
        <f>D23*15</f>
        <v/>
      </c>
      <c r="I23" s="33">
        <f>D23*35</f>
        <v/>
      </c>
      <c r="L23" s="5" t="n"/>
      <c r="N23" s="4" t="n"/>
      <c r="O23" s="4" t="n"/>
      <c r="P23" s="4" t="n"/>
      <c r="Q23" s="4" t="n"/>
    </row>
    <row r="24">
      <c r="A24" s="90" t="n">
        <v>19</v>
      </c>
      <c r="B24" s="79" t="inlineStr">
        <is>
          <t>DD-V-078-050_RoyalMatch_NoDiceTryYourself_DD-H-177-001(HookBeerFest)_DE_00s</t>
        </is>
      </c>
      <c r="C24" s="76" t="n">
        <v>0.3</v>
      </c>
      <c r="D24" s="1">
        <f>C24*9</f>
        <v/>
      </c>
      <c r="G24" s="33">
        <f>D24*15</f>
        <v/>
      </c>
      <c r="I24" s="33">
        <f>D24*35</f>
        <v/>
      </c>
      <c r="L24" s="4" t="n"/>
      <c r="N24" s="6" t="n"/>
      <c r="O24" s="4" t="n"/>
      <c r="P24" s="4" t="n"/>
      <c r="Q24" s="4" t="n"/>
    </row>
    <row r="25">
      <c r="A25" s="90" t="n">
        <v>20</v>
      </c>
      <c r="B25" s="79" t="inlineStr">
        <is>
          <t>DD-V-122-002_LocalizedIntro_DD-H-177-001_DE-ASO</t>
        </is>
      </c>
      <c r="C25" s="76" t="n">
        <v>1</v>
      </c>
      <c r="D25" s="1">
        <f>C25*9</f>
        <v/>
      </c>
      <c r="G25" s="33">
        <f>D25*15</f>
        <v/>
      </c>
      <c r="I25" s="33">
        <f>D25*35</f>
        <v/>
      </c>
      <c r="L25" s="4" t="n"/>
      <c r="N25" s="6" t="n"/>
      <c r="O25" s="4" t="n"/>
      <c r="P25" s="4" t="n"/>
      <c r="Q25" s="4" t="n"/>
    </row>
    <row r="26">
      <c r="A26" s="90" t="n">
        <v>21</v>
      </c>
      <c r="B26" s="79" t="inlineStr">
        <is>
          <t>DD-V-126-031_PullThePin_DD-H-073-001(HookXmas2021_Snowball)_DE_00</t>
        </is>
      </c>
      <c r="C26" s="76" t="n">
        <v>0.3</v>
      </c>
      <c r="D26" s="1">
        <f>C26*9</f>
        <v/>
      </c>
      <c r="G26" s="33">
        <f>D26*15</f>
        <v/>
      </c>
      <c r="I26" s="33">
        <f>D26*35</f>
        <v/>
      </c>
      <c r="L26" s="4" t="n"/>
      <c r="N26" s="4" t="n"/>
      <c r="O26" s="4" t="n"/>
      <c r="P26" s="4" t="n"/>
      <c r="Q26" s="4" t="n"/>
    </row>
    <row r="27">
      <c r="A27" s="90" t="n">
        <v>22</v>
      </c>
      <c r="B27" s="106" t="inlineStr">
        <is>
          <t>DD-V-224-002_TeamChat_ShortVer_15s  |  comp</t>
        </is>
      </c>
      <c r="C27" s="76" t="n">
        <v>1</v>
      </c>
      <c r="D27" s="1">
        <f>C27*9</f>
        <v/>
      </c>
      <c r="F27" s="33" t="n"/>
      <c r="G27" s="33">
        <f>D27*15</f>
        <v/>
      </c>
      <c r="I27" s="33">
        <f>D27*35</f>
        <v/>
      </c>
      <c r="L27" s="4" t="n"/>
      <c r="N27" s="33" t="n"/>
      <c r="O27" s="4" t="n"/>
      <c r="P27" s="4" t="n"/>
      <c r="Q27" s="4" t="n"/>
    </row>
    <row r="28">
      <c r="A28" s="90" t="n">
        <v>23</v>
      </c>
      <c r="B28" s="94" t="inlineStr">
        <is>
          <t>DD-V-224-003_TeamChat_DD-H-175-001(80sIntro)_EN_45s  |  comp</t>
        </is>
      </c>
      <c r="C28" s="76" t="n">
        <v>0.5</v>
      </c>
      <c r="D28" s="1">
        <f>C28*9</f>
        <v/>
      </c>
      <c r="F28" s="33" t="n"/>
      <c r="G28" s="33">
        <f>D28*15</f>
        <v/>
      </c>
      <c r="I28" s="33">
        <f>D28*35</f>
        <v/>
      </c>
      <c r="L28" s="4" t="n"/>
      <c r="N28" s="33" t="n"/>
      <c r="O28" s="4" t="n"/>
      <c r="P28" s="4" t="n"/>
      <c r="Q28" s="4" t="n"/>
    </row>
    <row r="29">
      <c r="A29" s="90" t="n">
        <v>24</v>
      </c>
      <c r="B29" s="94" t="inlineStr">
        <is>
          <t>DD-V-224-004_TeamChat_DD-V-144-001(SimpleStealBlast)_EN_60s  |  comp</t>
        </is>
      </c>
      <c r="C29" s="76" t="n">
        <v>0.5</v>
      </c>
      <c r="D29" s="1">
        <f>C29*9</f>
        <v/>
      </c>
      <c r="F29" s="33" t="n"/>
      <c r="G29" s="33">
        <f>D29*15</f>
        <v/>
      </c>
      <c r="I29" s="33">
        <f>D29*35</f>
        <v/>
      </c>
      <c r="L29" s="4" t="n"/>
      <c r="N29" s="4" t="n"/>
      <c r="O29" s="4" t="n"/>
      <c r="P29" s="4" t="n"/>
      <c r="Q29" s="4" t="n"/>
    </row>
    <row r="30">
      <c r="A30" s="102" t="n">
        <v>25</v>
      </c>
      <c r="B30" s="106" t="inlineStr">
        <is>
          <t>DD-V-223-002_FirstPlace_CTA_15s  |  comp</t>
        </is>
      </c>
      <c r="C30" s="76" t="n">
        <v>0.5</v>
      </c>
      <c r="D30" s="1">
        <f>C30*9</f>
        <v/>
      </c>
      <c r="G30" s="33">
        <f>D30*15</f>
        <v/>
      </c>
      <c r="I30" s="33">
        <f>D30*35</f>
        <v/>
      </c>
      <c r="L30" s="4" t="n"/>
    </row>
    <row r="31">
      <c r="A31" s="90" t="n">
        <v>26</v>
      </c>
      <c r="B31" s="106" t="inlineStr">
        <is>
          <t>DD-V-223-003_FirstPlace_DD-H-175-001_EN_45s  |  comp</t>
        </is>
      </c>
      <c r="C31" s="76" t="n">
        <v>0.5</v>
      </c>
      <c r="D31" s="1">
        <f>C31*9</f>
        <v/>
      </c>
      <c r="G31" s="33">
        <f>D31*15</f>
        <v/>
      </c>
      <c r="I31" s="33">
        <f>D31*35</f>
        <v/>
      </c>
      <c r="L31" s="4" t="n"/>
      <c r="N31" s="4" t="n"/>
      <c r="O31" s="4" t="n"/>
      <c r="P31" s="4" t="n"/>
      <c r="Q31" s="4" t="n"/>
    </row>
    <row r="32">
      <c r="A32" s="90" t="n">
        <v>27</v>
      </c>
      <c r="B32" s="79" t="inlineStr">
        <is>
          <t>DD-V-223_004_FirstPlace_DD-V-049-001(Trail_Knight)_EN_60s | comp</t>
        </is>
      </c>
      <c r="C32" s="76" t="n">
        <v>0.5</v>
      </c>
      <c r="D32" s="1">
        <f>C32*9</f>
        <v/>
      </c>
      <c r="G32" s="33">
        <f>D32*15</f>
        <v/>
      </c>
      <c r="I32" s="33">
        <f>D32*35</f>
        <v/>
      </c>
      <c r="M32" s="33" t="n"/>
    </row>
    <row r="33">
      <c r="A33" s="90" t="n">
        <v>28</v>
      </c>
      <c r="B33" s="93" t="inlineStr">
        <is>
          <t>DD-V-049-025_Trail_KnightCoins_EN LOC to IT</t>
        </is>
      </c>
      <c r="C33" s="76" t="n">
        <v>0.5</v>
      </c>
      <c r="D33" s="1">
        <f>C33*9</f>
        <v/>
      </c>
      <c r="F33" s="33" t="n"/>
      <c r="I33" s="33">
        <f>D33*35</f>
        <v/>
      </c>
      <c r="J33" s="33" t="n"/>
      <c r="K33" s="64" t="n"/>
    </row>
    <row r="34">
      <c r="A34" s="90" t="n">
        <v>29</v>
      </c>
      <c r="B34" s="93" t="inlineStr">
        <is>
          <t>DD-V-229-001_Coins&amp;Coins_EN LOC to IT- 0.5 shift</t>
        </is>
      </c>
      <c r="C34" s="76" t="n">
        <v>0.5</v>
      </c>
      <c r="D34" s="1">
        <f>C34*9</f>
        <v/>
      </c>
      <c r="G34" s="33">
        <f>D34*15</f>
        <v/>
      </c>
      <c r="I34" s="33">
        <f>D34*35</f>
        <v/>
      </c>
    </row>
    <row r="35">
      <c r="A35" s="90" t="n">
        <v>30</v>
      </c>
      <c r="B35" s="93" t="inlineStr">
        <is>
          <t xml:space="preserve">DD-V-212-001_FairytaleAttack_EN 30 LOC to IT- 0.5 shift </t>
        </is>
      </c>
      <c r="C35" s="76" t="n">
        <v>0.5</v>
      </c>
      <c r="D35" s="1">
        <f>C35*9</f>
        <v/>
      </c>
      <c r="F35" s="33">
        <f>D35*15</f>
        <v/>
      </c>
      <c r="I35" s="33">
        <f>D35*35</f>
        <v/>
      </c>
    </row>
    <row r="36">
      <c r="A36" s="103" t="n">
        <v>31</v>
      </c>
      <c r="B36" s="106" t="inlineStr">
        <is>
          <t>DD-V-221-001 LuckySpins [By RHQ] LOC to IT- 0.5 shift</t>
        </is>
      </c>
      <c r="C36" s="76" t="n">
        <v>0.5</v>
      </c>
      <c r="D36" s="1">
        <f>C36*9</f>
        <v/>
      </c>
      <c r="I36" s="33">
        <f>D36*35</f>
        <v/>
      </c>
    </row>
    <row r="37">
      <c r="A37" s="90" t="n">
        <v>32</v>
      </c>
      <c r="B37" s="93" t="inlineStr">
        <is>
          <t>DD-V-195-001_Stickers_LastSticker-Retro-1Left_RT_EN LOC to IT- 0.5 shift</t>
        </is>
      </c>
      <c r="C37" s="76" t="n">
        <v>0.5</v>
      </c>
      <c r="D37" s="1">
        <f>C37*9</f>
        <v/>
      </c>
      <c r="F37" s="33">
        <f>D37*15</f>
        <v/>
      </c>
      <c r="I37" s="33">
        <f>D37*35</f>
        <v/>
      </c>
      <c r="L37" s="4" t="n"/>
      <c r="N37" s="4" t="n"/>
      <c r="O37" s="4" t="n"/>
      <c r="P37" s="4" t="n"/>
      <c r="Q37" s="4" t="n"/>
    </row>
    <row r="38">
      <c r="A38" s="96" t="n">
        <v>33</v>
      </c>
      <c r="B38" s="93" t="inlineStr">
        <is>
          <t>DD-V-226-001_StickerGameplay [by RHQ] LOC to IT- 0.5 shift</t>
        </is>
      </c>
      <c r="C38" s="76" t="n">
        <v>0.5</v>
      </c>
      <c r="D38" s="1">
        <f>C38*9</f>
        <v/>
      </c>
      <c r="I38" s="33">
        <f>D38*35</f>
        <v/>
      </c>
      <c r="L38" s="4" t="n"/>
      <c r="N38" s="4" t="n"/>
      <c r="O38" s="4" t="n"/>
      <c r="P38" s="4" t="n"/>
      <c r="Q38" s="4" t="n"/>
    </row>
    <row r="39">
      <c r="A39" s="90" t="n">
        <v>34</v>
      </c>
      <c r="B39" s="101" t="inlineStr">
        <is>
          <t>DD-V-078-011_RoyalMatch_NoDiceDoBetter LOC to IT- 0.5 shift</t>
        </is>
      </c>
      <c r="C39" s="76" t="n">
        <v>0.5</v>
      </c>
      <c r="D39" s="1">
        <f>C39*9</f>
        <v/>
      </c>
      <c r="F39" s="33">
        <f>D39*15</f>
        <v/>
      </c>
      <c r="I39" s="33">
        <f>D39*35</f>
        <v/>
      </c>
    </row>
    <row r="40">
      <c r="A40" s="90" t="n">
        <v>35</v>
      </c>
      <c r="B40" s="93" t="inlineStr">
        <is>
          <t>DD-V-144-001_SimpleStealBlast_Pirate LOC to IT- 0.5 shift</t>
        </is>
      </c>
      <c r="C40" s="76" t="n">
        <v>0.5</v>
      </c>
      <c r="D40" s="1">
        <f>C40*9</f>
        <v/>
      </c>
      <c r="F40" s="33">
        <f>D40*15</f>
        <v/>
      </c>
      <c r="I40" s="33">
        <f>D40*35</f>
        <v/>
      </c>
    </row>
    <row r="41">
      <c r="A41" s="90" t="n">
        <v>36</v>
      </c>
      <c r="B41" s="93" t="inlineStr">
        <is>
          <t>DD-B-083-001_FreeFallSkyDive LOC to IT- 0.3 shift</t>
        </is>
      </c>
      <c r="C41" s="76" t="n">
        <v>0.3</v>
      </c>
      <c r="D41" s="1">
        <f>C41*9</f>
        <v/>
      </c>
      <c r="I41" s="33">
        <f>D41*35</f>
        <v/>
      </c>
    </row>
    <row r="42">
      <c r="A42" s="90" t="n">
        <v>37</v>
      </c>
      <c r="B42" s="100" t="inlineStr">
        <is>
          <t>DD-B-077-002_StPatrickSlide_PeonWaterSlide_RT  |  Design</t>
        </is>
      </c>
      <c r="C42" s="76" t="n">
        <v>0.5</v>
      </c>
      <c r="D42" s="1">
        <f>C42*9</f>
        <v/>
      </c>
      <c r="F42" s="33">
        <f>D42*15</f>
        <v/>
      </c>
      <c r="I42" s="33">
        <f>D42*35</f>
        <v/>
      </c>
    </row>
    <row r="43">
      <c r="A43" s="90" t="n">
        <v>38</v>
      </c>
      <c r="B43" s="100" t="inlineStr">
        <is>
          <t>DX-V-032-008_TinderSwipe_DX-H-048-001_StackExplosion | Comp &amp; Resizes</t>
        </is>
      </c>
      <c r="C43" s="76" t="n">
        <v>0.3</v>
      </c>
      <c r="D43" s="1">
        <f>C43*9</f>
        <v/>
      </c>
      <c r="G43" s="33">
        <f>D43*15</f>
        <v/>
      </c>
      <c r="I43" s="33">
        <f>D43*35</f>
        <v/>
      </c>
    </row>
    <row r="45">
      <c r="A45" s="11" t="n"/>
      <c r="B45" s="57" t="n"/>
      <c r="C45" s="11">
        <f>SUM(C6:C44)</f>
        <v/>
      </c>
      <c r="D45" s="11">
        <f>SUM(D6:D44)</f>
        <v/>
      </c>
      <c r="E45" s="58" t="n"/>
      <c r="F45" s="112">
        <f>SUM(F6:F44)</f>
        <v/>
      </c>
      <c r="G45" s="112">
        <f>SUM(G6:G44)</f>
        <v/>
      </c>
      <c r="H45" s="59">
        <f>F45+G45</f>
        <v/>
      </c>
      <c r="I45" s="60">
        <f>SUM(I6:I44)</f>
        <v/>
      </c>
    </row>
    <row r="46">
      <c r="F46" s="112">
        <f>F45*40</f>
        <v/>
      </c>
      <c r="G46" s="112">
        <f>G45*40</f>
        <v/>
      </c>
      <c r="H46" s="33">
        <f>H45*40</f>
        <v/>
      </c>
      <c r="I46" s="33">
        <f>I45*40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Q38"/>
  <sheetViews>
    <sheetView workbookViewId="0">
      <pane ySplit="2" topLeftCell="A3" activePane="bottomLeft" state="frozen"/>
      <selection pane="bottomLeft" activeCell="B34" sqref="B34"/>
    </sheetView>
  </sheetViews>
  <sheetFormatPr baseColWidth="10" defaultRowHeight="16"/>
  <cols>
    <col width="3.6640625" bestFit="1" customWidth="1" style="1" min="1" max="1"/>
    <col width="66.6640625" customWidth="1" style="2" min="2" max="2"/>
    <col width="10.83203125" customWidth="1" style="1" min="3" max="4"/>
    <col width="9.1640625" customWidth="1" style="1" min="5" max="5"/>
    <col width="11.6640625" customWidth="1" style="1" min="6" max="6"/>
    <col width="10.83203125" customWidth="1" style="1" min="7" max="7"/>
    <col width="12" customWidth="1" style="1" min="8" max="8"/>
    <col width="11.83203125" customWidth="1" style="1" min="9" max="9"/>
    <col width="10.33203125" customWidth="1" style="1" min="10" max="10"/>
    <col width="12.33203125" customWidth="1" style="1" min="11" max="11"/>
    <col width="12.5" bestFit="1" customWidth="1" style="1" min="12" max="12"/>
    <col width="14" bestFit="1" customWidth="1" style="1" min="13" max="13"/>
    <col width="13" customWidth="1" style="1" min="14" max="14"/>
    <col width="10.83203125" customWidth="1" style="1" min="15" max="16384"/>
  </cols>
  <sheetData>
    <row r="2">
      <c r="B2" s="61" t="inlineStr">
        <is>
          <t>2024 PROJECT NAME</t>
        </is>
      </c>
      <c r="F2" s="41" t="inlineStr">
        <is>
          <t>Настя</t>
        </is>
      </c>
      <c r="G2" s="38" t="inlineStr">
        <is>
          <t>Сергій</t>
        </is>
      </c>
    </row>
    <row r="3">
      <c r="F3" s="38" t="inlineStr">
        <is>
          <t>2Dpaint</t>
        </is>
      </c>
      <c r="G3" s="38" t="inlineStr">
        <is>
          <t>2Dvideo</t>
        </is>
      </c>
    </row>
    <row r="4">
      <c r="A4" s="68" t="n"/>
      <c r="B4" s="67" t="inlineStr">
        <is>
          <t>JULY</t>
        </is>
      </c>
      <c r="C4" s="69" t="inlineStr">
        <is>
          <t>SHIFTS</t>
        </is>
      </c>
      <c r="D4" s="70" t="inlineStr">
        <is>
          <t>HOURS</t>
        </is>
      </c>
      <c r="E4" s="71" t="inlineStr">
        <is>
          <t>D.LINE</t>
        </is>
      </c>
      <c r="F4" s="73" t="inlineStr">
        <is>
          <t>EMPL 2</t>
        </is>
      </c>
      <c r="G4" s="73" t="inlineStr">
        <is>
          <t>EMPL 3</t>
        </is>
      </c>
      <c r="H4" s="73" t="inlineStr">
        <is>
          <t>Total EMPL</t>
        </is>
      </c>
      <c r="I4" s="75" t="inlineStr">
        <is>
          <t>STUDIO</t>
        </is>
      </c>
      <c r="K4" s="25" t="n"/>
      <c r="L4" s="25" t="n"/>
      <c r="M4" s="14" t="n"/>
      <c r="N4" s="31" t="inlineStr">
        <is>
          <t>Rates/h</t>
        </is>
      </c>
    </row>
    <row r="5">
      <c r="B5" s="30" t="n"/>
      <c r="E5" s="20" t="n"/>
      <c r="F5" s="12" t="n"/>
      <c r="G5" s="12" t="n"/>
      <c r="I5" s="20" t="n"/>
      <c r="K5" s="4" t="n"/>
      <c r="L5" s="16" t="inlineStr">
        <is>
          <t>USD</t>
        </is>
      </c>
      <c r="M5" s="29" t="inlineStr">
        <is>
          <t>UAH</t>
        </is>
      </c>
      <c r="N5" s="33" t="n">
        <v>50</v>
      </c>
    </row>
    <row r="6">
      <c r="A6" s="13" t="n">
        <v>1</v>
      </c>
      <c r="B6" s="40" t="inlineStr">
        <is>
          <t>DD-SS-001-002_PurpleRibbonOriginals_OneWord_LOC_DE+ES-SP, ES-LA+FR | design</t>
        </is>
      </c>
      <c r="C6" s="38" t="n">
        <v>1</v>
      </c>
      <c r="D6" s="1">
        <f>C6*9</f>
        <v/>
      </c>
      <c r="F6" s="66">
        <f>D6*N17</f>
        <v/>
      </c>
      <c r="I6" s="33">
        <f>D6*35</f>
        <v/>
      </c>
      <c r="K6" s="5" t="inlineStr">
        <is>
          <t>CLIENT IN</t>
        </is>
      </c>
      <c r="L6" s="8">
        <f>I18</f>
        <v/>
      </c>
      <c r="M6" s="7">
        <f>L6*36.95</f>
        <v/>
      </c>
      <c r="N6" s="33" t="n">
        <v>45</v>
      </c>
    </row>
    <row r="7">
      <c r="A7" s="13" t="n">
        <v>2</v>
      </c>
      <c r="B7" s="55" t="inlineStr">
        <is>
          <t>DX-B-011-006_TreasureTrail_Netherlands_PTE  |  Resizes:</t>
        </is>
      </c>
      <c r="C7" s="38" t="n">
        <v>0.5</v>
      </c>
      <c r="D7" s="1">
        <f>C7*9</f>
        <v/>
      </c>
      <c r="E7" s="20" t="n"/>
      <c r="F7" s="66">
        <f>D7*N17</f>
        <v/>
      </c>
      <c r="G7" s="21" t="n"/>
      <c r="H7" s="21" t="n"/>
      <c r="I7" s="33">
        <f>D7*35</f>
        <v/>
      </c>
      <c r="K7" s="5" t="inlineStr">
        <is>
          <t>STUDIO (TAX)</t>
        </is>
      </c>
      <c r="L7" s="8">
        <f>L6-L6*0.05</f>
        <v/>
      </c>
      <c r="M7" s="7">
        <f>L7*36.95</f>
        <v/>
      </c>
      <c r="N7" s="33" t="n">
        <v>40</v>
      </c>
    </row>
    <row r="8">
      <c r="A8" s="13" t="n">
        <v>3</v>
      </c>
      <c r="B8" s="62" t="inlineStr">
        <is>
          <t>DX-V-031-001_PeonChest_EN 30s | LOC*1: NL | Comp &amp; Resizes</t>
        </is>
      </c>
      <c r="C8" s="38" t="n">
        <v>0.6</v>
      </c>
      <c r="D8" s="1">
        <f>C8*9</f>
        <v/>
      </c>
      <c r="G8" s="66">
        <f>D8*N13</f>
        <v/>
      </c>
      <c r="I8" s="33">
        <f>D8*35</f>
        <v/>
      </c>
      <c r="K8" s="5" t="inlineStr">
        <is>
          <t>EMPL</t>
        </is>
      </c>
      <c r="L8" s="8">
        <f>H18</f>
        <v/>
      </c>
      <c r="M8" s="7">
        <f>L8*36.95</f>
        <v/>
      </c>
      <c r="N8" s="33" t="n">
        <v>35</v>
      </c>
    </row>
    <row r="9">
      <c r="A9" s="13" t="n">
        <v>4</v>
      </c>
      <c r="B9" s="55" t="inlineStr">
        <is>
          <t>DX-V-028-001_ImpossibleLevel | LOC*2: NL+ES-LA | Comp</t>
        </is>
      </c>
      <c r="C9" s="38" t="n">
        <v>0.6</v>
      </c>
      <c r="D9" s="1">
        <f>C9*9</f>
        <v/>
      </c>
      <c r="E9" s="20" t="n"/>
      <c r="F9" s="21" t="n"/>
      <c r="G9" s="66">
        <f>D9*N13</f>
        <v/>
      </c>
      <c r="H9" s="21" t="n"/>
      <c r="I9" s="33">
        <f>D9*35</f>
        <v/>
      </c>
      <c r="K9" s="37" t="inlineStr">
        <is>
          <t>STUDIO</t>
        </is>
      </c>
      <c r="L9" s="8">
        <f>L7-L8</f>
        <v/>
      </c>
      <c r="M9" s="7">
        <f>L9*36.95</f>
        <v/>
      </c>
      <c r="N9" s="33" t="n">
        <v>32</v>
      </c>
      <c r="O9" s="4" t="n"/>
      <c r="P9" s="4" t="n"/>
      <c r="Q9" s="4" t="n"/>
    </row>
    <row r="10">
      <c r="A10" s="13" t="n">
        <v>5</v>
      </c>
      <c r="B10" s="55" t="inlineStr">
        <is>
          <t>DX-V-022-001_BuildSequence_ASO | LOC*1: NL | Comp</t>
        </is>
      </c>
      <c r="C10" s="38" t="n">
        <v>0.5</v>
      </c>
      <c r="D10" s="1">
        <f>C10*9</f>
        <v/>
      </c>
      <c r="G10" s="66">
        <f>D10*N13</f>
        <v/>
      </c>
      <c r="I10" s="33">
        <f>D10*35</f>
        <v/>
      </c>
      <c r="J10" s="8" t="n"/>
      <c r="K10" s="7" t="n"/>
      <c r="L10" s="4" t="n"/>
      <c r="N10" s="33" t="n">
        <v>30</v>
      </c>
    </row>
    <row r="11">
      <c r="A11" s="13" t="n">
        <v>6</v>
      </c>
      <c r="B11" s="62" t="inlineStr">
        <is>
          <t>DX-V-032-002_TinderSwipe_RenaissanceFair_20s</t>
        </is>
      </c>
      <c r="C11" s="38" t="n">
        <v>0.5</v>
      </c>
      <c r="D11" s="1">
        <f>C11*9</f>
        <v/>
      </c>
      <c r="G11" s="66">
        <f>D11*N13</f>
        <v/>
      </c>
      <c r="I11" s="33">
        <f>D11*35</f>
        <v/>
      </c>
      <c r="J11" s="36" t="inlineStr">
        <is>
          <t>EMPL</t>
        </is>
      </c>
      <c r="K11" s="34" t="inlineStr">
        <is>
          <t>COST</t>
        </is>
      </c>
      <c r="L11" s="35" t="inlineStr">
        <is>
          <t>PAID</t>
        </is>
      </c>
      <c r="M11" s="17" t="inlineStr">
        <is>
          <t>2PAY</t>
        </is>
      </c>
      <c r="N11" s="33" t="n">
        <v>25</v>
      </c>
    </row>
    <row r="12">
      <c r="A12" s="13" t="n">
        <v>7</v>
      </c>
      <c r="B12" s="62" t="inlineStr">
        <is>
          <t>DX-B-015-003_LeaningDominoDreams_PlayNow</t>
        </is>
      </c>
      <c r="C12" s="1" t="n">
        <v>0.25</v>
      </c>
      <c r="D12" s="1">
        <f>C12*9</f>
        <v/>
      </c>
      <c r="G12" s="66">
        <f>D12*N13</f>
        <v/>
      </c>
      <c r="I12" s="33">
        <f>D12*35</f>
        <v/>
      </c>
      <c r="J12" s="32" t="inlineStr">
        <is>
          <t>EMPL 1</t>
        </is>
      </c>
      <c r="K12" s="28">
        <f>F18</f>
        <v/>
      </c>
      <c r="L12" s="8" t="n"/>
      <c r="M12" s="33">
        <f>K12-L12</f>
        <v/>
      </c>
      <c r="N12" s="33" t="n">
        <v>20</v>
      </c>
    </row>
    <row r="13">
      <c r="A13" s="13" t="n">
        <v>8</v>
      </c>
      <c r="B13" s="62" t="inlineStr">
        <is>
          <t>DX-B-026-002_BeachLife_RT | LOC*1 - NL | Design</t>
        </is>
      </c>
      <c r="C13" s="1" t="n">
        <v>0.25</v>
      </c>
      <c r="D13" s="1">
        <f>C13*9</f>
        <v/>
      </c>
      <c r="F13" s="66">
        <f>D13*N17</f>
        <v/>
      </c>
      <c r="I13" s="33">
        <f>D13*35</f>
        <v/>
      </c>
      <c r="J13" s="32" t="inlineStr">
        <is>
          <t>EMPL 2</t>
        </is>
      </c>
      <c r="K13" s="28">
        <f>G18</f>
        <v/>
      </c>
      <c r="L13" s="8" t="n"/>
      <c r="M13" s="33">
        <f>K13-L13</f>
        <v/>
      </c>
      <c r="N13" s="33" t="n">
        <v>15</v>
      </c>
    </row>
    <row r="14">
      <c r="A14" s="13" t="n">
        <v>9</v>
      </c>
      <c r="B14" s="62" t="inlineStr">
        <is>
          <t>DX-B-012-001_BeachCastle | LOC*3: ES-LA+DE+NL | Design</t>
        </is>
      </c>
      <c r="C14" s="38" t="n">
        <v>0.3</v>
      </c>
      <c r="D14" s="1">
        <f>C14*9</f>
        <v/>
      </c>
      <c r="F14" s="66">
        <f>D14*N17</f>
        <v/>
      </c>
      <c r="I14" s="33">
        <f>D14*35</f>
        <v/>
      </c>
      <c r="J14" s="32" t="n"/>
      <c r="K14" s="8" t="n"/>
      <c r="L14" s="8" t="n"/>
      <c r="M14" s="33" t="n"/>
      <c r="N14" s="33" t="n">
        <v>13</v>
      </c>
    </row>
    <row r="15">
      <c r="A15" s="13" t="n">
        <v>10</v>
      </c>
      <c r="B15" s="62" t="inlineStr">
        <is>
          <t>DX-B-019-001_PileofDominos LOC*1: ES-LA + DE | Design</t>
        </is>
      </c>
      <c r="C15" s="38" t="n">
        <v>0.3</v>
      </c>
      <c r="D15" s="1">
        <f>C15*9</f>
        <v/>
      </c>
      <c r="F15" s="66">
        <f>D15*N17</f>
        <v/>
      </c>
      <c r="I15" s="33">
        <f>D15*35</f>
        <v/>
      </c>
      <c r="J15" s="32" t="n"/>
      <c r="K15" s="8" t="n"/>
      <c r="L15" s="7" t="n"/>
      <c r="M15" s="33" t="n"/>
      <c r="N15" s="33" t="n">
        <v>12</v>
      </c>
    </row>
    <row r="16">
      <c r="A16" s="13" t="n">
        <v>11</v>
      </c>
      <c r="B16" s="63" t="inlineStr">
        <is>
          <t>DD-V-229-Coins&amp;Coins_EN - 15,30,45 &amp; 60s</t>
        </is>
      </c>
      <c r="C16" s="1" t="n">
        <v>1.2</v>
      </c>
      <c r="D16" s="1">
        <f>C16*9</f>
        <v/>
      </c>
      <c r="F16" s="33" t="n"/>
      <c r="G16" s="66">
        <f>D16*N13</f>
        <v/>
      </c>
      <c r="I16" s="33">
        <f>D16*35</f>
        <v/>
      </c>
      <c r="M16" s="4" t="n"/>
      <c r="N16" s="33" t="n">
        <v>11</v>
      </c>
      <c r="O16" s="4" t="n"/>
      <c r="P16" s="4" t="n"/>
      <c r="Q16" s="4" t="n"/>
    </row>
    <row r="17">
      <c r="M17" s="9" t="n"/>
      <c r="N17" s="33" t="n">
        <v>10</v>
      </c>
      <c r="O17" s="4" t="n"/>
      <c r="P17" s="4" t="n"/>
      <c r="Q17" s="4" t="n"/>
    </row>
    <row r="18">
      <c r="A18" s="11" t="n"/>
      <c r="B18" s="57" t="n"/>
      <c r="C18" s="11">
        <f>SUM(C5:C17)</f>
        <v/>
      </c>
      <c r="D18" s="11">
        <f>SUM(D6:D17)</f>
        <v/>
      </c>
      <c r="E18" s="58" t="n"/>
      <c r="F18" s="66">
        <f>SUM(F6:F16)</f>
        <v/>
      </c>
      <c r="G18" s="66">
        <f>SUM(G5:G16)</f>
        <v/>
      </c>
      <c r="H18" s="59">
        <f>SUM(F18:G18)</f>
        <v/>
      </c>
      <c r="I18" s="60">
        <f>SUM(I6:I16)</f>
        <v/>
      </c>
      <c r="N18" s="4" t="n"/>
      <c r="O18" s="4" t="n"/>
      <c r="P18" s="4" t="n"/>
      <c r="Q18" s="4" t="n"/>
    </row>
    <row r="20">
      <c r="P20" s="4" t="n"/>
      <c r="Q20" s="4" t="n"/>
    </row>
    <row r="21">
      <c r="N21" s="4" t="n"/>
      <c r="O21" s="4" t="n"/>
      <c r="P21" s="4" t="n"/>
      <c r="Q21" s="4" t="n"/>
    </row>
    <row r="22">
      <c r="M22" s="5" t="n"/>
      <c r="N22" s="4" t="n"/>
      <c r="O22" s="4" t="n"/>
      <c r="P22" s="4" t="n"/>
      <c r="Q22" s="4" t="n"/>
    </row>
    <row r="23">
      <c r="M23" s="5" t="n"/>
      <c r="N23" s="4" t="n"/>
      <c r="O23" s="4" t="n"/>
      <c r="P23" s="4" t="n"/>
      <c r="Q23" s="4" t="n"/>
    </row>
    <row r="24">
      <c r="M24" s="5" t="n"/>
      <c r="N24" s="4" t="n"/>
      <c r="O24" s="4" t="n"/>
      <c r="P24" s="4" t="n"/>
      <c r="Q24" s="4" t="n"/>
    </row>
    <row r="25">
      <c r="M25" s="5" t="n"/>
      <c r="N25" s="4" t="n"/>
      <c r="O25" s="4" t="n"/>
      <c r="P25" s="4" t="n"/>
      <c r="Q25" s="4" t="n"/>
    </row>
    <row r="26">
      <c r="M26" s="4" t="n"/>
      <c r="N26" s="6" t="n"/>
      <c r="O26" s="4" t="n"/>
      <c r="P26" s="4" t="n"/>
      <c r="Q26" s="4" t="n"/>
    </row>
    <row r="27">
      <c r="M27" s="4" t="n"/>
      <c r="N27" s="6" t="n"/>
      <c r="O27" s="4" t="n"/>
      <c r="P27" s="4" t="n"/>
      <c r="Q27" s="4" t="n"/>
    </row>
    <row r="28">
      <c r="M28" s="4" t="n"/>
      <c r="N28" s="4" t="n"/>
      <c r="O28" s="4" t="n"/>
      <c r="P28" s="4" t="n"/>
      <c r="Q28" s="4" t="n"/>
    </row>
    <row r="30">
      <c r="M30" s="4" t="n"/>
      <c r="N30" s="4" t="n"/>
      <c r="O30" s="4" t="n"/>
      <c r="P30" s="4" t="n"/>
      <c r="Q30" s="4" t="n"/>
    </row>
    <row r="31">
      <c r="L31" s="33" t="n"/>
    </row>
    <row r="32">
      <c r="K32" s="64" t="n"/>
    </row>
    <row r="37">
      <c r="M37" s="4" t="n"/>
      <c r="N37" s="4" t="n"/>
      <c r="O37" s="4" t="n"/>
      <c r="P37" s="4" t="n"/>
      <c r="Q37" s="4" t="n"/>
    </row>
    <row r="38">
      <c r="M38" s="4" t="n"/>
      <c r="N38" s="4" t="n"/>
      <c r="O38" s="4" t="n"/>
      <c r="P38" s="4" t="n"/>
      <c r="Q38" s="4" t="n"/>
    </row>
  </sheetData>
  <pageMargins left="0.7" right="0.7" top="0.75" bottom="0.75" header="0.3" footer="0.3"/>
  <pageSetup orientation="portrait" paperSize="9" horizontalDpi="0" verticalDpi="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ySplit="2" topLeftCell="A3" activePane="bottomLeft" state="frozen"/>
      <selection pane="bottomLeft" activeCell="K57" sqref="K57"/>
    </sheetView>
  </sheetViews>
  <sheetFormatPr baseColWidth="10" defaultRowHeight="16"/>
  <cols>
    <col width="3.6640625" bestFit="1" customWidth="1" style="1" min="1" max="1"/>
    <col width="66.6640625" customWidth="1" style="2" min="2" max="2"/>
    <col width="10.83203125" customWidth="1" style="1" min="3" max="4"/>
    <col width="9.1640625" customWidth="1" style="1" min="5" max="5"/>
    <col width="11.5" bestFit="1" customWidth="1" style="1" min="6" max="6"/>
    <col width="11.6640625" customWidth="1" style="1" min="7" max="7"/>
    <col width="10.83203125" customWidth="1" style="1" min="8" max="8"/>
    <col width="10.83203125" customWidth="1" style="3" min="9" max="9"/>
    <col width="12" customWidth="1" style="1" min="10" max="10"/>
    <col width="11.83203125" customWidth="1" style="1" min="11" max="11"/>
    <col width="10.33203125" customWidth="1" style="1" min="12" max="12"/>
    <col width="12.33203125" customWidth="1" style="1" min="13" max="13"/>
    <col width="12.5" bestFit="1" customWidth="1" style="1" min="14" max="14"/>
    <col width="14" bestFit="1" customWidth="1" style="1" min="15" max="15"/>
    <col width="13" customWidth="1" style="1" min="16" max="16"/>
    <col width="10.83203125" customWidth="1" style="1" min="17" max="16384"/>
  </cols>
  <sheetData>
    <row r="1">
      <c r="I1" s="1" t="n"/>
    </row>
    <row r="2">
      <c r="B2" s="61" t="inlineStr">
        <is>
          <t>2024 PROJECT NAME</t>
        </is>
      </c>
      <c r="F2" s="38" t="inlineStr">
        <is>
          <t>Mary</t>
        </is>
      </c>
      <c r="G2" s="41" t="inlineStr">
        <is>
          <t>Настя</t>
        </is>
      </c>
      <c r="H2" s="38" t="inlineStr">
        <is>
          <t>Сергій</t>
        </is>
      </c>
      <c r="I2" s="38" t="inlineStr">
        <is>
          <t>Настя</t>
        </is>
      </c>
    </row>
    <row r="3">
      <c r="F3" s="38" t="inlineStr">
        <is>
          <t>2Dpaint</t>
        </is>
      </c>
      <c r="G3" s="38" t="inlineStr">
        <is>
          <t>2Dpaint</t>
        </is>
      </c>
      <c r="H3" s="38" t="inlineStr">
        <is>
          <t>2Dvideo</t>
        </is>
      </c>
      <c r="I3" s="38" t="inlineStr">
        <is>
          <t>2Dbanner</t>
        </is>
      </c>
    </row>
    <row r="4">
      <c r="A4" s="68" t="n"/>
      <c r="B4" s="67" t="inlineStr">
        <is>
          <t>JUNE</t>
        </is>
      </c>
      <c r="C4" s="69" t="inlineStr">
        <is>
          <t>SHIFTS</t>
        </is>
      </c>
      <c r="D4" s="70" t="inlineStr">
        <is>
          <t>HOURS</t>
        </is>
      </c>
      <c r="E4" s="71" t="inlineStr">
        <is>
          <t>D.LINE</t>
        </is>
      </c>
      <c r="F4" s="72" t="inlineStr">
        <is>
          <t>EMPL 1</t>
        </is>
      </c>
      <c r="G4" s="73" t="inlineStr">
        <is>
          <t>EMPL 2</t>
        </is>
      </c>
      <c r="H4" s="73" t="inlineStr">
        <is>
          <t>EMPL 3</t>
        </is>
      </c>
      <c r="I4" s="74" t="inlineStr">
        <is>
          <t>EMPL 4</t>
        </is>
      </c>
      <c r="J4" s="73" t="inlineStr">
        <is>
          <t>Total EMPL</t>
        </is>
      </c>
      <c r="K4" s="75" t="inlineStr">
        <is>
          <t>STUDIO</t>
        </is>
      </c>
      <c r="M4" s="25" t="n"/>
      <c r="N4" s="25" t="n"/>
      <c r="O4" s="14" t="n"/>
      <c r="P4" s="31" t="inlineStr">
        <is>
          <t>Rates/h</t>
        </is>
      </c>
    </row>
    <row r="5">
      <c r="B5" s="15" t="n"/>
      <c r="E5" s="22" t="n"/>
      <c r="F5" s="12" t="n"/>
      <c r="G5" s="12" t="n"/>
      <c r="H5" s="12" t="n"/>
      <c r="I5" s="12" t="n"/>
      <c r="K5" s="22" t="n"/>
      <c r="M5" s="4" t="n"/>
      <c r="N5" s="16" t="inlineStr">
        <is>
          <t>USD</t>
        </is>
      </c>
      <c r="O5" s="29" t="inlineStr">
        <is>
          <t>UAH</t>
        </is>
      </c>
      <c r="P5" s="33" t="n">
        <v>50</v>
      </c>
    </row>
    <row r="6">
      <c r="A6" s="13" t="n">
        <v>1</v>
      </c>
      <c r="B6" s="26" t="inlineStr">
        <is>
          <t>DD-B-087-001_AllOfThisKingdom</t>
        </is>
      </c>
      <c r="C6" s="1" t="n">
        <v>1.1</v>
      </c>
      <c r="D6" s="1">
        <f>C6*9</f>
        <v/>
      </c>
      <c r="E6" s="10" t="n"/>
      <c r="F6" s="33">
        <f>D6*P12</f>
        <v/>
      </c>
      <c r="H6" s="12" t="n"/>
      <c r="I6" s="12" t="n"/>
      <c r="K6" s="33">
        <f>D6*P7</f>
        <v/>
      </c>
      <c r="M6" s="5" t="inlineStr">
        <is>
          <t>CLIENT IN</t>
        </is>
      </c>
      <c r="N6" s="8">
        <f>K12</f>
        <v/>
      </c>
      <c r="O6" s="7">
        <f>N6*36.95</f>
        <v/>
      </c>
      <c r="P6" s="33" t="n">
        <v>45</v>
      </c>
    </row>
    <row r="7">
      <c r="A7" s="13" t="n">
        <v>2</v>
      </c>
      <c r="B7" s="40" t="inlineStr">
        <is>
          <t>DD-SPS-002-007_DiceThrowPeons_PurpleBanner</t>
        </is>
      </c>
      <c r="C7" s="1" t="n">
        <v>1.5</v>
      </c>
      <c r="D7" s="1">
        <f>C7*9</f>
        <v/>
      </c>
      <c r="E7" s="10" t="n"/>
      <c r="F7" s="12" t="n"/>
      <c r="G7" s="66">
        <f>D7*E17</f>
        <v/>
      </c>
      <c r="K7" s="33">
        <f>D7*P11</f>
        <v/>
      </c>
      <c r="M7" s="5" t="inlineStr">
        <is>
          <t>STUDIO (TAX)</t>
        </is>
      </c>
      <c r="N7" s="8">
        <f>N6-N6*0.05</f>
        <v/>
      </c>
      <c r="O7" s="7">
        <f>N7*36.95</f>
        <v/>
      </c>
      <c r="P7" s="33" t="n">
        <v>40</v>
      </c>
    </row>
    <row r="8">
      <c r="A8" s="13" t="n">
        <v>3</v>
      </c>
      <c r="B8" s="40" t="inlineStr">
        <is>
          <t>DX-B-032-001_Skateboard + DX-B-032-002_Skateboard_RT</t>
        </is>
      </c>
      <c r="C8" s="1" t="n">
        <v>1.5</v>
      </c>
      <c r="D8" s="1">
        <f>C8*9</f>
        <v/>
      </c>
      <c r="E8" s="10" t="n"/>
      <c r="F8" s="33">
        <f>D8*P12</f>
        <v/>
      </c>
      <c r="G8" s="12" t="n"/>
      <c r="H8" s="12" t="n"/>
      <c r="I8" s="12" t="n"/>
      <c r="K8" s="33">
        <f>D8*P7</f>
        <v/>
      </c>
      <c r="M8" s="5" t="inlineStr">
        <is>
          <t>EMPL</t>
        </is>
      </c>
      <c r="N8" s="8">
        <f>J12</f>
        <v/>
      </c>
      <c r="O8" s="7">
        <f>N8*36.95</f>
        <v/>
      </c>
      <c r="P8" s="33" t="n">
        <v>35</v>
      </c>
    </row>
    <row r="9">
      <c r="A9" s="13" t="n">
        <v>4</v>
      </c>
      <c r="B9" s="40" t="inlineStr">
        <is>
          <t>DX-V-015-016_SimpleIntro_DX-H-009-002(PeonDominoThrow_WildDom)_EN_26s</t>
        </is>
      </c>
      <c r="C9" s="1" t="n">
        <v>0.25</v>
      </c>
      <c r="D9" s="1">
        <f>C9*9</f>
        <v/>
      </c>
      <c r="E9" s="10" t="n"/>
      <c r="H9" s="66">
        <f>D9*P13</f>
        <v/>
      </c>
      <c r="I9" s="12" t="n"/>
      <c r="K9" s="33">
        <f>D9*P9</f>
        <v/>
      </c>
      <c r="M9" s="37" t="inlineStr">
        <is>
          <t>STUDIO</t>
        </is>
      </c>
      <c r="N9" s="8">
        <f>N7-N8</f>
        <v/>
      </c>
      <c r="O9" s="7">
        <f>N9*36.95</f>
        <v/>
      </c>
      <c r="P9" s="33" t="n">
        <v>32</v>
      </c>
      <c r="Q9" s="4" t="n"/>
      <c r="R9" s="4" t="n"/>
      <c r="S9" s="4" t="n"/>
    </row>
    <row r="10">
      <c r="A10" s="13" t="n">
        <v>5</v>
      </c>
      <c r="B10" s="40" t="inlineStr">
        <is>
          <t>DX-V-028-005_ImpossibleLevel_DX-H-054-001(Pinata)_EN_24s</t>
        </is>
      </c>
      <c r="C10" s="1" t="n">
        <v>0.25</v>
      </c>
      <c r="D10" s="1">
        <f>C10*9</f>
        <v/>
      </c>
      <c r="E10" s="10" t="n"/>
      <c r="H10" s="66">
        <f>D10*P13</f>
        <v/>
      </c>
      <c r="I10" s="12" t="n"/>
      <c r="K10" s="33">
        <f>D10*P9</f>
        <v/>
      </c>
      <c r="L10" s="8" t="n"/>
      <c r="M10" s="7" t="n"/>
      <c r="N10" s="4" t="n"/>
      <c r="P10" s="33" t="n">
        <v>30</v>
      </c>
    </row>
    <row r="11">
      <c r="B11" s="18" t="n"/>
      <c r="E11" s="10" t="n"/>
      <c r="F11" s="12" t="n"/>
      <c r="G11" s="12" t="n"/>
      <c r="H11" s="12" t="n"/>
      <c r="I11" s="12" t="n"/>
      <c r="K11" s="10" t="n"/>
      <c r="L11" s="36" t="inlineStr">
        <is>
          <t>EMPL</t>
        </is>
      </c>
      <c r="M11" s="34" t="inlineStr">
        <is>
          <t>COST</t>
        </is>
      </c>
      <c r="N11" s="35" t="inlineStr">
        <is>
          <t>PAID</t>
        </is>
      </c>
      <c r="O11" s="17" t="inlineStr">
        <is>
          <t>2PAY</t>
        </is>
      </c>
      <c r="P11" s="33" t="n">
        <v>25</v>
      </c>
    </row>
    <row r="12">
      <c r="A12" s="11" t="n"/>
      <c r="B12" s="57" t="n"/>
      <c r="C12" s="11">
        <f>SUM(C6:C11)</f>
        <v/>
      </c>
      <c r="D12" s="11">
        <f>SUM(D6:D11)</f>
        <v/>
      </c>
      <c r="E12" s="58" t="n"/>
      <c r="F12" s="59">
        <f>SUM(F5:F11)</f>
        <v/>
      </c>
      <c r="G12" s="66">
        <f>SUM(G5:G11)</f>
        <v/>
      </c>
      <c r="H12" s="66">
        <f>SUM(H5:H11)</f>
        <v/>
      </c>
      <c r="I12" s="59" t="n"/>
      <c r="J12" s="59">
        <f>SUM(F12:H12)</f>
        <v/>
      </c>
      <c r="K12" s="60">
        <f>SUM(K6:K11)</f>
        <v/>
      </c>
      <c r="L12" s="80" t="inlineStr">
        <is>
          <t>EMPL 1</t>
        </is>
      </c>
      <c r="M12" s="28">
        <f>F12</f>
        <v/>
      </c>
      <c r="N12" s="8" t="n"/>
      <c r="O12" s="33">
        <f>M12-N12</f>
        <v/>
      </c>
      <c r="P12" s="33" t="n">
        <v>20</v>
      </c>
    </row>
    <row r="13">
      <c r="B13" s="18" t="n"/>
      <c r="E13" s="10" t="n"/>
      <c r="F13" s="12" t="n"/>
      <c r="G13" s="12" t="n"/>
      <c r="H13" s="12" t="n"/>
      <c r="I13" s="12" t="n"/>
      <c r="K13" s="10" t="n"/>
      <c r="L13" s="32" t="inlineStr">
        <is>
          <t>EMPL 2</t>
        </is>
      </c>
      <c r="M13" s="28">
        <f>G12</f>
        <v/>
      </c>
      <c r="N13" s="8" t="n"/>
      <c r="O13" s="33">
        <f>M13-N13</f>
        <v/>
      </c>
      <c r="P13" s="33" t="n">
        <v>15</v>
      </c>
    </row>
    <row r="14">
      <c r="B14" s="19" t="n"/>
      <c r="E14" s="10" t="n"/>
      <c r="F14" s="12" t="n"/>
      <c r="G14" s="12" t="n"/>
      <c r="H14" s="12" t="n"/>
      <c r="I14" s="12" t="n"/>
      <c r="K14" s="10" t="n"/>
      <c r="L14" s="32" t="inlineStr">
        <is>
          <t>EMPL 3</t>
        </is>
      </c>
      <c r="M14" s="8">
        <f>H12</f>
        <v/>
      </c>
      <c r="N14" s="8" t="n"/>
      <c r="O14" s="33">
        <f>M14-N14</f>
        <v/>
      </c>
      <c r="P14" s="33" t="n">
        <v>13</v>
      </c>
    </row>
    <row r="15">
      <c r="A15" s="32" t="n"/>
      <c r="B15" s="8" t="n"/>
      <c r="C15" s="7" t="n"/>
      <c r="D15" s="33" t="n"/>
      <c r="E15" s="33" t="n"/>
      <c r="I15" s="1" t="n"/>
    </row>
    <row r="16">
      <c r="B16" s="1" t="n"/>
      <c r="D16" s="4" t="n"/>
      <c r="E16" s="33" t="n"/>
      <c r="F16" s="4" t="n"/>
      <c r="G16" s="4" t="n"/>
      <c r="H16" s="4" t="n"/>
      <c r="I16" s="1" t="n"/>
    </row>
    <row r="17">
      <c r="B17" s="1" t="n"/>
      <c r="D17" s="9" t="n"/>
      <c r="E17" s="33" t="n"/>
      <c r="F17" s="4" t="n"/>
      <c r="G17" s="4" t="n"/>
      <c r="H17" s="4" t="n"/>
      <c r="I17" s="1" t="n"/>
    </row>
    <row r="18">
      <c r="B18" s="1" t="n"/>
      <c r="E18" s="4" t="n"/>
      <c r="F18" s="4" t="n"/>
      <c r="G18" s="4" t="n"/>
      <c r="H18" s="4" t="n"/>
      <c r="I18" s="1" t="n"/>
    </row>
    <row r="19">
      <c r="B19" s="1" t="n"/>
      <c r="I19" s="1" t="n"/>
    </row>
    <row r="20">
      <c r="B20" s="1" t="n"/>
      <c r="G20" s="4" t="n"/>
      <c r="H20" s="4" t="n"/>
      <c r="I20" s="1" t="n"/>
    </row>
    <row r="21">
      <c r="B21" s="1" t="n"/>
      <c r="E21" s="4" t="n"/>
      <c r="F21" s="4" t="n"/>
      <c r="G21" s="4" t="n"/>
      <c r="H21" s="4" t="n"/>
      <c r="I21" s="1" t="n"/>
    </row>
    <row r="22">
      <c r="B22" s="1" t="n"/>
      <c r="D22" s="5" t="n"/>
      <c r="E22" s="4" t="n"/>
      <c r="F22" s="4" t="n"/>
      <c r="G22" s="4" t="n"/>
      <c r="H22" s="4" t="n"/>
      <c r="I22" s="1" t="n"/>
    </row>
    <row r="23">
      <c r="B23" s="1" t="n"/>
      <c r="D23" s="5" t="n"/>
      <c r="E23" s="4" t="n"/>
      <c r="F23" s="4" t="n"/>
      <c r="G23" s="4" t="n"/>
      <c r="H23" s="4" t="n"/>
      <c r="I23" s="1" t="n"/>
    </row>
    <row r="24">
      <c r="B24" s="1" t="n"/>
      <c r="D24" s="5" t="n"/>
      <c r="E24" s="4" t="n"/>
      <c r="F24" s="4" t="n"/>
      <c r="G24" s="4" t="n"/>
      <c r="H24" s="4" t="n"/>
      <c r="I24" s="1" t="n"/>
    </row>
    <row r="25">
      <c r="B25" s="1" t="n"/>
      <c r="D25" s="5" t="n"/>
      <c r="E25" s="4" t="n"/>
      <c r="F25" s="4" t="n"/>
      <c r="G25" s="4" t="n"/>
      <c r="H25" s="4" t="n"/>
      <c r="I25" s="1" t="n"/>
    </row>
    <row r="26">
      <c r="B26" s="1" t="n"/>
      <c r="D26" s="4" t="n"/>
      <c r="E26" s="6" t="n"/>
      <c r="F26" s="4" t="n"/>
      <c r="G26" s="4" t="n"/>
      <c r="H26" s="4" t="n"/>
      <c r="I26" s="1" t="n"/>
    </row>
    <row r="27">
      <c r="B27" s="1" t="n"/>
      <c r="D27" s="4" t="n"/>
      <c r="E27" s="6" t="n"/>
      <c r="F27" s="4" t="n"/>
      <c r="G27" s="4" t="n"/>
      <c r="H27" s="4" t="n"/>
      <c r="I27" s="1" t="n"/>
    </row>
    <row r="28">
      <c r="B28" s="1" t="n"/>
      <c r="D28" s="4" t="n"/>
      <c r="E28" s="4" t="n"/>
      <c r="F28" s="4" t="n"/>
      <c r="G28" s="4" t="n"/>
      <c r="H28" s="4" t="n"/>
      <c r="I28" s="1" t="n"/>
    </row>
    <row r="29">
      <c r="B29" s="1" t="n"/>
      <c r="I29" s="1" t="n"/>
    </row>
    <row r="30">
      <c r="B30" s="1" t="n"/>
      <c r="D30" s="4" t="n"/>
      <c r="E30" s="4" t="n"/>
      <c r="F30" s="4" t="n"/>
      <c r="G30" s="4" t="n"/>
      <c r="H30" s="4" t="n"/>
      <c r="I30" s="1" t="n"/>
    </row>
    <row r="31">
      <c r="B31" s="1" t="n"/>
      <c r="C31" s="33" t="n"/>
      <c r="I31" s="1" t="n"/>
    </row>
    <row r="32">
      <c r="A32" s="33" t="n"/>
      <c r="B32" s="64" t="n"/>
      <c r="I32" s="1" t="n"/>
    </row>
    <row r="33">
      <c r="B33" s="1" t="n"/>
      <c r="I33" s="1" t="n"/>
    </row>
    <row r="34">
      <c r="B34" s="1" t="n"/>
      <c r="I34" s="1" t="n"/>
    </row>
    <row r="35">
      <c r="B35" s="1" t="n"/>
      <c r="I35" s="1" t="n"/>
    </row>
    <row r="36">
      <c r="B36" s="1" t="n"/>
      <c r="I36" s="1" t="n"/>
    </row>
    <row r="37">
      <c r="B37" s="1" t="n"/>
      <c r="D37" s="4" t="n"/>
      <c r="E37" s="4" t="n"/>
      <c r="F37" s="4" t="n"/>
      <c r="G37" s="4" t="n"/>
      <c r="H37" s="4" t="n"/>
      <c r="I37" s="1" t="n"/>
    </row>
    <row r="38">
      <c r="B38" s="1" t="n"/>
      <c r="D38" s="4" t="n"/>
      <c r="E38" s="4" t="n"/>
      <c r="F38" s="4" t="n"/>
      <c r="G38" s="4" t="n"/>
      <c r="H38" s="4" t="n"/>
      <c r="I38" s="1" t="n"/>
    </row>
    <row r="39">
      <c r="B39" s="1" t="n"/>
      <c r="I39" s="1" t="n"/>
    </row>
    <row r="40">
      <c r="B40" s="1" t="n"/>
      <c r="I40" s="1" t="n"/>
    </row>
    <row r="41">
      <c r="B41" s="1" t="n"/>
      <c r="I41" s="1" t="n"/>
    </row>
    <row r="42">
      <c r="B42" s="1" t="n"/>
      <c r="I42" s="1" t="n"/>
    </row>
    <row r="43">
      <c r="B43" s="1" t="n"/>
      <c r="I43" s="1" t="n"/>
    </row>
    <row r="44">
      <c r="B44" s="1" t="n"/>
      <c r="I44" s="1" t="n"/>
    </row>
    <row r="45">
      <c r="B45" s="1" t="n"/>
      <c r="I45" s="1" t="n"/>
    </row>
    <row r="46">
      <c r="B46" s="1" t="n"/>
      <c r="I46" s="1" t="n"/>
    </row>
    <row r="47">
      <c r="B47" s="1" t="n"/>
      <c r="I47" s="1" t="n"/>
    </row>
    <row r="48">
      <c r="A48" s="1" t="n">
        <v>16</v>
      </c>
      <c r="B48" s="1" t="n"/>
      <c r="C48" s="76" t="n"/>
      <c r="K48" s="33" t="n"/>
    </row>
    <row r="49">
      <c r="A49" s="1" t="n">
        <v>17</v>
      </c>
    </row>
    <row r="61">
      <c r="A61" s="11" t="n"/>
      <c r="B61" s="57" t="n"/>
      <c r="C61" s="11">
        <f>SUM(C48:C49)</f>
        <v/>
      </c>
      <c r="D61" s="11">
        <f>SUM(D48:D49)</f>
        <v/>
      </c>
      <c r="E61" s="58" t="n"/>
      <c r="F61" s="59" t="n"/>
      <c r="G61" s="59">
        <f>SUM(G48:G49)</f>
        <v/>
      </c>
      <c r="H61" s="59">
        <f>SUM(H48:H49)</f>
        <v/>
      </c>
      <c r="I61" s="59" t="n"/>
      <c r="J61" s="59">
        <f>SUM(G61:H61)</f>
        <v/>
      </c>
      <c r="K61" s="60">
        <f>SUM(K48:K49)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979"/>
  <sheetViews>
    <sheetView topLeftCell="A3" workbookViewId="0">
      <pane xSplit="2" topLeftCell="C1" activePane="topRight" state="frozen"/>
      <selection pane="topRight" activeCell="H20" sqref="H20"/>
    </sheetView>
  </sheetViews>
  <sheetFormatPr baseColWidth="10" defaultColWidth="11.1640625" defaultRowHeight="15" customHeight="1"/>
  <cols>
    <col width="10.5" customWidth="1" style="81" min="1" max="1"/>
    <col width="16.83203125" customWidth="1" style="81" min="2" max="2"/>
    <col width="34.33203125" customWidth="1" style="81" min="3" max="3"/>
    <col width="17.5" customWidth="1" style="81" min="4" max="4"/>
    <col width="24.1640625" customWidth="1" style="81" min="5" max="5"/>
    <col width="17.33203125" customWidth="1" style="81" min="6" max="6"/>
    <col width="10.5" customWidth="1" style="81" min="7" max="10"/>
    <col width="41.83203125" customWidth="1" style="81" min="11" max="11"/>
    <col width="52.33203125" customWidth="1" style="81" min="12" max="12"/>
    <col width="10.5" customWidth="1" style="81" min="13" max="25"/>
    <col width="11.1640625" customWidth="1" style="81" min="26" max="16384"/>
  </cols>
  <sheetData>
    <row r="1" ht="15.75" customHeight="1">
      <c r="D1" s="82" t="n"/>
    </row>
    <row r="2" ht="15.75" customHeight="1">
      <c r="D2" s="82" t="n"/>
    </row>
    <row r="3" ht="15.75" customHeight="1">
      <c r="C3" s="99" t="inlineStr">
        <is>
          <t>Every 20th day of Month</t>
        </is>
      </c>
      <c r="D3" s="82" t="n"/>
    </row>
    <row r="4" ht="15.75" customHeight="1">
      <c r="A4" s="89" t="n"/>
      <c r="B4" s="89" t="inlineStr">
        <is>
          <t>INVOICES</t>
        </is>
      </c>
      <c r="C4" s="89" t="n"/>
      <c r="E4" s="89" t="n"/>
    </row>
    <row r="5" ht="15.75" customHeight="1">
      <c r="A5" s="86" t="n"/>
      <c r="B5" s="86" t="n"/>
      <c r="C5" s="86" t="n"/>
      <c r="D5" s="89" t="n"/>
      <c r="E5" s="86" t="n"/>
    </row>
    <row r="6" ht="15.75" customHeight="1">
      <c r="A6" s="89" t="n"/>
      <c r="B6" s="88" t="inlineStr">
        <is>
          <t>Month</t>
        </is>
      </c>
      <c r="C6" s="88" t="inlineStr">
        <is>
          <t>Description</t>
        </is>
      </c>
      <c r="D6" s="88" t="inlineStr">
        <is>
          <t>Quantity</t>
        </is>
      </c>
      <c r="E6" s="88" t="inlineStr">
        <is>
          <t xml:space="preserve">Price, USD </t>
        </is>
      </c>
      <c r="F6" s="88" t="inlineStr">
        <is>
          <t>Total</t>
        </is>
      </c>
      <c r="L6" s="87" t="n"/>
    </row>
    <row r="7" ht="15.75" customHeight="1">
      <c r="A7" s="86" t="n">
        <v>1</v>
      </c>
      <c r="B7" s="143" t="inlineStr">
        <is>
          <t>June</t>
        </is>
      </c>
      <c r="C7" s="85" t="inlineStr">
        <is>
          <t>DD/DX</t>
        </is>
      </c>
      <c r="D7" s="85" t="n">
        <v>41.4</v>
      </c>
      <c r="E7" s="91" t="n">
        <v>1488</v>
      </c>
      <c r="F7" s="91">
        <f>SUM(E7:E29)</f>
        <v/>
      </c>
      <c r="K7" s="84" t="n"/>
      <c r="L7" s="83" t="n"/>
    </row>
    <row r="8" ht="15.75" customHeight="1">
      <c r="A8" s="86" t="n">
        <v>2</v>
      </c>
      <c r="B8" s="143" t="inlineStr">
        <is>
          <t>July</t>
        </is>
      </c>
      <c r="C8" s="85" t="inlineStr">
        <is>
          <t>DD/DX</t>
        </is>
      </c>
      <c r="D8" s="85">
        <f>'July 24'!D18</f>
        <v/>
      </c>
      <c r="E8" s="91">
        <f>'July 24'!L6</f>
        <v/>
      </c>
      <c r="F8" s="92" t="n"/>
      <c r="K8" s="84" t="n"/>
      <c r="L8" s="83" t="n"/>
    </row>
    <row r="9" ht="15.75" customHeight="1">
      <c r="A9" s="86" t="n">
        <v>3</v>
      </c>
      <c r="B9" s="143" t="inlineStr">
        <is>
          <t>August</t>
        </is>
      </c>
      <c r="C9" s="85" t="inlineStr">
        <is>
          <t>DD/DX</t>
        </is>
      </c>
      <c r="D9" s="82">
        <f>'August 24'!D45</f>
        <v/>
      </c>
      <c r="E9" s="91">
        <f>'August 24'!I45</f>
        <v/>
      </c>
    </row>
    <row r="10" ht="15.75" customHeight="1">
      <c r="A10" s="81" t="n">
        <v>4</v>
      </c>
      <c r="B10" s="143" t="inlineStr">
        <is>
          <t>September</t>
        </is>
      </c>
      <c r="C10" s="85" t="inlineStr">
        <is>
          <t>DD/DX</t>
        </is>
      </c>
      <c r="D10" s="82">
        <f>'September 24'!D98</f>
        <v/>
      </c>
      <c r="E10" s="91">
        <f>'September 24'!K98</f>
        <v/>
      </c>
    </row>
    <row r="11" ht="15.75" customHeight="1">
      <c r="A11" s="81" t="n">
        <v>5</v>
      </c>
      <c r="B11" s="143" t="inlineStr">
        <is>
          <t>October</t>
        </is>
      </c>
      <c r="C11" s="85" t="inlineStr">
        <is>
          <t>DD/DX</t>
        </is>
      </c>
      <c r="D11" s="82">
        <f>'October 24'!D53</f>
        <v/>
      </c>
      <c r="E11" s="91">
        <f>'October 24'!N54</f>
        <v/>
      </c>
    </row>
    <row r="12" ht="15.75" customHeight="1">
      <c r="A12" s="81" t="n">
        <v>6</v>
      </c>
      <c r="B12" s="143" t="inlineStr">
        <is>
          <t>November</t>
        </is>
      </c>
      <c r="C12" s="85" t="inlineStr">
        <is>
          <t>DD/DX</t>
        </is>
      </c>
      <c r="D12" s="82">
        <f>'November 24'!D60</f>
        <v/>
      </c>
      <c r="E12" s="91">
        <f>'November 24'!N61</f>
        <v/>
      </c>
    </row>
    <row r="13" ht="15.75" customHeight="1">
      <c r="A13" s="81" t="n">
        <v>7</v>
      </c>
      <c r="B13" s="143" t="inlineStr">
        <is>
          <t>December</t>
        </is>
      </c>
      <c r="C13" s="85" t="inlineStr">
        <is>
          <t>DD/DX</t>
        </is>
      </c>
      <c r="D13" s="82">
        <f>'December 24'!D58</f>
        <v/>
      </c>
      <c r="E13" s="91">
        <f>'December 24'!N59</f>
        <v/>
      </c>
    </row>
    <row r="14" ht="16" customHeight="1">
      <c r="A14" s="81" t="n">
        <v>8</v>
      </c>
      <c r="B14" s="84" t="inlineStr">
        <is>
          <t>Jabuary</t>
        </is>
      </c>
      <c r="C14" s="85" t="inlineStr">
        <is>
          <t>DD/DX</t>
        </is>
      </c>
      <c r="D14" s="82">
        <f>'January 25'!D76</f>
        <v/>
      </c>
      <c r="E14" s="91">
        <f>'January 25'!M77</f>
        <v/>
      </c>
    </row>
    <row r="15" ht="15.75" customHeight="1">
      <c r="A15" s="81" t="n">
        <v>9</v>
      </c>
      <c r="B15" s="84" t="inlineStr">
        <is>
          <t>Febraury</t>
        </is>
      </c>
      <c r="C15" s="85" t="inlineStr">
        <is>
          <t>DD/DX</t>
        </is>
      </c>
      <c r="D15" s="82">
        <f>'February 25'!D123</f>
        <v/>
      </c>
      <c r="E15" s="91">
        <f>'February 25'!M124</f>
        <v/>
      </c>
    </row>
    <row r="16" ht="15.75" customHeight="1">
      <c r="B16" s="84" t="n"/>
      <c r="D16" s="82" t="n"/>
      <c r="E16" s="91" t="n"/>
    </row>
    <row r="17" ht="15.75" customHeight="1">
      <c r="B17" s="84" t="n"/>
      <c r="D17" s="82" t="n"/>
      <c r="E17" s="91" t="n"/>
    </row>
    <row r="18" ht="16" customHeight="1">
      <c r="B18" s="84" t="n"/>
      <c r="D18" s="82" t="n"/>
      <c r="E18" s="91" t="n"/>
      <c r="F18" s="137" t="n"/>
    </row>
    <row r="19" ht="15.75" customHeight="1">
      <c r="B19" s="84" t="n"/>
      <c r="D19" s="82" t="n"/>
      <c r="E19" s="91" t="n"/>
    </row>
    <row r="20" ht="15.75" customHeight="1">
      <c r="B20" s="84" t="n"/>
      <c r="D20" s="82" t="n"/>
      <c r="E20" s="91" t="n"/>
    </row>
    <row r="21" ht="15.75" customHeight="1">
      <c r="B21" s="84" t="n"/>
      <c r="D21" s="82" t="n"/>
      <c r="E21" s="91" t="n"/>
    </row>
    <row r="22" ht="15.75" customHeight="1">
      <c r="B22" s="84" t="n"/>
      <c r="D22" s="82" t="n"/>
      <c r="E22" s="91" t="n"/>
    </row>
    <row r="23" ht="15.75" customHeight="1">
      <c r="B23" s="84" t="n"/>
      <c r="D23" s="82" t="n"/>
      <c r="E23" s="91" t="n"/>
    </row>
    <row r="24" ht="15.75" customHeight="1">
      <c r="B24" s="84" t="n"/>
      <c r="D24" s="82" t="n"/>
      <c r="E24" s="91" t="n"/>
    </row>
    <row r="25" ht="15.75" customHeight="1">
      <c r="B25" s="84" t="n"/>
      <c r="D25" s="82" t="n"/>
      <c r="E25" s="91" t="n"/>
    </row>
    <row r="26" ht="15.75" customHeight="1">
      <c r="B26" s="84" t="n"/>
      <c r="D26" s="82" t="n"/>
      <c r="E26" s="91" t="n"/>
    </row>
    <row r="27" ht="15.75" customHeight="1">
      <c r="B27" s="84" t="n"/>
      <c r="D27" s="82" t="n"/>
      <c r="E27" s="91" t="n"/>
    </row>
    <row r="28" ht="15.75" customHeight="1">
      <c r="B28" s="84" t="n"/>
      <c r="D28" s="82" t="n"/>
      <c r="E28" s="91" t="n"/>
    </row>
    <row r="29" ht="15.75" customHeight="1">
      <c r="B29" s="84" t="n"/>
      <c r="D29" s="82" t="n"/>
      <c r="E29" s="91" t="n"/>
    </row>
    <row r="30" ht="15.75" customHeight="1">
      <c r="B30" s="84" t="n"/>
      <c r="D30" s="82" t="n"/>
      <c r="E30" s="91" t="n"/>
    </row>
    <row r="31" ht="15.75" customHeight="1">
      <c r="B31" s="84" t="n"/>
      <c r="D31" s="82" t="n"/>
      <c r="E31" s="91" t="n"/>
    </row>
    <row r="32" ht="15.75" customHeight="1">
      <c r="B32" s="84" t="n"/>
      <c r="D32" s="82" t="n"/>
      <c r="E32" s="91" t="n"/>
    </row>
    <row r="33" ht="15.75" customHeight="1">
      <c r="B33" s="84" t="n"/>
      <c r="D33" s="82" t="n"/>
      <c r="E33" s="91" t="n"/>
    </row>
    <row r="34" ht="15.75" customHeight="1">
      <c r="B34" s="84" t="n"/>
      <c r="D34" s="82" t="n"/>
      <c r="E34" s="91" t="n"/>
    </row>
    <row r="35" ht="15.75" customHeight="1">
      <c r="B35" s="84" t="n"/>
      <c r="D35" s="82" t="n"/>
      <c r="E35" s="91" t="n"/>
    </row>
    <row r="36" ht="15.75" customHeight="1">
      <c r="B36" s="84" t="n"/>
      <c r="D36" s="82" t="n"/>
      <c r="E36" s="91" t="n"/>
    </row>
    <row r="37" ht="15.75" customHeight="1">
      <c r="B37" s="84" t="n"/>
      <c r="D37" s="82" t="n"/>
      <c r="E37" s="91" t="n"/>
    </row>
    <row r="38" ht="15.75" customHeight="1">
      <c r="D38" s="82" t="n"/>
      <c r="E38" s="91" t="n"/>
    </row>
    <row r="39" ht="15.75" customHeight="1">
      <c r="D39" s="82" t="n"/>
      <c r="E39" s="91" t="n"/>
    </row>
    <row r="40" ht="15.75" customHeight="1">
      <c r="D40" s="82" t="n"/>
      <c r="E40" s="91" t="n"/>
    </row>
    <row r="41" ht="15.75" customHeight="1">
      <c r="D41" s="82" t="n"/>
      <c r="E41" s="91" t="n"/>
    </row>
    <row r="42" ht="15.75" customHeight="1">
      <c r="D42" s="82" t="n"/>
      <c r="E42" s="91" t="n"/>
    </row>
    <row r="43" ht="15.75" customHeight="1">
      <c r="D43" s="82" t="n"/>
      <c r="E43" s="91" t="n"/>
    </row>
    <row r="44" ht="15.75" customHeight="1">
      <c r="D44" s="82" t="n"/>
    </row>
    <row r="45" ht="15.75" customHeight="1">
      <c r="D45" s="82" t="n"/>
    </row>
    <row r="46" ht="15.75" customHeight="1">
      <c r="D46" s="82" t="n"/>
    </row>
    <row r="47" ht="15.75" customHeight="1">
      <c r="D47" s="82" t="n"/>
    </row>
    <row r="48" ht="15.75" customHeight="1">
      <c r="D48" s="82" t="n"/>
    </row>
    <row r="49" ht="15.75" customHeight="1">
      <c r="D49" s="82" t="n"/>
    </row>
    <row r="50" ht="15.75" customHeight="1">
      <c r="D50" s="82" t="n"/>
    </row>
    <row r="51" ht="15.75" customHeight="1">
      <c r="D51" s="82" t="n"/>
    </row>
    <row r="52" ht="15.75" customHeight="1">
      <c r="D52" s="82" t="n"/>
    </row>
    <row r="53" ht="15.75" customHeight="1">
      <c r="D53" s="82" t="n"/>
    </row>
    <row r="54" ht="15.75" customHeight="1">
      <c r="D54" s="82" t="n"/>
    </row>
    <row r="55" ht="15.75" customHeight="1">
      <c r="D55" s="82" t="n"/>
    </row>
    <row r="56" ht="15.75" customHeight="1">
      <c r="D56" s="82" t="n"/>
    </row>
    <row r="57" ht="15.75" customHeight="1">
      <c r="D57" s="82" t="n"/>
    </row>
    <row r="58" ht="15.75" customHeight="1">
      <c r="D58" s="82" t="n"/>
    </row>
    <row r="59" ht="15.75" customHeight="1">
      <c r="D59" s="82" t="n"/>
    </row>
    <row r="60" ht="15.75" customHeight="1">
      <c r="D60" s="82" t="n"/>
    </row>
    <row r="61" ht="15.75" customHeight="1">
      <c r="D61" s="82" t="n"/>
    </row>
    <row r="62" ht="15.75" customHeight="1">
      <c r="D62" s="82" t="n"/>
    </row>
    <row r="63" ht="15.75" customHeight="1">
      <c r="D63" s="82" t="n"/>
    </row>
    <row r="64" ht="15.75" customHeight="1">
      <c r="D64" s="82" t="n"/>
    </row>
    <row r="65" ht="15.75" customHeight="1">
      <c r="D65" s="82" t="n"/>
    </row>
    <row r="66" ht="15.75" customHeight="1">
      <c r="D66" s="82" t="n"/>
    </row>
    <row r="67" ht="15.75" customHeight="1">
      <c r="D67" s="82" t="n"/>
    </row>
    <row r="68" ht="15.75" customHeight="1">
      <c r="D68" s="82" t="n"/>
    </row>
    <row r="69" ht="15.75" customHeight="1">
      <c r="D69" s="82" t="n"/>
    </row>
    <row r="70" ht="15.75" customHeight="1">
      <c r="D70" s="82" t="n"/>
    </row>
    <row r="71" ht="15.75" customHeight="1">
      <c r="D71" s="82" t="n"/>
    </row>
    <row r="72" ht="15.75" customHeight="1">
      <c r="D72" s="82" t="n"/>
    </row>
    <row r="73" ht="15.75" customHeight="1">
      <c r="D73" s="82" t="n"/>
    </row>
    <row r="74" ht="15.75" customHeight="1">
      <c r="D74" s="82" t="n"/>
    </row>
    <row r="75" ht="15.75" customHeight="1">
      <c r="D75" s="82" t="n"/>
    </row>
    <row r="76" ht="15.75" customHeight="1">
      <c r="D76" s="82" t="n"/>
    </row>
    <row r="77" ht="15.75" customHeight="1">
      <c r="D77" s="82" t="n"/>
    </row>
    <row r="78" ht="15.75" customHeight="1">
      <c r="D78" s="82" t="n"/>
    </row>
    <row r="79" ht="15.75" customHeight="1">
      <c r="D79" s="82" t="n"/>
    </row>
    <row r="80" ht="15.75" customHeight="1">
      <c r="D80" s="82" t="n"/>
    </row>
    <row r="81" ht="15.75" customHeight="1">
      <c r="D81" s="82" t="n"/>
    </row>
    <row r="82" ht="15.75" customHeight="1">
      <c r="D82" s="82" t="n"/>
    </row>
    <row r="83" ht="15.75" customHeight="1">
      <c r="D83" s="82" t="n"/>
    </row>
    <row r="84" ht="15.75" customHeight="1">
      <c r="D84" s="82" t="n"/>
    </row>
    <row r="85" ht="15.75" customHeight="1">
      <c r="D85" s="82" t="n"/>
    </row>
    <row r="86" ht="15.75" customHeight="1">
      <c r="D86" s="82" t="n"/>
    </row>
    <row r="87" ht="15.75" customHeight="1">
      <c r="D87" s="82" t="n"/>
    </row>
    <row r="88" ht="15.75" customHeight="1">
      <c r="D88" s="82" t="n"/>
    </row>
    <row r="89" ht="15.75" customHeight="1">
      <c r="D89" s="82" t="n"/>
    </row>
    <row r="90" ht="15.75" customHeight="1">
      <c r="D90" s="82" t="n"/>
    </row>
    <row r="91" ht="15.75" customHeight="1">
      <c r="D91" s="82" t="n"/>
    </row>
    <row r="92" ht="15.75" customHeight="1">
      <c r="D92" s="82" t="n"/>
    </row>
    <row r="93" ht="15.75" customHeight="1">
      <c r="D93" s="82" t="n"/>
    </row>
    <row r="94" ht="15.75" customHeight="1">
      <c r="D94" s="82" t="n"/>
    </row>
    <row r="95" ht="15.75" customHeight="1">
      <c r="D95" s="82" t="n"/>
    </row>
    <row r="96" ht="15.75" customHeight="1">
      <c r="D96" s="82" t="n"/>
    </row>
    <row r="97" ht="15.75" customHeight="1">
      <c r="D97" s="82" t="n"/>
    </row>
    <row r="98" ht="15.75" customHeight="1">
      <c r="D98" s="82" t="n"/>
    </row>
    <row r="99" ht="15.75" customHeight="1">
      <c r="D99" s="82" t="n"/>
    </row>
    <row r="100" ht="15.75" customHeight="1">
      <c r="D100" s="82" t="n"/>
    </row>
    <row r="101" ht="15.75" customHeight="1">
      <c r="D101" s="82" t="n"/>
    </row>
    <row r="102" ht="15.75" customHeight="1">
      <c r="D102" s="82" t="n"/>
    </row>
    <row r="103" ht="15.75" customHeight="1">
      <c r="D103" s="82" t="n"/>
    </row>
    <row r="104" ht="15.75" customHeight="1">
      <c r="D104" s="82" t="n"/>
    </row>
    <row r="105" ht="15.75" customHeight="1">
      <c r="D105" s="82" t="n"/>
    </row>
    <row r="106" ht="15.75" customHeight="1">
      <c r="D106" s="82" t="n"/>
    </row>
    <row r="107" ht="15.75" customHeight="1">
      <c r="D107" s="82" t="n"/>
    </row>
    <row r="108" ht="15.75" customHeight="1">
      <c r="D108" s="82" t="n"/>
    </row>
    <row r="109" ht="15.75" customHeight="1">
      <c r="D109" s="82" t="n"/>
    </row>
    <row r="110" ht="15.75" customHeight="1">
      <c r="D110" s="82" t="n"/>
    </row>
    <row r="111" ht="15.75" customHeight="1">
      <c r="D111" s="82" t="n"/>
    </row>
    <row r="112" ht="15.75" customHeight="1">
      <c r="D112" s="82" t="n"/>
    </row>
    <row r="113" ht="15.75" customHeight="1">
      <c r="D113" s="82" t="n"/>
    </row>
    <row r="114" ht="15.75" customHeight="1">
      <c r="D114" s="82" t="n"/>
    </row>
    <row r="115" ht="15.75" customHeight="1">
      <c r="D115" s="82" t="n"/>
    </row>
    <row r="116" ht="15.75" customHeight="1">
      <c r="D116" s="82" t="n"/>
    </row>
    <row r="117" ht="15.75" customHeight="1">
      <c r="D117" s="82" t="n"/>
    </row>
    <row r="118" ht="15.75" customHeight="1">
      <c r="D118" s="82" t="n"/>
    </row>
    <row r="119" ht="15.75" customHeight="1">
      <c r="D119" s="82" t="n"/>
    </row>
    <row r="120" ht="15.75" customHeight="1">
      <c r="D120" s="82" t="n"/>
    </row>
    <row r="121" ht="15.75" customHeight="1">
      <c r="D121" s="82" t="n"/>
    </row>
    <row r="122" ht="15.75" customHeight="1">
      <c r="D122" s="82" t="n"/>
    </row>
    <row r="123" ht="15.75" customHeight="1">
      <c r="D123" s="82" t="n"/>
    </row>
    <row r="124" ht="15.75" customHeight="1">
      <c r="D124" s="82" t="n"/>
    </row>
    <row r="125" ht="15.75" customHeight="1">
      <c r="D125" s="82" t="n"/>
    </row>
    <row r="126" ht="15.75" customHeight="1">
      <c r="D126" s="82" t="n"/>
    </row>
    <row r="127" ht="15.75" customHeight="1">
      <c r="D127" s="82" t="n"/>
    </row>
    <row r="128" ht="15.75" customHeight="1">
      <c r="D128" s="82" t="n"/>
    </row>
    <row r="129" ht="15.75" customHeight="1">
      <c r="D129" s="82" t="n"/>
    </row>
    <row r="130" ht="15.75" customHeight="1">
      <c r="D130" s="82" t="n"/>
    </row>
    <row r="131" ht="15.75" customHeight="1">
      <c r="D131" s="82" t="n"/>
    </row>
    <row r="132" ht="15.75" customHeight="1">
      <c r="D132" s="82" t="n"/>
    </row>
    <row r="133" ht="15.75" customHeight="1">
      <c r="D133" s="82" t="n"/>
    </row>
    <row r="134" ht="15.75" customHeight="1">
      <c r="D134" s="82" t="n"/>
    </row>
    <row r="135" ht="15.75" customHeight="1">
      <c r="D135" s="82" t="n"/>
    </row>
    <row r="136" ht="15.75" customHeight="1">
      <c r="D136" s="82" t="n"/>
    </row>
    <row r="137" ht="15.75" customHeight="1">
      <c r="D137" s="82" t="n"/>
    </row>
    <row r="138" ht="15.75" customHeight="1">
      <c r="D138" s="82" t="n"/>
    </row>
    <row r="139" ht="15.75" customHeight="1">
      <c r="D139" s="82" t="n"/>
    </row>
    <row r="140" ht="15.75" customHeight="1">
      <c r="D140" s="82" t="n"/>
    </row>
    <row r="141" ht="15.75" customHeight="1">
      <c r="D141" s="82" t="n"/>
    </row>
    <row r="142" ht="15.75" customHeight="1">
      <c r="D142" s="82" t="n"/>
    </row>
    <row r="143" ht="15.75" customHeight="1">
      <c r="D143" s="82" t="n"/>
    </row>
    <row r="144" ht="15.75" customHeight="1">
      <c r="D144" s="82" t="n"/>
    </row>
    <row r="145" ht="15.75" customHeight="1">
      <c r="D145" s="82" t="n"/>
    </row>
    <row r="146" ht="15.75" customHeight="1">
      <c r="D146" s="82" t="n"/>
    </row>
    <row r="147" ht="15.75" customHeight="1">
      <c r="D147" s="82" t="n"/>
    </row>
    <row r="148" ht="15.75" customHeight="1">
      <c r="D148" s="82" t="n"/>
    </row>
    <row r="149" ht="15.75" customHeight="1">
      <c r="D149" s="82" t="n"/>
    </row>
    <row r="150" ht="15.75" customHeight="1">
      <c r="D150" s="82" t="n"/>
    </row>
    <row r="151" ht="15.75" customHeight="1">
      <c r="D151" s="82" t="n"/>
    </row>
    <row r="152" ht="15.75" customHeight="1">
      <c r="D152" s="82" t="n"/>
    </row>
    <row r="153" ht="15.75" customHeight="1">
      <c r="D153" s="82" t="n"/>
    </row>
    <row r="154" ht="15.75" customHeight="1">
      <c r="D154" s="82" t="n"/>
    </row>
    <row r="155" ht="15.75" customHeight="1">
      <c r="D155" s="82" t="n"/>
    </row>
    <row r="156" ht="15.75" customHeight="1">
      <c r="D156" s="82" t="n"/>
    </row>
    <row r="157" ht="15.75" customHeight="1">
      <c r="D157" s="82" t="n"/>
    </row>
    <row r="158" ht="15.75" customHeight="1">
      <c r="D158" s="82" t="n"/>
    </row>
    <row r="159" ht="15.75" customHeight="1">
      <c r="D159" s="82" t="n"/>
    </row>
    <row r="160" ht="15.75" customHeight="1">
      <c r="D160" s="82" t="n"/>
    </row>
    <row r="161" ht="15.75" customHeight="1">
      <c r="D161" s="82" t="n"/>
    </row>
    <row r="162" ht="15.75" customHeight="1">
      <c r="D162" s="82" t="n"/>
    </row>
    <row r="163" ht="15.75" customHeight="1">
      <c r="D163" s="82" t="n"/>
    </row>
    <row r="164" ht="15.75" customHeight="1">
      <c r="D164" s="82" t="n"/>
    </row>
    <row r="165" ht="15.75" customHeight="1">
      <c r="D165" s="82" t="n"/>
    </row>
    <row r="166" ht="15.75" customHeight="1">
      <c r="D166" s="82" t="n"/>
    </row>
    <row r="167" ht="15.75" customHeight="1">
      <c r="D167" s="82" t="n"/>
    </row>
    <row r="168" ht="15.75" customHeight="1">
      <c r="D168" s="82" t="n"/>
    </row>
    <row r="169" ht="15.75" customHeight="1">
      <c r="D169" s="82" t="n"/>
    </row>
    <row r="170" ht="15.75" customHeight="1">
      <c r="D170" s="82" t="n"/>
    </row>
    <row r="171" ht="15.75" customHeight="1">
      <c r="D171" s="82" t="n"/>
    </row>
    <row r="172" ht="15.75" customHeight="1">
      <c r="D172" s="82" t="n"/>
    </row>
    <row r="173" ht="15.75" customHeight="1">
      <c r="D173" s="82" t="n"/>
    </row>
    <row r="174" ht="15.75" customHeight="1">
      <c r="D174" s="82" t="n"/>
    </row>
    <row r="175" ht="15.75" customHeight="1">
      <c r="D175" s="82" t="n"/>
    </row>
    <row r="176" ht="15.75" customHeight="1">
      <c r="D176" s="82" t="n"/>
    </row>
    <row r="177" ht="15.75" customHeight="1">
      <c r="D177" s="82" t="n"/>
    </row>
    <row r="178" ht="15.75" customHeight="1">
      <c r="D178" s="82" t="n"/>
    </row>
    <row r="179" ht="15.75" customHeight="1">
      <c r="D179" s="82" t="n"/>
    </row>
    <row r="180" ht="15.75" customHeight="1">
      <c r="D180" s="82" t="n"/>
    </row>
    <row r="181" ht="15.75" customHeight="1">
      <c r="D181" s="82" t="n"/>
    </row>
    <row r="182" ht="15.75" customHeight="1">
      <c r="D182" s="82" t="n"/>
    </row>
    <row r="183" ht="15.75" customHeight="1">
      <c r="D183" s="82" t="n"/>
    </row>
    <row r="184" ht="15.75" customHeight="1">
      <c r="D184" s="82" t="n"/>
    </row>
    <row r="185" ht="15.75" customHeight="1">
      <c r="D185" s="82" t="n"/>
    </row>
    <row r="186" ht="15.75" customHeight="1">
      <c r="D186" s="82" t="n"/>
    </row>
    <row r="187" ht="15.75" customHeight="1">
      <c r="D187" s="82" t="n"/>
    </row>
    <row r="188" ht="15.75" customHeight="1">
      <c r="D188" s="82" t="n"/>
    </row>
    <row r="189" ht="15.75" customHeight="1">
      <c r="D189" s="82" t="n"/>
    </row>
    <row r="190" ht="15.75" customHeight="1">
      <c r="D190" s="82" t="n"/>
    </row>
    <row r="191" ht="15.75" customHeight="1">
      <c r="D191" s="82" t="n"/>
    </row>
    <row r="192" ht="15.75" customHeight="1">
      <c r="D192" s="82" t="n"/>
    </row>
    <row r="193" ht="15.75" customHeight="1">
      <c r="D193" s="82" t="n"/>
    </row>
    <row r="194" ht="15.75" customHeight="1">
      <c r="D194" s="82" t="n"/>
    </row>
    <row r="195" ht="15.75" customHeight="1">
      <c r="D195" s="82" t="n"/>
    </row>
    <row r="196" ht="15.75" customHeight="1">
      <c r="D196" s="82" t="n"/>
    </row>
    <row r="197" ht="15.75" customHeight="1">
      <c r="D197" s="82" t="n"/>
    </row>
    <row r="198" ht="15.75" customHeight="1">
      <c r="D198" s="82" t="n"/>
    </row>
    <row r="199" ht="15.75" customHeight="1">
      <c r="D199" s="82" t="n"/>
    </row>
    <row r="200" ht="15.75" customHeight="1">
      <c r="D200" s="82" t="n"/>
    </row>
    <row r="201" ht="15.75" customHeight="1">
      <c r="D201" s="82" t="n"/>
    </row>
    <row r="202" ht="15.75" customHeight="1">
      <c r="D202" s="82" t="n"/>
    </row>
    <row r="203" ht="15.75" customHeight="1">
      <c r="D203" s="82" t="n"/>
    </row>
    <row r="204" ht="15.75" customHeight="1">
      <c r="D204" s="82" t="n"/>
    </row>
    <row r="205" ht="15.75" customHeight="1">
      <c r="D205" s="82" t="n"/>
    </row>
    <row r="206" ht="15.75" customHeight="1">
      <c r="D206" s="82" t="n"/>
    </row>
    <row r="207" ht="15.75" customHeight="1">
      <c r="D207" s="82" t="n"/>
    </row>
    <row r="208" ht="15.75" customHeight="1">
      <c r="D208" s="82" t="n"/>
    </row>
    <row r="209" ht="15.75" customHeight="1">
      <c r="D209" s="82" t="n"/>
    </row>
    <row r="210" ht="15.75" customHeight="1">
      <c r="D210" s="82" t="n"/>
    </row>
    <row r="211" ht="15.75" customHeight="1">
      <c r="D211" s="82" t="n"/>
    </row>
    <row r="212" ht="15.75" customHeight="1">
      <c r="D212" s="82" t="n"/>
    </row>
    <row r="213" ht="15.75" customHeight="1">
      <c r="D213" s="82" t="n"/>
    </row>
    <row r="214" ht="15.75" customHeight="1">
      <c r="D214" s="82" t="n"/>
    </row>
    <row r="215" ht="15.75" customHeight="1">
      <c r="D215" s="82" t="n"/>
    </row>
    <row r="216" ht="15.75" customHeight="1">
      <c r="D216" s="82" t="n"/>
    </row>
    <row r="217" ht="15.75" customHeight="1">
      <c r="D217" s="82" t="n"/>
    </row>
    <row r="218" ht="15.75" customHeight="1">
      <c r="D218" s="82" t="n"/>
    </row>
    <row r="219" ht="15.75" customHeight="1">
      <c r="D219" s="82" t="n"/>
    </row>
    <row r="220" ht="15.75" customHeight="1">
      <c r="D220" s="82" t="n"/>
    </row>
    <row r="221" ht="15.75" customHeight="1">
      <c r="D221" s="82" t="n"/>
    </row>
    <row r="222" ht="15.75" customHeight="1">
      <c r="D222" s="82" t="n"/>
    </row>
    <row r="223" ht="15.75" customHeight="1">
      <c r="D223" s="82" t="n"/>
    </row>
    <row r="224" ht="15.75" customHeight="1">
      <c r="D224" s="82" t="n"/>
    </row>
    <row r="225" ht="15.75" customHeight="1">
      <c r="D225" s="82" t="n"/>
    </row>
    <row r="226" ht="15.75" customHeight="1">
      <c r="D226" s="82" t="n"/>
    </row>
    <row r="227" ht="15.75" customHeight="1">
      <c r="D227" s="82" t="n"/>
    </row>
    <row r="228" ht="15.75" customHeight="1">
      <c r="D228" s="82" t="n"/>
    </row>
    <row r="229" ht="15.75" customHeight="1">
      <c r="D229" s="82" t="n"/>
    </row>
    <row r="230" ht="15.75" customHeight="1">
      <c r="D230" s="82" t="n"/>
    </row>
    <row r="231" ht="15.75" customHeight="1">
      <c r="D231" s="82" t="n"/>
    </row>
    <row r="232" ht="15.75" customHeight="1">
      <c r="D232" s="82" t="n"/>
    </row>
    <row r="233" ht="15.75" customHeight="1">
      <c r="D233" s="82" t="n"/>
    </row>
    <row r="234" ht="15.75" customHeight="1">
      <c r="D234" s="82" t="n"/>
    </row>
    <row r="235" ht="15.75" customHeight="1">
      <c r="D235" s="82" t="n"/>
    </row>
    <row r="236" ht="15.75" customHeight="1">
      <c r="D236" s="82" t="n"/>
    </row>
    <row r="237" ht="15.75" customHeight="1">
      <c r="D237" s="82" t="n"/>
    </row>
    <row r="238" ht="15.75" customHeight="1">
      <c r="D238" s="82" t="n"/>
    </row>
    <row r="239" ht="15.75" customHeight="1">
      <c r="D239" s="82" t="n"/>
    </row>
    <row r="240" ht="15.75" customHeight="1">
      <c r="D240" s="82" t="n"/>
    </row>
    <row r="241" ht="15.75" customHeight="1">
      <c r="D241" s="82" t="n"/>
    </row>
    <row r="242" ht="15.75" customHeight="1">
      <c r="D242" s="82" t="n"/>
    </row>
    <row r="243" ht="15.75" customHeight="1">
      <c r="D243" s="82" t="n"/>
    </row>
    <row r="244" ht="15.75" customHeight="1">
      <c r="D244" s="82" t="n"/>
    </row>
    <row r="245" ht="15.75" customHeight="1">
      <c r="D245" s="82" t="n"/>
    </row>
    <row r="246" ht="15.75" customHeight="1">
      <c r="D246" s="82" t="n"/>
    </row>
    <row r="247" ht="15.75" customHeight="1">
      <c r="D247" s="82" t="n"/>
    </row>
    <row r="248" ht="15.75" customHeight="1">
      <c r="D248" s="82" t="n"/>
    </row>
    <row r="249" ht="15.75" customHeight="1">
      <c r="D249" s="82" t="n"/>
    </row>
    <row r="250" ht="15.75" customHeight="1">
      <c r="D250" s="82" t="n"/>
    </row>
    <row r="251" ht="15.75" customHeight="1">
      <c r="D251" s="82" t="n"/>
    </row>
    <row r="252" ht="15.75" customHeight="1">
      <c r="D252" s="82" t="n"/>
    </row>
    <row r="253" ht="15.75" customHeight="1">
      <c r="D253" s="82" t="n"/>
    </row>
    <row r="254" ht="15.75" customHeight="1">
      <c r="D254" s="82" t="n"/>
    </row>
    <row r="255" ht="15.75" customHeight="1">
      <c r="D255" s="82" t="n"/>
    </row>
    <row r="256" ht="15.75" customHeight="1">
      <c r="D256" s="82" t="n"/>
    </row>
    <row r="257" ht="15.75" customHeight="1">
      <c r="D257" s="82" t="n"/>
    </row>
    <row r="258" ht="15.75" customHeight="1">
      <c r="D258" s="82" t="n"/>
    </row>
    <row r="259" ht="15.75" customHeight="1">
      <c r="D259" s="82" t="n"/>
    </row>
    <row r="260" ht="15.75" customHeight="1">
      <c r="D260" s="82" t="n"/>
    </row>
    <row r="261" ht="15.75" customHeight="1">
      <c r="D261" s="82" t="n"/>
    </row>
    <row r="262" ht="15.75" customHeight="1">
      <c r="D262" s="82" t="n"/>
    </row>
    <row r="263" ht="15.75" customHeight="1">
      <c r="D263" s="82" t="n"/>
    </row>
    <row r="264" ht="15.75" customHeight="1">
      <c r="D264" s="82" t="n"/>
    </row>
    <row r="265" ht="15.75" customHeight="1">
      <c r="D265" s="82" t="n"/>
    </row>
    <row r="266" ht="15.75" customHeight="1">
      <c r="D266" s="82" t="n"/>
    </row>
    <row r="267" ht="15.75" customHeight="1">
      <c r="D267" s="82" t="n"/>
    </row>
    <row r="268" ht="15.75" customHeight="1">
      <c r="D268" s="82" t="n"/>
    </row>
    <row r="269" ht="15.75" customHeight="1">
      <c r="D269" s="82" t="n"/>
    </row>
    <row r="270" ht="15.75" customHeight="1">
      <c r="D270" s="82" t="n"/>
    </row>
    <row r="271" ht="15.75" customHeight="1">
      <c r="D271" s="82" t="n"/>
    </row>
    <row r="272" ht="15.75" customHeight="1">
      <c r="D272" s="82" t="n"/>
    </row>
    <row r="273" ht="15.75" customHeight="1">
      <c r="D273" s="82" t="n"/>
    </row>
    <row r="274" ht="15.75" customHeight="1">
      <c r="D274" s="82" t="n"/>
    </row>
    <row r="275" ht="15.75" customHeight="1">
      <c r="D275" s="82" t="n"/>
    </row>
    <row r="276" ht="15.75" customHeight="1">
      <c r="D276" s="82" t="n"/>
    </row>
    <row r="277" ht="15.75" customHeight="1">
      <c r="D277" s="82" t="n"/>
    </row>
    <row r="278" ht="15.75" customHeight="1">
      <c r="D278" s="82" t="n"/>
    </row>
    <row r="279" ht="15.75" customHeight="1">
      <c r="D279" s="82" t="n"/>
    </row>
    <row r="280" ht="15.75" customHeight="1">
      <c r="D280" s="82" t="n"/>
    </row>
    <row r="281" ht="15.75" customHeight="1">
      <c r="D281" s="82" t="n"/>
    </row>
    <row r="282" ht="15.75" customHeight="1">
      <c r="D282" s="82" t="n"/>
    </row>
    <row r="283" ht="15.75" customHeight="1">
      <c r="D283" s="82" t="n"/>
    </row>
    <row r="284" ht="15.75" customHeight="1">
      <c r="D284" s="82" t="n"/>
    </row>
    <row r="285" ht="15.75" customHeight="1">
      <c r="D285" s="82" t="n"/>
    </row>
    <row r="286" ht="15.75" customHeight="1">
      <c r="D286" s="82" t="n"/>
    </row>
    <row r="287" ht="15.75" customHeight="1">
      <c r="D287" s="82" t="n"/>
    </row>
    <row r="288" ht="15.75" customHeight="1">
      <c r="D288" s="82" t="n"/>
    </row>
    <row r="289" ht="15.75" customHeight="1">
      <c r="D289" s="82" t="n"/>
    </row>
    <row r="290" ht="15.75" customHeight="1">
      <c r="D290" s="82" t="n"/>
    </row>
    <row r="291" ht="15.75" customHeight="1">
      <c r="D291" s="82" t="n"/>
    </row>
    <row r="292" ht="15.75" customHeight="1">
      <c r="D292" s="82" t="n"/>
    </row>
    <row r="293" ht="15.75" customHeight="1">
      <c r="D293" s="82" t="n"/>
    </row>
    <row r="294" ht="15.75" customHeight="1">
      <c r="D294" s="82" t="n"/>
    </row>
    <row r="295" ht="15.75" customHeight="1">
      <c r="D295" s="82" t="n"/>
    </row>
    <row r="296" ht="15.75" customHeight="1">
      <c r="D296" s="82" t="n"/>
    </row>
    <row r="297" ht="15.75" customHeight="1">
      <c r="D297" s="82" t="n"/>
    </row>
    <row r="298" ht="15.75" customHeight="1">
      <c r="D298" s="82" t="n"/>
    </row>
    <row r="299" ht="15.75" customHeight="1">
      <c r="D299" s="82" t="n"/>
    </row>
    <row r="300" ht="15.75" customHeight="1">
      <c r="D300" s="82" t="n"/>
    </row>
    <row r="301" ht="15.75" customHeight="1">
      <c r="D301" s="82" t="n"/>
    </row>
    <row r="302" ht="15.75" customHeight="1">
      <c r="D302" s="82" t="n"/>
    </row>
    <row r="303" ht="15.75" customHeight="1">
      <c r="D303" s="82" t="n"/>
    </row>
    <row r="304" ht="15.75" customHeight="1">
      <c r="D304" s="82" t="n"/>
    </row>
    <row r="305" ht="15.75" customHeight="1">
      <c r="D305" s="82" t="n"/>
    </row>
    <row r="306" ht="15.75" customHeight="1">
      <c r="D306" s="82" t="n"/>
    </row>
    <row r="307" ht="15.75" customHeight="1">
      <c r="D307" s="82" t="n"/>
    </row>
    <row r="308" ht="15.75" customHeight="1">
      <c r="D308" s="82" t="n"/>
    </row>
    <row r="309" ht="15.75" customHeight="1">
      <c r="D309" s="82" t="n"/>
    </row>
    <row r="310" ht="15.75" customHeight="1">
      <c r="D310" s="82" t="n"/>
    </row>
    <row r="311" ht="15.75" customHeight="1">
      <c r="D311" s="82" t="n"/>
    </row>
    <row r="312" ht="15.75" customHeight="1">
      <c r="D312" s="82" t="n"/>
    </row>
    <row r="313" ht="15.75" customHeight="1">
      <c r="D313" s="82" t="n"/>
    </row>
    <row r="314" ht="15.75" customHeight="1">
      <c r="D314" s="82" t="n"/>
    </row>
    <row r="315" ht="15.75" customHeight="1">
      <c r="D315" s="82" t="n"/>
    </row>
    <row r="316" ht="15.75" customHeight="1">
      <c r="D316" s="82" t="n"/>
    </row>
    <row r="317" ht="15.75" customHeight="1">
      <c r="D317" s="82" t="n"/>
    </row>
    <row r="318" ht="15.75" customHeight="1">
      <c r="D318" s="82" t="n"/>
    </row>
    <row r="319" ht="15.75" customHeight="1">
      <c r="D319" s="82" t="n"/>
    </row>
    <row r="320" ht="15.75" customHeight="1">
      <c r="D320" s="82" t="n"/>
    </row>
    <row r="321" ht="15.75" customHeight="1">
      <c r="D321" s="82" t="n"/>
    </row>
    <row r="322" ht="15.75" customHeight="1">
      <c r="D322" s="82" t="n"/>
    </row>
    <row r="323" ht="15.75" customHeight="1">
      <c r="D323" s="82" t="n"/>
    </row>
    <row r="324" ht="15.75" customHeight="1">
      <c r="D324" s="82" t="n"/>
    </row>
    <row r="325" ht="15.75" customHeight="1">
      <c r="D325" s="82" t="n"/>
    </row>
    <row r="326" ht="15.75" customHeight="1">
      <c r="D326" s="82" t="n"/>
    </row>
    <row r="327" ht="15.75" customHeight="1">
      <c r="D327" s="82" t="n"/>
    </row>
    <row r="328" ht="15.75" customHeight="1">
      <c r="D328" s="82" t="n"/>
    </row>
    <row r="329" ht="15.75" customHeight="1">
      <c r="D329" s="82" t="n"/>
    </row>
    <row r="330" ht="15.75" customHeight="1">
      <c r="D330" s="82" t="n"/>
    </row>
    <row r="331" ht="15.75" customHeight="1">
      <c r="D331" s="82" t="n"/>
    </row>
    <row r="332" ht="15.75" customHeight="1">
      <c r="D332" s="82" t="n"/>
    </row>
    <row r="333" ht="15.75" customHeight="1">
      <c r="D333" s="82" t="n"/>
    </row>
    <row r="334" ht="15.75" customHeight="1">
      <c r="D334" s="82" t="n"/>
    </row>
    <row r="335" ht="15.75" customHeight="1">
      <c r="D335" s="82" t="n"/>
    </row>
    <row r="336" ht="15.75" customHeight="1">
      <c r="D336" s="82" t="n"/>
    </row>
    <row r="337" ht="15.75" customHeight="1">
      <c r="D337" s="82" t="n"/>
    </row>
    <row r="338" ht="15.75" customHeight="1">
      <c r="D338" s="82" t="n"/>
    </row>
    <row r="339" ht="15.75" customHeight="1">
      <c r="D339" s="82" t="n"/>
    </row>
    <row r="340" ht="15.75" customHeight="1">
      <c r="D340" s="82" t="n"/>
    </row>
    <row r="341" ht="15.75" customHeight="1">
      <c r="D341" s="82" t="n"/>
    </row>
    <row r="342" ht="15.75" customHeight="1">
      <c r="D342" s="82" t="n"/>
    </row>
    <row r="343" ht="15.75" customHeight="1">
      <c r="D343" s="82" t="n"/>
    </row>
    <row r="344" ht="15.75" customHeight="1">
      <c r="D344" s="82" t="n"/>
    </row>
    <row r="345" ht="15.75" customHeight="1">
      <c r="D345" s="82" t="n"/>
    </row>
    <row r="346" ht="15.75" customHeight="1">
      <c r="D346" s="82" t="n"/>
    </row>
    <row r="347" ht="15.75" customHeight="1">
      <c r="D347" s="82" t="n"/>
    </row>
    <row r="348" ht="15.75" customHeight="1">
      <c r="D348" s="82" t="n"/>
    </row>
    <row r="349" ht="15.75" customHeight="1">
      <c r="D349" s="82" t="n"/>
    </row>
    <row r="350" ht="15.75" customHeight="1">
      <c r="D350" s="82" t="n"/>
    </row>
    <row r="351" ht="15.75" customHeight="1">
      <c r="D351" s="82" t="n"/>
    </row>
    <row r="352" ht="15.75" customHeight="1">
      <c r="D352" s="82" t="n"/>
    </row>
    <row r="353" ht="15.75" customHeight="1">
      <c r="D353" s="82" t="n"/>
    </row>
    <row r="354" ht="15.75" customHeight="1">
      <c r="D354" s="82" t="n"/>
    </row>
    <row r="355" ht="15.75" customHeight="1">
      <c r="D355" s="82" t="n"/>
    </row>
    <row r="356" ht="15.75" customHeight="1">
      <c r="D356" s="82" t="n"/>
    </row>
    <row r="357" ht="15.75" customHeight="1">
      <c r="D357" s="82" t="n"/>
    </row>
    <row r="358" ht="15.75" customHeight="1">
      <c r="D358" s="82" t="n"/>
    </row>
    <row r="359" ht="15.75" customHeight="1">
      <c r="D359" s="82" t="n"/>
    </row>
    <row r="360" ht="15.75" customHeight="1">
      <c r="D360" s="82" t="n"/>
    </row>
    <row r="361" ht="15.75" customHeight="1">
      <c r="D361" s="82" t="n"/>
    </row>
    <row r="362" ht="15.75" customHeight="1">
      <c r="D362" s="82" t="n"/>
    </row>
    <row r="363" ht="15.75" customHeight="1">
      <c r="D363" s="82" t="n"/>
    </row>
    <row r="364" ht="15.75" customHeight="1">
      <c r="D364" s="82" t="n"/>
    </row>
    <row r="365" ht="15.75" customHeight="1">
      <c r="D365" s="82" t="n"/>
    </row>
    <row r="366" ht="15.75" customHeight="1">
      <c r="D366" s="82" t="n"/>
    </row>
    <row r="367" ht="15.75" customHeight="1">
      <c r="D367" s="82" t="n"/>
    </row>
    <row r="368" ht="15.75" customHeight="1">
      <c r="D368" s="82" t="n"/>
    </row>
    <row r="369" ht="15.75" customHeight="1">
      <c r="D369" s="82" t="n"/>
    </row>
    <row r="370" ht="15.75" customHeight="1">
      <c r="D370" s="82" t="n"/>
    </row>
    <row r="371" ht="15.75" customHeight="1">
      <c r="D371" s="82" t="n"/>
    </row>
    <row r="372" ht="15.75" customHeight="1">
      <c r="D372" s="82" t="n"/>
    </row>
    <row r="373" ht="15.75" customHeight="1">
      <c r="D373" s="82" t="n"/>
    </row>
    <row r="374" ht="15.75" customHeight="1">
      <c r="D374" s="82" t="n"/>
    </row>
    <row r="375" ht="15.75" customHeight="1">
      <c r="D375" s="82" t="n"/>
    </row>
    <row r="376" ht="15.75" customHeight="1">
      <c r="D376" s="82" t="n"/>
    </row>
    <row r="377" ht="15.75" customHeight="1">
      <c r="D377" s="82" t="n"/>
    </row>
    <row r="378" ht="15.75" customHeight="1">
      <c r="D378" s="82" t="n"/>
    </row>
    <row r="379" ht="15.75" customHeight="1">
      <c r="D379" s="82" t="n"/>
    </row>
    <row r="380" ht="15.75" customHeight="1">
      <c r="D380" s="82" t="n"/>
    </row>
    <row r="381" ht="15.75" customHeight="1">
      <c r="D381" s="82" t="n"/>
    </row>
    <row r="382" ht="15.75" customHeight="1">
      <c r="D382" s="82" t="n"/>
    </row>
    <row r="383" ht="15.75" customHeight="1">
      <c r="D383" s="82" t="n"/>
    </row>
    <row r="384" ht="15.75" customHeight="1">
      <c r="D384" s="82" t="n"/>
    </row>
    <row r="385" ht="15.75" customHeight="1">
      <c r="D385" s="82" t="n"/>
    </row>
    <row r="386" ht="15.75" customHeight="1">
      <c r="D386" s="82" t="n"/>
    </row>
    <row r="387" ht="15.75" customHeight="1">
      <c r="D387" s="82" t="n"/>
    </row>
    <row r="388" ht="15.75" customHeight="1">
      <c r="D388" s="82" t="n"/>
    </row>
    <row r="389" ht="15.75" customHeight="1">
      <c r="D389" s="82" t="n"/>
    </row>
    <row r="390" ht="15.75" customHeight="1">
      <c r="D390" s="82" t="n"/>
    </row>
    <row r="391" ht="15.75" customHeight="1">
      <c r="D391" s="82" t="n"/>
    </row>
    <row r="392" ht="15.75" customHeight="1">
      <c r="D392" s="82" t="n"/>
    </row>
    <row r="393" ht="15.75" customHeight="1">
      <c r="D393" s="82" t="n"/>
    </row>
    <row r="394" ht="15.75" customHeight="1">
      <c r="D394" s="82" t="n"/>
    </row>
    <row r="395" ht="15.75" customHeight="1">
      <c r="D395" s="82" t="n"/>
    </row>
    <row r="396" ht="15.75" customHeight="1">
      <c r="D396" s="82" t="n"/>
    </row>
    <row r="397" ht="15.75" customHeight="1">
      <c r="D397" s="82" t="n"/>
    </row>
    <row r="398" ht="15.75" customHeight="1">
      <c r="D398" s="82" t="n"/>
    </row>
    <row r="399" ht="15.75" customHeight="1">
      <c r="D399" s="82" t="n"/>
    </row>
    <row r="400" ht="15.75" customHeight="1">
      <c r="D400" s="82" t="n"/>
    </row>
    <row r="401" ht="15.75" customHeight="1">
      <c r="D401" s="82" t="n"/>
    </row>
    <row r="402" ht="15.75" customHeight="1">
      <c r="D402" s="82" t="n"/>
    </row>
    <row r="403" ht="15.75" customHeight="1">
      <c r="D403" s="82" t="n"/>
    </row>
    <row r="404" ht="15.75" customHeight="1">
      <c r="D404" s="82" t="n"/>
    </row>
    <row r="405" ht="15.75" customHeight="1">
      <c r="D405" s="82" t="n"/>
    </row>
    <row r="406" ht="15.75" customHeight="1">
      <c r="D406" s="82" t="n"/>
    </row>
    <row r="407" ht="15.75" customHeight="1">
      <c r="D407" s="82" t="n"/>
    </row>
    <row r="408" ht="15.75" customHeight="1">
      <c r="D408" s="82" t="n"/>
    </row>
    <row r="409" ht="15.75" customHeight="1">
      <c r="D409" s="82" t="n"/>
    </row>
    <row r="410" ht="15.75" customHeight="1">
      <c r="D410" s="82" t="n"/>
    </row>
    <row r="411" ht="15.75" customHeight="1">
      <c r="D411" s="82" t="n"/>
    </row>
    <row r="412" ht="15.75" customHeight="1">
      <c r="D412" s="82" t="n"/>
    </row>
    <row r="413" ht="15.75" customHeight="1">
      <c r="D413" s="82" t="n"/>
    </row>
    <row r="414" ht="15.75" customHeight="1">
      <c r="D414" s="82" t="n"/>
    </row>
    <row r="415" ht="15.75" customHeight="1">
      <c r="D415" s="82" t="n"/>
    </row>
    <row r="416" ht="15.75" customHeight="1">
      <c r="D416" s="82" t="n"/>
    </row>
    <row r="417" ht="15.75" customHeight="1">
      <c r="D417" s="82" t="n"/>
    </row>
    <row r="418" ht="15.75" customHeight="1">
      <c r="D418" s="82" t="n"/>
    </row>
    <row r="419" ht="15.75" customHeight="1">
      <c r="D419" s="82" t="n"/>
    </row>
    <row r="420" ht="15.75" customHeight="1">
      <c r="D420" s="82" t="n"/>
    </row>
    <row r="421" ht="15.75" customHeight="1">
      <c r="D421" s="82" t="n"/>
    </row>
    <row r="422" ht="15.75" customHeight="1">
      <c r="D422" s="82" t="n"/>
    </row>
    <row r="423" ht="15.75" customHeight="1">
      <c r="D423" s="82" t="n"/>
    </row>
    <row r="424" ht="15.75" customHeight="1">
      <c r="D424" s="82" t="n"/>
    </row>
    <row r="425" ht="15.75" customHeight="1">
      <c r="D425" s="82" t="n"/>
    </row>
    <row r="426" ht="15.75" customHeight="1">
      <c r="D426" s="82" t="n"/>
    </row>
    <row r="427" ht="15.75" customHeight="1">
      <c r="D427" s="82" t="n"/>
    </row>
    <row r="428" ht="15.75" customHeight="1">
      <c r="D428" s="82" t="n"/>
    </row>
    <row r="429" ht="15.75" customHeight="1">
      <c r="D429" s="82" t="n"/>
    </row>
    <row r="430" ht="15.75" customHeight="1">
      <c r="D430" s="82" t="n"/>
    </row>
    <row r="431" ht="15.75" customHeight="1">
      <c r="D431" s="82" t="n"/>
    </row>
    <row r="432" ht="15.75" customHeight="1">
      <c r="D432" s="82" t="n"/>
    </row>
    <row r="433" ht="15.75" customHeight="1">
      <c r="D433" s="82" t="n"/>
    </row>
    <row r="434" ht="15.75" customHeight="1">
      <c r="D434" s="82" t="n"/>
    </row>
    <row r="435" ht="15.75" customHeight="1">
      <c r="D435" s="82" t="n"/>
    </row>
    <row r="436" ht="15.75" customHeight="1">
      <c r="D436" s="82" t="n"/>
    </row>
    <row r="437" ht="15.75" customHeight="1">
      <c r="D437" s="82" t="n"/>
    </row>
    <row r="438" ht="15.75" customHeight="1">
      <c r="D438" s="82" t="n"/>
    </row>
    <row r="439" ht="15.75" customHeight="1">
      <c r="D439" s="82" t="n"/>
    </row>
    <row r="440" ht="15.75" customHeight="1">
      <c r="D440" s="82" t="n"/>
    </row>
    <row r="441" ht="15.75" customHeight="1">
      <c r="D441" s="82" t="n"/>
    </row>
    <row r="442" ht="15.75" customHeight="1">
      <c r="D442" s="82" t="n"/>
    </row>
    <row r="443" ht="15.75" customHeight="1">
      <c r="D443" s="82" t="n"/>
    </row>
    <row r="444" ht="15.75" customHeight="1">
      <c r="D444" s="82" t="n"/>
    </row>
    <row r="445" ht="15.75" customHeight="1">
      <c r="D445" s="82" t="n"/>
    </row>
    <row r="446" ht="15.75" customHeight="1">
      <c r="D446" s="82" t="n"/>
    </row>
    <row r="447" ht="15.75" customHeight="1">
      <c r="D447" s="82" t="n"/>
    </row>
    <row r="448" ht="15.75" customHeight="1">
      <c r="D448" s="82" t="n"/>
    </row>
    <row r="449" ht="15.75" customHeight="1">
      <c r="D449" s="82" t="n"/>
    </row>
    <row r="450" ht="15.75" customHeight="1">
      <c r="D450" s="82" t="n"/>
    </row>
    <row r="451" ht="15.75" customHeight="1">
      <c r="D451" s="82" t="n"/>
    </row>
    <row r="452" ht="15.75" customHeight="1">
      <c r="D452" s="82" t="n"/>
    </row>
    <row r="453" ht="15.75" customHeight="1">
      <c r="D453" s="82" t="n"/>
    </row>
    <row r="454" ht="15.75" customHeight="1">
      <c r="D454" s="82" t="n"/>
    </row>
    <row r="455" ht="15.75" customHeight="1">
      <c r="D455" s="82" t="n"/>
    </row>
    <row r="456" ht="15.75" customHeight="1">
      <c r="D456" s="82" t="n"/>
    </row>
    <row r="457" ht="15.75" customHeight="1">
      <c r="D457" s="82" t="n"/>
    </row>
    <row r="458" ht="15.75" customHeight="1">
      <c r="D458" s="82" t="n"/>
    </row>
    <row r="459" ht="15.75" customHeight="1">
      <c r="D459" s="82" t="n"/>
    </row>
    <row r="460" ht="15.75" customHeight="1">
      <c r="D460" s="82" t="n"/>
    </row>
    <row r="461" ht="15.75" customHeight="1">
      <c r="D461" s="82" t="n"/>
    </row>
    <row r="462" ht="15.75" customHeight="1">
      <c r="D462" s="82" t="n"/>
    </row>
    <row r="463" ht="15.75" customHeight="1">
      <c r="D463" s="82" t="n"/>
    </row>
    <row r="464" ht="15.75" customHeight="1">
      <c r="D464" s="82" t="n"/>
    </row>
    <row r="465" ht="15.75" customHeight="1">
      <c r="D465" s="82" t="n"/>
    </row>
    <row r="466" ht="15.75" customHeight="1">
      <c r="D466" s="82" t="n"/>
    </row>
    <row r="467" ht="15.75" customHeight="1">
      <c r="D467" s="82" t="n"/>
    </row>
    <row r="468" ht="15.75" customHeight="1">
      <c r="D468" s="82" t="n"/>
    </row>
    <row r="469" ht="15.75" customHeight="1">
      <c r="D469" s="82" t="n"/>
    </row>
    <row r="470" ht="15.75" customHeight="1">
      <c r="D470" s="82" t="n"/>
    </row>
    <row r="471" ht="15.75" customHeight="1">
      <c r="D471" s="82" t="n"/>
    </row>
    <row r="472" ht="15.75" customHeight="1">
      <c r="D472" s="82" t="n"/>
    </row>
    <row r="473" ht="15.75" customHeight="1">
      <c r="D473" s="82" t="n"/>
    </row>
    <row r="474" ht="15.75" customHeight="1">
      <c r="D474" s="82" t="n"/>
    </row>
    <row r="475" ht="15.75" customHeight="1">
      <c r="D475" s="82" t="n"/>
    </row>
    <row r="476" ht="15.75" customHeight="1">
      <c r="D476" s="82" t="n"/>
    </row>
    <row r="477" ht="15.75" customHeight="1">
      <c r="D477" s="82" t="n"/>
    </row>
    <row r="478" ht="15.75" customHeight="1">
      <c r="D478" s="82" t="n"/>
    </row>
    <row r="479" ht="15.75" customHeight="1">
      <c r="D479" s="82" t="n"/>
    </row>
    <row r="480" ht="15.75" customHeight="1">
      <c r="D480" s="82" t="n"/>
    </row>
    <row r="481" ht="15.75" customHeight="1">
      <c r="D481" s="82" t="n"/>
    </row>
    <row r="482" ht="15.75" customHeight="1">
      <c r="D482" s="82" t="n"/>
    </row>
    <row r="483" ht="15.75" customHeight="1">
      <c r="D483" s="82" t="n"/>
    </row>
    <row r="484" ht="15.75" customHeight="1">
      <c r="D484" s="82" t="n"/>
    </row>
    <row r="485" ht="15.75" customHeight="1">
      <c r="D485" s="82" t="n"/>
    </row>
    <row r="486" ht="15.75" customHeight="1">
      <c r="D486" s="82" t="n"/>
    </row>
    <row r="487" ht="15.75" customHeight="1">
      <c r="D487" s="82" t="n"/>
    </row>
    <row r="488" ht="15.75" customHeight="1">
      <c r="D488" s="82" t="n"/>
    </row>
    <row r="489" ht="15.75" customHeight="1">
      <c r="D489" s="82" t="n"/>
    </row>
    <row r="490" ht="15.75" customHeight="1">
      <c r="D490" s="82" t="n"/>
    </row>
    <row r="491" ht="15.75" customHeight="1">
      <c r="D491" s="82" t="n"/>
    </row>
    <row r="492" ht="15.75" customHeight="1">
      <c r="D492" s="82" t="n"/>
    </row>
    <row r="493" ht="15.75" customHeight="1">
      <c r="D493" s="82" t="n"/>
    </row>
    <row r="494" ht="15.75" customHeight="1">
      <c r="D494" s="82" t="n"/>
    </row>
    <row r="495" ht="15.75" customHeight="1">
      <c r="D495" s="82" t="n"/>
    </row>
    <row r="496" ht="15.75" customHeight="1">
      <c r="D496" s="82" t="n"/>
    </row>
    <row r="497" ht="15.75" customHeight="1">
      <c r="D497" s="82" t="n"/>
    </row>
    <row r="498" ht="15.75" customHeight="1">
      <c r="D498" s="82" t="n"/>
    </row>
    <row r="499" ht="15.75" customHeight="1">
      <c r="D499" s="82" t="n"/>
    </row>
    <row r="500" ht="15.75" customHeight="1">
      <c r="D500" s="82" t="n"/>
    </row>
    <row r="501" ht="15.75" customHeight="1">
      <c r="D501" s="82" t="n"/>
    </row>
    <row r="502" ht="15.75" customHeight="1">
      <c r="D502" s="82" t="n"/>
    </row>
    <row r="503" ht="15.75" customHeight="1">
      <c r="D503" s="82" t="n"/>
    </row>
    <row r="504" ht="15.75" customHeight="1">
      <c r="D504" s="82" t="n"/>
    </row>
    <row r="505" ht="15.75" customHeight="1">
      <c r="D505" s="82" t="n"/>
    </row>
    <row r="506" ht="15.75" customHeight="1">
      <c r="D506" s="82" t="n"/>
    </row>
    <row r="507" ht="15.75" customHeight="1">
      <c r="D507" s="82" t="n"/>
    </row>
    <row r="508" ht="15.75" customHeight="1">
      <c r="D508" s="82" t="n"/>
    </row>
    <row r="509" ht="15.75" customHeight="1">
      <c r="D509" s="82" t="n"/>
    </row>
    <row r="510" ht="15.75" customHeight="1">
      <c r="D510" s="82" t="n"/>
    </row>
    <row r="511" ht="15.75" customHeight="1">
      <c r="D511" s="82" t="n"/>
    </row>
    <row r="512" ht="15.75" customHeight="1">
      <c r="D512" s="82" t="n"/>
    </row>
    <row r="513" ht="15.75" customHeight="1">
      <c r="D513" s="82" t="n"/>
    </row>
    <row r="514" ht="15.75" customHeight="1">
      <c r="D514" s="82" t="n"/>
    </row>
    <row r="515" ht="15.75" customHeight="1">
      <c r="D515" s="82" t="n"/>
    </row>
    <row r="516" ht="15.75" customHeight="1">
      <c r="D516" s="82" t="n"/>
    </row>
    <row r="517" ht="15.75" customHeight="1">
      <c r="D517" s="82" t="n"/>
    </row>
    <row r="518" ht="15.75" customHeight="1">
      <c r="D518" s="82" t="n"/>
    </row>
    <row r="519" ht="15.75" customHeight="1">
      <c r="D519" s="82" t="n"/>
    </row>
    <row r="520" ht="15.75" customHeight="1">
      <c r="D520" s="82" t="n"/>
    </row>
    <row r="521" ht="15.75" customHeight="1">
      <c r="D521" s="82" t="n"/>
    </row>
    <row r="522" ht="15.75" customHeight="1">
      <c r="D522" s="82" t="n"/>
    </row>
    <row r="523" ht="15.75" customHeight="1">
      <c r="D523" s="82" t="n"/>
    </row>
    <row r="524" ht="15.75" customHeight="1">
      <c r="D524" s="82" t="n"/>
    </row>
    <row r="525" ht="15.75" customHeight="1">
      <c r="D525" s="82" t="n"/>
    </row>
    <row r="526" ht="15.75" customHeight="1">
      <c r="D526" s="82" t="n"/>
    </row>
    <row r="527" ht="15.75" customHeight="1">
      <c r="D527" s="82" t="n"/>
    </row>
    <row r="528" ht="15.75" customHeight="1">
      <c r="D528" s="82" t="n"/>
    </row>
    <row r="529" ht="15.75" customHeight="1">
      <c r="D529" s="82" t="n"/>
    </row>
    <row r="530" ht="15.75" customHeight="1">
      <c r="D530" s="82" t="n"/>
    </row>
    <row r="531" ht="15.75" customHeight="1">
      <c r="D531" s="82" t="n"/>
    </row>
    <row r="532" ht="15.75" customHeight="1">
      <c r="D532" s="82" t="n"/>
    </row>
    <row r="533" ht="15.75" customHeight="1">
      <c r="D533" s="82" t="n"/>
    </row>
    <row r="534" ht="15.75" customHeight="1">
      <c r="D534" s="82" t="n"/>
    </row>
    <row r="535" ht="15.75" customHeight="1">
      <c r="D535" s="82" t="n"/>
    </row>
    <row r="536" ht="15.75" customHeight="1">
      <c r="D536" s="82" t="n"/>
    </row>
    <row r="537" ht="15.75" customHeight="1">
      <c r="D537" s="82" t="n"/>
    </row>
    <row r="538" ht="15.75" customHeight="1">
      <c r="D538" s="82" t="n"/>
    </row>
    <row r="539" ht="15.75" customHeight="1">
      <c r="D539" s="82" t="n"/>
    </row>
    <row r="540" ht="15.75" customHeight="1">
      <c r="D540" s="82" t="n"/>
    </row>
    <row r="541" ht="15.75" customHeight="1">
      <c r="D541" s="82" t="n"/>
    </row>
    <row r="542" ht="15.75" customHeight="1">
      <c r="D542" s="82" t="n"/>
    </row>
    <row r="543" ht="15.75" customHeight="1">
      <c r="D543" s="82" t="n"/>
    </row>
    <row r="544" ht="15.75" customHeight="1">
      <c r="D544" s="82" t="n"/>
    </row>
    <row r="545" ht="15.75" customHeight="1">
      <c r="D545" s="82" t="n"/>
    </row>
    <row r="546" ht="15.75" customHeight="1">
      <c r="D546" s="82" t="n"/>
    </row>
    <row r="547" ht="15.75" customHeight="1">
      <c r="D547" s="82" t="n"/>
    </row>
    <row r="548" ht="15.75" customHeight="1">
      <c r="D548" s="82" t="n"/>
    </row>
    <row r="549" ht="15.75" customHeight="1">
      <c r="D549" s="82" t="n"/>
    </row>
    <row r="550" ht="15.75" customHeight="1">
      <c r="D550" s="82" t="n"/>
    </row>
    <row r="551" ht="15.75" customHeight="1">
      <c r="D551" s="82" t="n"/>
    </row>
    <row r="552" ht="15.75" customHeight="1">
      <c r="D552" s="82" t="n"/>
    </row>
    <row r="553" ht="15.75" customHeight="1">
      <c r="D553" s="82" t="n"/>
    </row>
    <row r="554" ht="15.75" customHeight="1">
      <c r="D554" s="82" t="n"/>
    </row>
    <row r="555" ht="15.75" customHeight="1">
      <c r="D555" s="82" t="n"/>
    </row>
    <row r="556" ht="15.75" customHeight="1">
      <c r="D556" s="82" t="n"/>
    </row>
    <row r="557" ht="15.75" customHeight="1">
      <c r="D557" s="82" t="n"/>
    </row>
    <row r="558" ht="15.75" customHeight="1">
      <c r="D558" s="82" t="n"/>
    </row>
    <row r="559" ht="15.75" customHeight="1">
      <c r="D559" s="82" t="n"/>
    </row>
    <row r="560" ht="15.75" customHeight="1">
      <c r="D560" s="82" t="n"/>
    </row>
    <row r="561" ht="15.75" customHeight="1">
      <c r="D561" s="82" t="n"/>
    </row>
    <row r="562" ht="15.75" customHeight="1">
      <c r="D562" s="82" t="n"/>
    </row>
    <row r="563" ht="15.75" customHeight="1">
      <c r="D563" s="82" t="n"/>
    </row>
    <row r="564" ht="15.75" customHeight="1">
      <c r="D564" s="82" t="n"/>
    </row>
    <row r="565" ht="15.75" customHeight="1">
      <c r="D565" s="82" t="n"/>
    </row>
    <row r="566" ht="15.75" customHeight="1">
      <c r="D566" s="82" t="n"/>
    </row>
    <row r="567" ht="15.75" customHeight="1">
      <c r="D567" s="82" t="n"/>
    </row>
    <row r="568" ht="15.75" customHeight="1">
      <c r="D568" s="82" t="n"/>
    </row>
    <row r="569" ht="15.75" customHeight="1">
      <c r="D569" s="82" t="n"/>
    </row>
    <row r="570" ht="15.75" customHeight="1">
      <c r="D570" s="82" t="n"/>
    </row>
    <row r="571" ht="15.75" customHeight="1">
      <c r="D571" s="82" t="n"/>
    </row>
    <row r="572" ht="15.75" customHeight="1">
      <c r="D572" s="82" t="n"/>
    </row>
    <row r="573" ht="15.75" customHeight="1">
      <c r="D573" s="82" t="n"/>
    </row>
    <row r="574" ht="15.75" customHeight="1">
      <c r="D574" s="82" t="n"/>
    </row>
    <row r="575" ht="15.75" customHeight="1">
      <c r="D575" s="82" t="n"/>
    </row>
    <row r="576" ht="15.75" customHeight="1">
      <c r="D576" s="82" t="n"/>
    </row>
    <row r="577" ht="15.75" customHeight="1">
      <c r="D577" s="82" t="n"/>
    </row>
    <row r="578" ht="15.75" customHeight="1">
      <c r="D578" s="82" t="n"/>
    </row>
    <row r="579" ht="15.75" customHeight="1">
      <c r="D579" s="82" t="n"/>
    </row>
    <row r="580" ht="15.75" customHeight="1">
      <c r="D580" s="82" t="n"/>
    </row>
    <row r="581" ht="15.75" customHeight="1">
      <c r="D581" s="82" t="n"/>
    </row>
    <row r="582" ht="15.75" customHeight="1">
      <c r="D582" s="82" t="n"/>
    </row>
    <row r="583" ht="15.75" customHeight="1">
      <c r="D583" s="82" t="n"/>
    </row>
    <row r="584" ht="15.75" customHeight="1">
      <c r="D584" s="82" t="n"/>
    </row>
    <row r="585" ht="15.75" customHeight="1">
      <c r="D585" s="82" t="n"/>
    </row>
    <row r="586" ht="15.75" customHeight="1">
      <c r="D586" s="82" t="n"/>
    </row>
    <row r="587" ht="15.75" customHeight="1">
      <c r="D587" s="82" t="n"/>
    </row>
    <row r="588" ht="15.75" customHeight="1">
      <c r="D588" s="82" t="n"/>
    </row>
    <row r="589" ht="15.75" customHeight="1">
      <c r="D589" s="82" t="n"/>
    </row>
    <row r="590" ht="15.75" customHeight="1">
      <c r="D590" s="82" t="n"/>
    </row>
    <row r="591" ht="15.75" customHeight="1">
      <c r="D591" s="82" t="n"/>
    </row>
    <row r="592" ht="15.75" customHeight="1">
      <c r="D592" s="82" t="n"/>
    </row>
    <row r="593" ht="15.75" customHeight="1">
      <c r="D593" s="82" t="n"/>
    </row>
    <row r="594" ht="15.75" customHeight="1">
      <c r="D594" s="82" t="n"/>
    </row>
    <row r="595" ht="15.75" customHeight="1">
      <c r="D595" s="82" t="n"/>
    </row>
    <row r="596" ht="15.75" customHeight="1">
      <c r="D596" s="82" t="n"/>
    </row>
    <row r="597" ht="15.75" customHeight="1">
      <c r="D597" s="82" t="n"/>
    </row>
    <row r="598" ht="15.75" customHeight="1">
      <c r="D598" s="82" t="n"/>
    </row>
    <row r="599" ht="15.75" customHeight="1">
      <c r="D599" s="82" t="n"/>
    </row>
    <row r="600" ht="15.75" customHeight="1">
      <c r="D600" s="82" t="n"/>
    </row>
    <row r="601" ht="15.75" customHeight="1">
      <c r="D601" s="82" t="n"/>
    </row>
    <row r="602" ht="15.75" customHeight="1">
      <c r="D602" s="82" t="n"/>
    </row>
    <row r="603" ht="15.75" customHeight="1">
      <c r="D603" s="82" t="n"/>
    </row>
    <row r="604" ht="15.75" customHeight="1">
      <c r="D604" s="82" t="n"/>
    </row>
    <row r="605" ht="15.75" customHeight="1">
      <c r="D605" s="82" t="n"/>
    </row>
    <row r="606" ht="15.75" customHeight="1">
      <c r="D606" s="82" t="n"/>
    </row>
    <row r="607" ht="15.75" customHeight="1">
      <c r="D607" s="82" t="n"/>
    </row>
    <row r="608" ht="15.75" customHeight="1">
      <c r="D608" s="82" t="n"/>
    </row>
    <row r="609" ht="15.75" customHeight="1">
      <c r="D609" s="82" t="n"/>
    </row>
    <row r="610" ht="15.75" customHeight="1">
      <c r="D610" s="82" t="n"/>
    </row>
    <row r="611" ht="15.75" customHeight="1">
      <c r="D611" s="82" t="n"/>
    </row>
    <row r="612" ht="15.75" customHeight="1">
      <c r="D612" s="82" t="n"/>
    </row>
    <row r="613" ht="15.75" customHeight="1">
      <c r="D613" s="82" t="n"/>
    </row>
    <row r="614" ht="15.75" customHeight="1">
      <c r="D614" s="82" t="n"/>
    </row>
    <row r="615" ht="15.75" customHeight="1">
      <c r="D615" s="82" t="n"/>
    </row>
    <row r="616" ht="15.75" customHeight="1">
      <c r="D616" s="82" t="n"/>
    </row>
    <row r="617" ht="15.75" customHeight="1">
      <c r="D617" s="82" t="n"/>
    </row>
    <row r="618" ht="15.75" customHeight="1">
      <c r="D618" s="82" t="n"/>
    </row>
    <row r="619" ht="15.75" customHeight="1">
      <c r="D619" s="82" t="n"/>
    </row>
    <row r="620" ht="15.75" customHeight="1">
      <c r="D620" s="82" t="n"/>
    </row>
    <row r="621" ht="15.75" customHeight="1">
      <c r="D621" s="82" t="n"/>
    </row>
    <row r="622" ht="15.75" customHeight="1">
      <c r="D622" s="82" t="n"/>
    </row>
    <row r="623" ht="15.75" customHeight="1">
      <c r="D623" s="82" t="n"/>
    </row>
    <row r="624" ht="15.75" customHeight="1">
      <c r="D624" s="82" t="n"/>
    </row>
    <row r="625" ht="15.75" customHeight="1">
      <c r="D625" s="82" t="n"/>
    </row>
    <row r="626" ht="15.75" customHeight="1">
      <c r="D626" s="82" t="n"/>
    </row>
    <row r="627" ht="15.75" customHeight="1">
      <c r="D627" s="82" t="n"/>
    </row>
    <row r="628" ht="15.75" customHeight="1">
      <c r="D628" s="82" t="n"/>
    </row>
    <row r="629" ht="15.75" customHeight="1">
      <c r="D629" s="82" t="n"/>
    </row>
    <row r="630" ht="15.75" customHeight="1">
      <c r="D630" s="82" t="n"/>
    </row>
    <row r="631" ht="15.75" customHeight="1">
      <c r="D631" s="82" t="n"/>
    </row>
    <row r="632" ht="15.75" customHeight="1">
      <c r="D632" s="82" t="n"/>
    </row>
    <row r="633" ht="15.75" customHeight="1">
      <c r="D633" s="82" t="n"/>
    </row>
    <row r="634" ht="15.75" customHeight="1">
      <c r="D634" s="82" t="n"/>
    </row>
    <row r="635" ht="15.75" customHeight="1">
      <c r="D635" s="82" t="n"/>
    </row>
    <row r="636" ht="15.75" customHeight="1">
      <c r="D636" s="82" t="n"/>
    </row>
    <row r="637" ht="15.75" customHeight="1">
      <c r="D637" s="82" t="n"/>
    </row>
    <row r="638" ht="15.75" customHeight="1">
      <c r="D638" s="82" t="n"/>
    </row>
    <row r="639" ht="15.75" customHeight="1">
      <c r="D639" s="82" t="n"/>
    </row>
    <row r="640" ht="15.75" customHeight="1">
      <c r="D640" s="82" t="n"/>
    </row>
    <row r="641" ht="15.75" customHeight="1">
      <c r="D641" s="82" t="n"/>
    </row>
    <row r="642" ht="15.75" customHeight="1">
      <c r="D642" s="82" t="n"/>
    </row>
    <row r="643" ht="15.75" customHeight="1">
      <c r="D643" s="82" t="n"/>
    </row>
    <row r="644" ht="15.75" customHeight="1">
      <c r="D644" s="82" t="n"/>
    </row>
    <row r="645" ht="15.75" customHeight="1">
      <c r="D645" s="82" t="n"/>
    </row>
    <row r="646" ht="15.75" customHeight="1">
      <c r="D646" s="82" t="n"/>
    </row>
    <row r="647" ht="15.75" customHeight="1">
      <c r="D647" s="82" t="n"/>
    </row>
    <row r="648" ht="15.75" customHeight="1">
      <c r="D648" s="82" t="n"/>
    </row>
    <row r="649" ht="15.75" customHeight="1">
      <c r="D649" s="82" t="n"/>
    </row>
    <row r="650" ht="15.75" customHeight="1">
      <c r="D650" s="82" t="n"/>
    </row>
    <row r="651" ht="15.75" customHeight="1">
      <c r="D651" s="82" t="n"/>
    </row>
    <row r="652" ht="15.75" customHeight="1">
      <c r="D652" s="82" t="n"/>
    </row>
    <row r="653" ht="15.75" customHeight="1">
      <c r="D653" s="82" t="n"/>
    </row>
    <row r="654" ht="15.75" customHeight="1">
      <c r="D654" s="82" t="n"/>
    </row>
    <row r="655" ht="15.75" customHeight="1">
      <c r="D655" s="82" t="n"/>
    </row>
    <row r="656" ht="15.75" customHeight="1">
      <c r="D656" s="82" t="n"/>
    </row>
    <row r="657" ht="15.75" customHeight="1">
      <c r="D657" s="82" t="n"/>
    </row>
    <row r="658" ht="15.75" customHeight="1">
      <c r="D658" s="82" t="n"/>
    </row>
    <row r="659" ht="15.75" customHeight="1">
      <c r="D659" s="82" t="n"/>
    </row>
    <row r="660" ht="15.75" customHeight="1">
      <c r="D660" s="82" t="n"/>
    </row>
    <row r="661" ht="15.75" customHeight="1">
      <c r="D661" s="82" t="n"/>
    </row>
    <row r="662" ht="15.75" customHeight="1">
      <c r="D662" s="82" t="n"/>
    </row>
    <row r="663" ht="15.75" customHeight="1">
      <c r="D663" s="82" t="n"/>
    </row>
    <row r="664" ht="15.75" customHeight="1">
      <c r="D664" s="82" t="n"/>
    </row>
    <row r="665" ht="15.75" customHeight="1">
      <c r="D665" s="82" t="n"/>
    </row>
    <row r="666" ht="15.75" customHeight="1">
      <c r="D666" s="82" t="n"/>
    </row>
    <row r="667" ht="15.75" customHeight="1">
      <c r="D667" s="82" t="n"/>
    </row>
    <row r="668" ht="15.75" customHeight="1">
      <c r="D668" s="82" t="n"/>
    </row>
    <row r="669" ht="15.75" customHeight="1">
      <c r="D669" s="82" t="n"/>
    </row>
    <row r="670" ht="15.75" customHeight="1">
      <c r="D670" s="82" t="n"/>
    </row>
    <row r="671" ht="15.75" customHeight="1">
      <c r="D671" s="82" t="n"/>
    </row>
    <row r="672" ht="15.75" customHeight="1">
      <c r="D672" s="82" t="n"/>
    </row>
    <row r="673" ht="15.75" customHeight="1">
      <c r="D673" s="82" t="n"/>
    </row>
    <row r="674" ht="15.75" customHeight="1">
      <c r="D674" s="82" t="n"/>
    </row>
    <row r="675" ht="15.75" customHeight="1">
      <c r="D675" s="82" t="n"/>
    </row>
    <row r="676" ht="15.75" customHeight="1">
      <c r="D676" s="82" t="n"/>
    </row>
    <row r="677" ht="15.75" customHeight="1">
      <c r="D677" s="82" t="n"/>
    </row>
    <row r="678" ht="15.75" customHeight="1">
      <c r="D678" s="82" t="n"/>
    </row>
    <row r="679" ht="15.75" customHeight="1">
      <c r="D679" s="82" t="n"/>
    </row>
    <row r="680" ht="15.75" customHeight="1">
      <c r="D680" s="82" t="n"/>
    </row>
    <row r="681" ht="15.75" customHeight="1">
      <c r="D681" s="82" t="n"/>
    </row>
    <row r="682" ht="15.75" customHeight="1">
      <c r="D682" s="82" t="n"/>
    </row>
    <row r="683" ht="15.75" customHeight="1">
      <c r="D683" s="82" t="n"/>
    </row>
    <row r="684" ht="15.75" customHeight="1">
      <c r="D684" s="82" t="n"/>
    </row>
    <row r="685" ht="15.75" customHeight="1">
      <c r="D685" s="82" t="n"/>
    </row>
    <row r="686" ht="15.75" customHeight="1">
      <c r="D686" s="82" t="n"/>
    </row>
    <row r="687" ht="15.75" customHeight="1">
      <c r="D687" s="82" t="n"/>
    </row>
    <row r="688" ht="15.75" customHeight="1">
      <c r="D688" s="82" t="n"/>
    </row>
    <row r="689" ht="15.75" customHeight="1">
      <c r="D689" s="82" t="n"/>
    </row>
    <row r="690" ht="15.75" customHeight="1">
      <c r="D690" s="82" t="n"/>
    </row>
    <row r="691" ht="15.75" customHeight="1">
      <c r="D691" s="82" t="n"/>
    </row>
    <row r="692" ht="15.75" customHeight="1">
      <c r="D692" s="82" t="n"/>
    </row>
    <row r="693" ht="15.75" customHeight="1">
      <c r="D693" s="82" t="n"/>
    </row>
    <row r="694" ht="15.75" customHeight="1">
      <c r="D694" s="82" t="n"/>
    </row>
    <row r="695" ht="15.75" customHeight="1">
      <c r="D695" s="82" t="n"/>
    </row>
    <row r="696" ht="15.75" customHeight="1">
      <c r="D696" s="82" t="n"/>
    </row>
    <row r="697" ht="15.75" customHeight="1">
      <c r="D697" s="82" t="n"/>
    </row>
    <row r="698" ht="15.75" customHeight="1">
      <c r="D698" s="82" t="n"/>
    </row>
    <row r="699" ht="15.75" customHeight="1">
      <c r="D699" s="82" t="n"/>
    </row>
    <row r="700" ht="15.75" customHeight="1">
      <c r="D700" s="82" t="n"/>
    </row>
    <row r="701" ht="15.75" customHeight="1">
      <c r="D701" s="82" t="n"/>
    </row>
    <row r="702" ht="15.75" customHeight="1">
      <c r="D702" s="82" t="n"/>
    </row>
    <row r="703" ht="15.75" customHeight="1">
      <c r="D703" s="82" t="n"/>
    </row>
    <row r="704" ht="15.75" customHeight="1">
      <c r="D704" s="82" t="n"/>
    </row>
    <row r="705" ht="15.75" customHeight="1">
      <c r="D705" s="82" t="n"/>
    </row>
    <row r="706" ht="15.75" customHeight="1">
      <c r="D706" s="82" t="n"/>
    </row>
    <row r="707" ht="15.75" customHeight="1">
      <c r="D707" s="82" t="n"/>
    </row>
    <row r="708" ht="15.75" customHeight="1">
      <c r="D708" s="82" t="n"/>
    </row>
    <row r="709" ht="15.75" customHeight="1">
      <c r="D709" s="82" t="n"/>
    </row>
    <row r="710" ht="15.75" customHeight="1">
      <c r="D710" s="82" t="n"/>
    </row>
    <row r="711" ht="15.75" customHeight="1">
      <c r="D711" s="82" t="n"/>
    </row>
    <row r="712" ht="15.75" customHeight="1">
      <c r="D712" s="82" t="n"/>
    </row>
    <row r="713" ht="15.75" customHeight="1">
      <c r="D713" s="82" t="n"/>
    </row>
    <row r="714" ht="15.75" customHeight="1">
      <c r="D714" s="82" t="n"/>
    </row>
    <row r="715" ht="15.75" customHeight="1">
      <c r="D715" s="82" t="n"/>
    </row>
    <row r="716" ht="15.75" customHeight="1">
      <c r="D716" s="82" t="n"/>
    </row>
    <row r="717" ht="15.75" customHeight="1">
      <c r="D717" s="82" t="n"/>
    </row>
    <row r="718" ht="15.75" customHeight="1">
      <c r="D718" s="82" t="n"/>
    </row>
    <row r="719" ht="15.75" customHeight="1">
      <c r="D719" s="82" t="n"/>
    </row>
    <row r="720" ht="15.75" customHeight="1">
      <c r="D720" s="82" t="n"/>
    </row>
    <row r="721" ht="15.75" customHeight="1">
      <c r="D721" s="82" t="n"/>
    </row>
    <row r="722" ht="15.75" customHeight="1">
      <c r="D722" s="82" t="n"/>
    </row>
    <row r="723" ht="15.75" customHeight="1">
      <c r="D723" s="82" t="n"/>
    </row>
    <row r="724" ht="15.75" customHeight="1">
      <c r="D724" s="82" t="n"/>
    </row>
    <row r="725" ht="15.75" customHeight="1">
      <c r="D725" s="82" t="n"/>
    </row>
    <row r="726" ht="15.75" customHeight="1">
      <c r="D726" s="82" t="n"/>
    </row>
    <row r="727" ht="15.75" customHeight="1">
      <c r="D727" s="82" t="n"/>
    </row>
    <row r="728" ht="15.75" customHeight="1">
      <c r="D728" s="82" t="n"/>
    </row>
    <row r="729" ht="15.75" customHeight="1">
      <c r="D729" s="82" t="n"/>
    </row>
    <row r="730" ht="15.75" customHeight="1">
      <c r="D730" s="82" t="n"/>
    </row>
    <row r="731" ht="15.75" customHeight="1">
      <c r="D731" s="82" t="n"/>
    </row>
    <row r="732" ht="15.75" customHeight="1">
      <c r="D732" s="82" t="n"/>
    </row>
    <row r="733" ht="15.75" customHeight="1">
      <c r="D733" s="82" t="n"/>
    </row>
    <row r="734" ht="15.75" customHeight="1">
      <c r="D734" s="82" t="n"/>
    </row>
    <row r="735" ht="15.75" customHeight="1">
      <c r="D735" s="82" t="n"/>
    </row>
    <row r="736" ht="15.75" customHeight="1">
      <c r="D736" s="82" t="n"/>
    </row>
    <row r="737" ht="15.75" customHeight="1">
      <c r="D737" s="82" t="n"/>
    </row>
    <row r="738" ht="15.75" customHeight="1">
      <c r="D738" s="82" t="n"/>
    </row>
    <row r="739" ht="15.75" customHeight="1">
      <c r="D739" s="82" t="n"/>
    </row>
    <row r="740" ht="15.75" customHeight="1">
      <c r="D740" s="82" t="n"/>
    </row>
    <row r="741" ht="15.75" customHeight="1">
      <c r="D741" s="82" t="n"/>
    </row>
    <row r="742" ht="15.75" customHeight="1">
      <c r="D742" s="82" t="n"/>
    </row>
    <row r="743" ht="15.75" customHeight="1">
      <c r="D743" s="82" t="n"/>
    </row>
    <row r="744" ht="15.75" customHeight="1">
      <c r="D744" s="82" t="n"/>
    </row>
    <row r="745" ht="15.75" customHeight="1">
      <c r="D745" s="82" t="n"/>
    </row>
    <row r="746" ht="15.75" customHeight="1">
      <c r="D746" s="82" t="n"/>
    </row>
    <row r="747" ht="15.75" customHeight="1">
      <c r="D747" s="82" t="n"/>
    </row>
    <row r="748" ht="15.75" customHeight="1">
      <c r="D748" s="82" t="n"/>
    </row>
    <row r="749" ht="15.75" customHeight="1">
      <c r="D749" s="82" t="n"/>
    </row>
    <row r="750" ht="15.75" customHeight="1">
      <c r="D750" s="82" t="n"/>
    </row>
    <row r="751" ht="15.75" customHeight="1">
      <c r="D751" s="82" t="n"/>
    </row>
    <row r="752" ht="15.75" customHeight="1">
      <c r="D752" s="82" t="n"/>
    </row>
    <row r="753" ht="15.75" customHeight="1">
      <c r="D753" s="82" t="n"/>
    </row>
    <row r="754" ht="15.75" customHeight="1">
      <c r="D754" s="82" t="n"/>
    </row>
    <row r="755" ht="15.75" customHeight="1">
      <c r="D755" s="82" t="n"/>
    </row>
    <row r="756" ht="15.75" customHeight="1">
      <c r="D756" s="82" t="n"/>
    </row>
    <row r="757" ht="15.75" customHeight="1">
      <c r="D757" s="82" t="n"/>
    </row>
    <row r="758" ht="15.75" customHeight="1">
      <c r="D758" s="82" t="n"/>
    </row>
    <row r="759" ht="15.75" customHeight="1">
      <c r="D759" s="82" t="n"/>
    </row>
    <row r="760" ht="15.75" customHeight="1">
      <c r="D760" s="82" t="n"/>
    </row>
    <row r="761" ht="15.75" customHeight="1">
      <c r="D761" s="82" t="n"/>
    </row>
    <row r="762" ht="15.75" customHeight="1">
      <c r="D762" s="82" t="n"/>
    </row>
    <row r="763" ht="15.75" customHeight="1">
      <c r="D763" s="82" t="n"/>
    </row>
    <row r="764" ht="15.75" customHeight="1">
      <c r="D764" s="82" t="n"/>
    </row>
    <row r="765" ht="15.75" customHeight="1">
      <c r="D765" s="82" t="n"/>
    </row>
    <row r="766" ht="15.75" customHeight="1">
      <c r="D766" s="82" t="n"/>
    </row>
    <row r="767" ht="15.75" customHeight="1">
      <c r="D767" s="82" t="n"/>
    </row>
    <row r="768" ht="15.75" customHeight="1">
      <c r="D768" s="82" t="n"/>
    </row>
    <row r="769" ht="15.75" customHeight="1">
      <c r="D769" s="82" t="n"/>
    </row>
    <row r="770" ht="15.75" customHeight="1">
      <c r="D770" s="82" t="n"/>
    </row>
    <row r="771" ht="15.75" customHeight="1">
      <c r="D771" s="82" t="n"/>
    </row>
    <row r="772" ht="15.75" customHeight="1">
      <c r="D772" s="82" t="n"/>
    </row>
    <row r="773" ht="15.75" customHeight="1">
      <c r="D773" s="82" t="n"/>
    </row>
    <row r="774" ht="15.75" customHeight="1">
      <c r="D774" s="82" t="n"/>
    </row>
    <row r="775" ht="15.75" customHeight="1">
      <c r="D775" s="82" t="n"/>
    </row>
    <row r="776" ht="15.75" customHeight="1">
      <c r="D776" s="82" t="n"/>
    </row>
    <row r="777" ht="15.75" customHeight="1">
      <c r="D777" s="82" t="n"/>
    </row>
    <row r="778" ht="15.75" customHeight="1">
      <c r="D778" s="82" t="n"/>
    </row>
    <row r="779" ht="15.75" customHeight="1">
      <c r="D779" s="82" t="n"/>
    </row>
    <row r="780" ht="15.75" customHeight="1">
      <c r="D780" s="82" t="n"/>
    </row>
    <row r="781" ht="15.75" customHeight="1">
      <c r="D781" s="82" t="n"/>
    </row>
    <row r="782" ht="15.75" customHeight="1">
      <c r="D782" s="82" t="n"/>
    </row>
    <row r="783" ht="15.75" customHeight="1">
      <c r="D783" s="82" t="n"/>
    </row>
    <row r="784" ht="15.75" customHeight="1">
      <c r="D784" s="82" t="n"/>
    </row>
    <row r="785" ht="15.75" customHeight="1">
      <c r="D785" s="82" t="n"/>
    </row>
    <row r="786" ht="15.75" customHeight="1">
      <c r="D786" s="82" t="n"/>
    </row>
    <row r="787" ht="15.75" customHeight="1">
      <c r="D787" s="82" t="n"/>
    </row>
    <row r="788" ht="15.75" customHeight="1">
      <c r="D788" s="82" t="n"/>
    </row>
    <row r="789" ht="15.75" customHeight="1">
      <c r="D789" s="82" t="n"/>
    </row>
    <row r="790" ht="15.75" customHeight="1">
      <c r="D790" s="82" t="n"/>
    </row>
    <row r="791" ht="15.75" customHeight="1">
      <c r="D791" s="82" t="n"/>
    </row>
    <row r="792" ht="15.75" customHeight="1">
      <c r="D792" s="82" t="n"/>
    </row>
    <row r="793" ht="15.75" customHeight="1">
      <c r="D793" s="82" t="n"/>
    </row>
    <row r="794" ht="15.75" customHeight="1">
      <c r="D794" s="82" t="n"/>
    </row>
    <row r="795" ht="15.75" customHeight="1">
      <c r="D795" s="82" t="n"/>
    </row>
    <row r="796" ht="15.75" customHeight="1">
      <c r="D796" s="82" t="n"/>
    </row>
    <row r="797" ht="15.75" customHeight="1">
      <c r="D797" s="82" t="n"/>
    </row>
    <row r="798" ht="15.75" customHeight="1">
      <c r="D798" s="82" t="n"/>
    </row>
    <row r="799" ht="15.75" customHeight="1">
      <c r="D799" s="82" t="n"/>
    </row>
    <row r="800" ht="15.75" customHeight="1">
      <c r="D800" s="82" t="n"/>
    </row>
    <row r="801" ht="15.75" customHeight="1">
      <c r="D801" s="82" t="n"/>
    </row>
    <row r="802" ht="15.75" customHeight="1">
      <c r="D802" s="82" t="n"/>
    </row>
    <row r="803" ht="15.75" customHeight="1">
      <c r="D803" s="82" t="n"/>
    </row>
    <row r="804" ht="15.75" customHeight="1">
      <c r="D804" s="82" t="n"/>
    </row>
    <row r="805" ht="15.75" customHeight="1">
      <c r="D805" s="82" t="n"/>
    </row>
    <row r="806" ht="15.75" customHeight="1">
      <c r="D806" s="82" t="n"/>
    </row>
    <row r="807" ht="15.75" customHeight="1">
      <c r="D807" s="82" t="n"/>
    </row>
    <row r="808" ht="15.75" customHeight="1">
      <c r="D808" s="82" t="n"/>
    </row>
    <row r="809" ht="15.75" customHeight="1">
      <c r="D809" s="82" t="n"/>
    </row>
    <row r="810" ht="15.75" customHeight="1">
      <c r="D810" s="82" t="n"/>
    </row>
    <row r="811" ht="15.75" customHeight="1">
      <c r="D811" s="82" t="n"/>
    </row>
    <row r="812" ht="15.75" customHeight="1">
      <c r="D812" s="82" t="n"/>
    </row>
    <row r="813" ht="15.75" customHeight="1">
      <c r="D813" s="82" t="n"/>
    </row>
    <row r="814" ht="15.75" customHeight="1">
      <c r="D814" s="82" t="n"/>
    </row>
    <row r="815" ht="15.75" customHeight="1">
      <c r="D815" s="82" t="n"/>
    </row>
    <row r="816" ht="15.75" customHeight="1">
      <c r="D816" s="82" t="n"/>
    </row>
    <row r="817" ht="15.75" customHeight="1">
      <c r="D817" s="82" t="n"/>
    </row>
    <row r="818" ht="15.75" customHeight="1">
      <c r="D818" s="82" t="n"/>
    </row>
    <row r="819" ht="15.75" customHeight="1">
      <c r="D819" s="82" t="n"/>
    </row>
    <row r="820" ht="15.75" customHeight="1">
      <c r="D820" s="82" t="n"/>
    </row>
    <row r="821" ht="15.75" customHeight="1">
      <c r="D821" s="82" t="n"/>
    </row>
    <row r="822" ht="15.75" customHeight="1">
      <c r="D822" s="82" t="n"/>
    </row>
    <row r="823" ht="15.75" customHeight="1">
      <c r="D823" s="82" t="n"/>
    </row>
    <row r="824" ht="15.75" customHeight="1">
      <c r="D824" s="82" t="n"/>
    </row>
    <row r="825" ht="15.75" customHeight="1">
      <c r="D825" s="82" t="n"/>
    </row>
    <row r="826" ht="15.75" customHeight="1">
      <c r="D826" s="82" t="n"/>
    </row>
    <row r="827" ht="15.75" customHeight="1">
      <c r="D827" s="82" t="n"/>
    </row>
    <row r="828" ht="15.75" customHeight="1">
      <c r="D828" s="82" t="n"/>
    </row>
    <row r="829" ht="15.75" customHeight="1">
      <c r="D829" s="82" t="n"/>
    </row>
    <row r="830" ht="15.75" customHeight="1">
      <c r="D830" s="82" t="n"/>
    </row>
    <row r="831" ht="15.75" customHeight="1">
      <c r="D831" s="82" t="n"/>
    </row>
    <row r="832" ht="15.75" customHeight="1">
      <c r="D832" s="82" t="n"/>
    </row>
    <row r="833" ht="15.75" customHeight="1">
      <c r="D833" s="82" t="n"/>
    </row>
    <row r="834" ht="15.75" customHeight="1">
      <c r="D834" s="82" t="n"/>
    </row>
    <row r="835" ht="15.75" customHeight="1">
      <c r="D835" s="82" t="n"/>
    </row>
    <row r="836" ht="15.75" customHeight="1">
      <c r="D836" s="82" t="n"/>
    </row>
    <row r="837" ht="15.75" customHeight="1">
      <c r="D837" s="82" t="n"/>
    </row>
    <row r="838" ht="15.75" customHeight="1">
      <c r="D838" s="82" t="n"/>
    </row>
    <row r="839" ht="15.75" customHeight="1">
      <c r="D839" s="82" t="n"/>
    </row>
    <row r="840" ht="15.75" customHeight="1">
      <c r="D840" s="82" t="n"/>
    </row>
    <row r="841" ht="15.75" customHeight="1">
      <c r="D841" s="82" t="n"/>
    </row>
    <row r="842" ht="15.75" customHeight="1">
      <c r="D842" s="82" t="n"/>
    </row>
    <row r="843" ht="15.75" customHeight="1">
      <c r="D843" s="82" t="n"/>
    </row>
    <row r="844" ht="15.75" customHeight="1">
      <c r="D844" s="82" t="n"/>
    </row>
    <row r="845" ht="15.75" customHeight="1">
      <c r="D845" s="82" t="n"/>
    </row>
    <row r="846" ht="15.75" customHeight="1">
      <c r="D846" s="82" t="n"/>
    </row>
    <row r="847" ht="15.75" customHeight="1">
      <c r="D847" s="82" t="n"/>
    </row>
    <row r="848" ht="15.75" customHeight="1">
      <c r="D848" s="82" t="n"/>
    </row>
    <row r="849" ht="15.75" customHeight="1">
      <c r="D849" s="82" t="n"/>
    </row>
    <row r="850" ht="15.75" customHeight="1">
      <c r="D850" s="82" t="n"/>
    </row>
    <row r="851" ht="15.75" customHeight="1">
      <c r="D851" s="82" t="n"/>
    </row>
    <row r="852" ht="15.75" customHeight="1">
      <c r="D852" s="82" t="n"/>
    </row>
    <row r="853" ht="15.75" customHeight="1">
      <c r="D853" s="82" t="n"/>
    </row>
    <row r="854" ht="15.75" customHeight="1">
      <c r="D854" s="82" t="n"/>
    </row>
    <row r="855" ht="15.75" customHeight="1">
      <c r="D855" s="82" t="n"/>
    </row>
    <row r="856" ht="15.75" customHeight="1">
      <c r="D856" s="82" t="n"/>
    </row>
    <row r="857" ht="15.75" customHeight="1">
      <c r="D857" s="82" t="n"/>
    </row>
    <row r="858" ht="15.75" customHeight="1">
      <c r="D858" s="82" t="n"/>
    </row>
    <row r="859" ht="15.75" customHeight="1">
      <c r="D859" s="82" t="n"/>
    </row>
    <row r="860" ht="15.75" customHeight="1">
      <c r="D860" s="82" t="n"/>
    </row>
    <row r="861" ht="15.75" customHeight="1">
      <c r="D861" s="82" t="n"/>
    </row>
    <row r="862" ht="15.75" customHeight="1">
      <c r="D862" s="82" t="n"/>
    </row>
    <row r="863" ht="15.75" customHeight="1">
      <c r="D863" s="82" t="n"/>
    </row>
    <row r="864" ht="15.75" customHeight="1">
      <c r="D864" s="82" t="n"/>
    </row>
    <row r="865" ht="15.75" customHeight="1">
      <c r="D865" s="82" t="n"/>
    </row>
    <row r="866" ht="15.75" customHeight="1">
      <c r="D866" s="82" t="n"/>
    </row>
    <row r="867" ht="15.75" customHeight="1">
      <c r="D867" s="82" t="n"/>
    </row>
    <row r="868" ht="15.75" customHeight="1">
      <c r="D868" s="82" t="n"/>
    </row>
    <row r="869" ht="15.75" customHeight="1">
      <c r="D869" s="82" t="n"/>
    </row>
    <row r="870" ht="15.75" customHeight="1">
      <c r="D870" s="82" t="n"/>
    </row>
    <row r="871" ht="15.75" customHeight="1">
      <c r="D871" s="82" t="n"/>
    </row>
    <row r="872" ht="15.75" customHeight="1">
      <c r="D872" s="82" t="n"/>
    </row>
    <row r="873" ht="15.75" customHeight="1">
      <c r="D873" s="82" t="n"/>
    </row>
    <row r="874" ht="15.75" customHeight="1">
      <c r="D874" s="82" t="n"/>
    </row>
    <row r="875" ht="15.75" customHeight="1">
      <c r="D875" s="82" t="n"/>
    </row>
    <row r="876" ht="15.75" customHeight="1">
      <c r="D876" s="82" t="n"/>
    </row>
    <row r="877" ht="15.75" customHeight="1">
      <c r="D877" s="82" t="n"/>
    </row>
    <row r="878" ht="15.75" customHeight="1">
      <c r="D878" s="82" t="n"/>
    </row>
    <row r="879" ht="15.75" customHeight="1">
      <c r="D879" s="82" t="n"/>
    </row>
    <row r="880" ht="15.75" customHeight="1">
      <c r="D880" s="82" t="n"/>
    </row>
    <row r="881" ht="15.75" customHeight="1">
      <c r="D881" s="82" t="n"/>
    </row>
    <row r="882" ht="15.75" customHeight="1">
      <c r="D882" s="82" t="n"/>
    </row>
    <row r="883" ht="15.75" customHeight="1">
      <c r="D883" s="82" t="n"/>
    </row>
    <row r="884" ht="15.75" customHeight="1">
      <c r="D884" s="82" t="n"/>
    </row>
    <row r="885" ht="15.75" customHeight="1">
      <c r="D885" s="82" t="n"/>
    </row>
    <row r="886" ht="15.75" customHeight="1">
      <c r="D886" s="82" t="n"/>
    </row>
    <row r="887" ht="15.75" customHeight="1">
      <c r="D887" s="82" t="n"/>
    </row>
    <row r="888" ht="15.75" customHeight="1">
      <c r="D888" s="82" t="n"/>
    </row>
    <row r="889" ht="15.75" customHeight="1">
      <c r="D889" s="82" t="n"/>
    </row>
    <row r="890" ht="15.75" customHeight="1">
      <c r="D890" s="82" t="n"/>
    </row>
    <row r="891" ht="15.75" customHeight="1">
      <c r="D891" s="82" t="n"/>
    </row>
    <row r="892" ht="15.75" customHeight="1">
      <c r="D892" s="82" t="n"/>
    </row>
    <row r="893" ht="15.75" customHeight="1">
      <c r="D893" s="82" t="n"/>
    </row>
    <row r="894" ht="15.75" customHeight="1">
      <c r="D894" s="82" t="n"/>
    </row>
    <row r="895" ht="15.75" customHeight="1">
      <c r="D895" s="82" t="n"/>
    </row>
    <row r="896" ht="15.75" customHeight="1">
      <c r="D896" s="82" t="n"/>
    </row>
    <row r="897" ht="15.75" customHeight="1">
      <c r="D897" s="82" t="n"/>
    </row>
    <row r="898" ht="15.75" customHeight="1">
      <c r="D898" s="82" t="n"/>
    </row>
    <row r="899" ht="15.75" customHeight="1">
      <c r="D899" s="82" t="n"/>
    </row>
    <row r="900" ht="15.75" customHeight="1">
      <c r="D900" s="82" t="n"/>
    </row>
    <row r="901" ht="15.75" customHeight="1">
      <c r="D901" s="82" t="n"/>
    </row>
    <row r="902" ht="15.75" customHeight="1">
      <c r="D902" s="82" t="n"/>
    </row>
    <row r="903" ht="15.75" customHeight="1">
      <c r="D903" s="82" t="n"/>
    </row>
    <row r="904" ht="15.75" customHeight="1">
      <c r="D904" s="82" t="n"/>
    </row>
    <row r="905" ht="15.75" customHeight="1">
      <c r="D905" s="82" t="n"/>
    </row>
    <row r="906" ht="15.75" customHeight="1">
      <c r="D906" s="82" t="n"/>
    </row>
    <row r="907" ht="15.75" customHeight="1">
      <c r="D907" s="82" t="n"/>
    </row>
    <row r="908" ht="15.75" customHeight="1">
      <c r="D908" s="82" t="n"/>
    </row>
    <row r="909" ht="15.75" customHeight="1">
      <c r="D909" s="82" t="n"/>
    </row>
    <row r="910" ht="15.75" customHeight="1">
      <c r="D910" s="82" t="n"/>
    </row>
    <row r="911" ht="15.75" customHeight="1">
      <c r="D911" s="82" t="n"/>
    </row>
    <row r="912" ht="15.75" customHeight="1">
      <c r="D912" s="82" t="n"/>
    </row>
    <row r="913" ht="15.75" customHeight="1">
      <c r="D913" s="82" t="n"/>
    </row>
    <row r="914" ht="15.75" customHeight="1">
      <c r="D914" s="82" t="n"/>
    </row>
    <row r="915" ht="15.75" customHeight="1">
      <c r="D915" s="82" t="n"/>
    </row>
    <row r="916" ht="15.75" customHeight="1">
      <c r="D916" s="82" t="n"/>
    </row>
    <row r="917" ht="15.75" customHeight="1">
      <c r="D917" s="82" t="n"/>
    </row>
    <row r="918" ht="15.75" customHeight="1">
      <c r="D918" s="82" t="n"/>
    </row>
    <row r="919" ht="15.75" customHeight="1">
      <c r="D919" s="82" t="n"/>
    </row>
    <row r="920" ht="15.75" customHeight="1">
      <c r="D920" s="82" t="n"/>
    </row>
    <row r="921" ht="15.75" customHeight="1">
      <c r="D921" s="82" t="n"/>
    </row>
    <row r="922" ht="15.75" customHeight="1">
      <c r="D922" s="82" t="n"/>
    </row>
    <row r="923" ht="15.75" customHeight="1">
      <c r="D923" s="82" t="n"/>
    </row>
    <row r="924" ht="15.75" customHeight="1">
      <c r="D924" s="82" t="n"/>
    </row>
    <row r="925" ht="15.75" customHeight="1">
      <c r="D925" s="82" t="n"/>
    </row>
    <row r="926" ht="15.75" customHeight="1">
      <c r="D926" s="82" t="n"/>
    </row>
    <row r="927" ht="15.75" customHeight="1">
      <c r="D927" s="82" t="n"/>
    </row>
    <row r="928" ht="15.75" customHeight="1">
      <c r="D928" s="82" t="n"/>
    </row>
    <row r="929" ht="15.75" customHeight="1">
      <c r="D929" s="82" t="n"/>
    </row>
    <row r="930" ht="15.75" customHeight="1">
      <c r="D930" s="82" t="n"/>
    </row>
    <row r="931" ht="15.75" customHeight="1">
      <c r="D931" s="82" t="n"/>
    </row>
    <row r="932" ht="15.75" customHeight="1">
      <c r="D932" s="82" t="n"/>
    </row>
    <row r="933" ht="15.75" customHeight="1">
      <c r="D933" s="82" t="n"/>
    </row>
    <row r="934" ht="15.75" customHeight="1">
      <c r="D934" s="82" t="n"/>
    </row>
    <row r="935" ht="15.75" customHeight="1">
      <c r="D935" s="82" t="n"/>
    </row>
    <row r="936" ht="15.75" customHeight="1">
      <c r="D936" s="82" t="n"/>
    </row>
    <row r="937" ht="15.75" customHeight="1">
      <c r="D937" s="82" t="n"/>
    </row>
    <row r="938" ht="15.75" customHeight="1">
      <c r="D938" s="82" t="n"/>
    </row>
    <row r="939" ht="15.75" customHeight="1">
      <c r="D939" s="82" t="n"/>
    </row>
    <row r="940" ht="15.75" customHeight="1">
      <c r="D940" s="82" t="n"/>
    </row>
    <row r="941" ht="15.75" customHeight="1">
      <c r="D941" s="82" t="n"/>
    </row>
    <row r="942" ht="15.75" customHeight="1">
      <c r="D942" s="82" t="n"/>
    </row>
    <row r="943" ht="15.75" customHeight="1">
      <c r="D943" s="82" t="n"/>
    </row>
    <row r="944" ht="15.75" customHeight="1">
      <c r="D944" s="82" t="n"/>
    </row>
    <row r="945" ht="15.75" customHeight="1">
      <c r="D945" s="82" t="n"/>
    </row>
    <row r="946" ht="15.75" customHeight="1">
      <c r="D946" s="82" t="n"/>
    </row>
    <row r="947" ht="15.75" customHeight="1">
      <c r="D947" s="82" t="n"/>
    </row>
    <row r="948" ht="15.75" customHeight="1">
      <c r="D948" s="82" t="n"/>
    </row>
    <row r="949" ht="15.75" customHeight="1">
      <c r="D949" s="82" t="n"/>
    </row>
    <row r="950" ht="15.75" customHeight="1">
      <c r="D950" s="82" t="n"/>
    </row>
    <row r="951" ht="15.75" customHeight="1">
      <c r="D951" s="82" t="n"/>
    </row>
    <row r="952" ht="15.75" customHeight="1">
      <c r="D952" s="82" t="n"/>
    </row>
    <row r="953" ht="15.75" customHeight="1">
      <c r="D953" s="82" t="n"/>
    </row>
    <row r="954" ht="15.75" customHeight="1">
      <c r="D954" s="82" t="n"/>
    </row>
    <row r="955" ht="15.75" customHeight="1">
      <c r="D955" s="82" t="n"/>
    </row>
    <row r="956" ht="15.75" customHeight="1">
      <c r="D956" s="82" t="n"/>
    </row>
    <row r="957" ht="15.75" customHeight="1">
      <c r="D957" s="82" t="n"/>
    </row>
    <row r="958" ht="15.75" customHeight="1">
      <c r="D958" s="82" t="n"/>
    </row>
    <row r="959" ht="15.75" customHeight="1">
      <c r="D959" s="82" t="n"/>
    </row>
    <row r="960" ht="15.75" customHeight="1">
      <c r="D960" s="82" t="n"/>
    </row>
    <row r="961" ht="15.75" customHeight="1">
      <c r="D961" s="82" t="n"/>
    </row>
    <row r="962" ht="15.75" customHeight="1">
      <c r="D962" s="82" t="n"/>
    </row>
    <row r="963" ht="15.75" customHeight="1">
      <c r="D963" s="82" t="n"/>
    </row>
    <row r="964" ht="15.75" customHeight="1">
      <c r="D964" s="82" t="n"/>
    </row>
    <row r="965" ht="15.75" customHeight="1">
      <c r="D965" s="82" t="n"/>
    </row>
    <row r="966" ht="15.75" customHeight="1">
      <c r="D966" s="82" t="n"/>
    </row>
    <row r="967" ht="15.75" customHeight="1">
      <c r="D967" s="82" t="n"/>
    </row>
    <row r="968" ht="15.75" customHeight="1">
      <c r="D968" s="82" t="n"/>
    </row>
    <row r="969" ht="15.75" customHeight="1">
      <c r="D969" s="82" t="n"/>
    </row>
    <row r="970" ht="15.75" customHeight="1">
      <c r="D970" s="82" t="n"/>
    </row>
    <row r="971" ht="15.75" customHeight="1">
      <c r="D971" s="82" t="n"/>
    </row>
    <row r="972" ht="15.75" customHeight="1">
      <c r="D972" s="82" t="n"/>
    </row>
    <row r="973" ht="15.75" customHeight="1">
      <c r="D973" s="82" t="n"/>
    </row>
    <row r="974" ht="15.75" customHeight="1">
      <c r="D974" s="82" t="n"/>
    </row>
    <row r="975" ht="15.75" customHeight="1">
      <c r="D975" s="82" t="n"/>
    </row>
    <row r="976" ht="16" customHeight="1">
      <c r="D976" s="82" t="n"/>
    </row>
    <row r="977" ht="16" customHeight="1">
      <c r="D977" s="82" t="n"/>
    </row>
    <row r="978" ht="16" customHeight="1">
      <c r="D978" s="82" t="n"/>
    </row>
    <row r="979" ht="16" customHeight="1">
      <c r="D979" s="82" t="n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Dmytro Lisenbart</dc:creator>
  <dcterms:created xmlns:dcterms="http://purl.org/dc/terms/" xmlns:xsi="http://www.w3.org/2001/XMLSchema-instance" xsi:type="dcterms:W3CDTF">2021-11-04T15:53:12Z</dcterms:created>
  <dcterms:modified xmlns:dcterms="http://purl.org/dc/terms/" xmlns:xsi="http://www.w3.org/2001/XMLSchema-instance" xsi:type="dcterms:W3CDTF">2026-10-17T13:46:04Z</dcterms:modified>
  <cp:lastModifiedBy>Dmytro Lisenbart</cp:lastModifiedBy>
</cp:coreProperties>
</file>