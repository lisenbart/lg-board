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dmytrolisenbart/Library/Mobile Documents/com~apple~CloudDocs/Lisenbart/ACCOUNTING/LISENBART GAMES/LLC/docs/CALC/"/>
    </mc:Choice>
  </mc:AlternateContent>
  <xr:revisionPtr revIDLastSave="0" documentId="13_ncr:1_{A36FC2F8-1465-5346-911C-8E916939524E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Employeers" sheetId="23" r:id="rId1"/>
    <sheet name="July 2026" sheetId="51" r:id="rId2"/>
    <sheet name="June 2026" sheetId="50" r:id="rId3"/>
    <sheet name="May 2026" sheetId="49" r:id="rId4"/>
    <sheet name="April 2026" sheetId="48" r:id="rId5"/>
    <sheet name="March 2026" sheetId="47" r:id="rId6"/>
    <sheet name="February 2026" sheetId="46" r:id="rId7"/>
    <sheet name="January 2026" sheetId="45" r:id="rId8"/>
    <sheet name="December 25" sheetId="44" r:id="rId9"/>
    <sheet name="November 25" sheetId="43" r:id="rId10"/>
    <sheet name="October 25" sheetId="41" r:id="rId11"/>
    <sheet name="September 25" sheetId="42" r:id="rId12"/>
    <sheet name="August 25" sheetId="40" r:id="rId13"/>
    <sheet name="July 25" sheetId="39" r:id="rId14"/>
    <sheet name="June 25" sheetId="38" r:id="rId15"/>
    <sheet name="May 25" sheetId="37" r:id="rId16"/>
    <sheet name="April 25" sheetId="36" r:id="rId17"/>
    <sheet name="March 25" sheetId="35" r:id="rId18"/>
    <sheet name="February 25" sheetId="34" r:id="rId19"/>
    <sheet name="January 25" sheetId="33" r:id="rId20"/>
    <sheet name="December 24" sheetId="32" r:id="rId21"/>
    <sheet name="November 24" sheetId="31" r:id="rId22"/>
    <sheet name="October 24" sheetId="30" r:id="rId23"/>
    <sheet name="September 24" sheetId="29" r:id="rId24"/>
    <sheet name="August 24" sheetId="25" r:id="rId25"/>
    <sheet name="July 24" sheetId="24" r:id="rId26"/>
    <sheet name="June 24" sheetId="21" r:id="rId27"/>
    <sheet name="Invoices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9" roundtripDataChecksum="MBEl2Fp/t16NtmxZo6NgfkIiA+GTF4Cl3QJersOzRnM="/>
    </ext>
  </extLst>
</workbook>
</file>

<file path=xl/calcChain.xml><?xml version="1.0" encoding="utf-8"?>
<calcChain xmlns="http://schemas.openxmlformats.org/spreadsheetml/2006/main">
  <c r="I36" i="51" l="1"/>
  <c r="I37" i="51"/>
  <c r="I38" i="51"/>
  <c r="I39" i="51"/>
  <c r="L4" i="51"/>
  <c r="L5" i="51"/>
  <c r="L6" i="51"/>
  <c r="L7" i="51"/>
  <c r="L8" i="51"/>
  <c r="L9" i="51"/>
  <c r="L10" i="51"/>
  <c r="L11" i="51"/>
  <c r="L12" i="51"/>
  <c r="L13" i="51"/>
  <c r="L14" i="51"/>
  <c r="L15" i="51"/>
  <c r="L16" i="51"/>
  <c r="L17" i="51"/>
  <c r="L18" i="51"/>
  <c r="L19" i="51"/>
  <c r="L20" i="51"/>
  <c r="L21" i="51"/>
  <c r="L22" i="51"/>
  <c r="L23" i="51"/>
  <c r="L24" i="51"/>
  <c r="L25" i="51"/>
  <c r="F46" i="51"/>
  <c r="G46" i="51"/>
  <c r="H46" i="51"/>
  <c r="J46" i="51"/>
  <c r="E46" i="51"/>
  <c r="J44" i="51"/>
  <c r="J43" i="51"/>
  <c r="J42" i="51"/>
  <c r="J41" i="51"/>
  <c r="J32" i="51"/>
  <c r="J29" i="51"/>
  <c r="J19" i="51"/>
  <c r="J18" i="51"/>
  <c r="I28" i="51"/>
  <c r="I27" i="51"/>
  <c r="I5" i="51"/>
  <c r="I4" i="51"/>
  <c r="H34" i="51"/>
  <c r="G17" i="51"/>
  <c r="H16" i="51"/>
  <c r="H15" i="51"/>
  <c r="H14" i="51"/>
  <c r="H13" i="51"/>
  <c r="H12" i="51"/>
  <c r="H7" i="51"/>
  <c r="H6" i="51"/>
  <c r="H3" i="51"/>
  <c r="G30" i="51"/>
  <c r="G25" i="51"/>
  <c r="F9" i="51"/>
  <c r="F10" i="51"/>
  <c r="F11" i="51"/>
  <c r="F8" i="51"/>
  <c r="E4" i="51"/>
  <c r="E5" i="51"/>
  <c r="E6" i="51"/>
  <c r="E11" i="51"/>
  <c r="E12" i="51"/>
  <c r="E13" i="51"/>
  <c r="E14" i="51"/>
  <c r="E19" i="51"/>
  <c r="E20" i="51"/>
  <c r="E21" i="51"/>
  <c r="E22" i="51"/>
  <c r="D44" i="51"/>
  <c r="D43" i="51"/>
  <c r="D42" i="51"/>
  <c r="D41" i="51"/>
  <c r="L41" i="51" s="1"/>
  <c r="D40" i="51"/>
  <c r="E40" i="51" s="1"/>
  <c r="D39" i="51"/>
  <c r="E39" i="51" s="1"/>
  <c r="D38" i="51"/>
  <c r="E38" i="51" s="1"/>
  <c r="D37" i="51"/>
  <c r="L37" i="51" s="1"/>
  <c r="D36" i="51"/>
  <c r="E36" i="51" s="1"/>
  <c r="D35" i="51"/>
  <c r="E35" i="51" s="1"/>
  <c r="D34" i="51"/>
  <c r="D33" i="51"/>
  <c r="L33" i="51" s="1"/>
  <c r="D32" i="51"/>
  <c r="E32" i="51" s="1"/>
  <c r="D31" i="51"/>
  <c r="E31" i="51" s="1"/>
  <c r="D30" i="51"/>
  <c r="L30" i="51" s="1"/>
  <c r="D29" i="51"/>
  <c r="L29" i="51" s="1"/>
  <c r="D28" i="51"/>
  <c r="D27" i="51"/>
  <c r="D25" i="51"/>
  <c r="E25" i="51" s="1"/>
  <c r="D24" i="51"/>
  <c r="E24" i="51" s="1"/>
  <c r="D23" i="51"/>
  <c r="E23" i="51" s="1"/>
  <c r="D22" i="51"/>
  <c r="D21" i="51"/>
  <c r="J21" i="51" s="1"/>
  <c r="D20" i="51"/>
  <c r="F20" i="51" s="1"/>
  <c r="D19" i="51"/>
  <c r="D18" i="51"/>
  <c r="E18" i="51" s="1"/>
  <c r="D17" i="51"/>
  <c r="E17" i="51" s="1"/>
  <c r="D16" i="51"/>
  <c r="E16" i="51" s="1"/>
  <c r="D15" i="51"/>
  <c r="E15" i="51" s="1"/>
  <c r="D14" i="51"/>
  <c r="D13" i="51"/>
  <c r="D12" i="51"/>
  <c r="D11" i="51"/>
  <c r="D10" i="51"/>
  <c r="E10" i="51" s="1"/>
  <c r="D9" i="51"/>
  <c r="E9" i="51" s="1"/>
  <c r="D8" i="51"/>
  <c r="E8" i="51" s="1"/>
  <c r="D7" i="51"/>
  <c r="E7" i="51" s="1"/>
  <c r="D6" i="51"/>
  <c r="D5" i="51"/>
  <c r="D4" i="51"/>
  <c r="D3" i="51"/>
  <c r="E3" i="51"/>
  <c r="L3" i="51"/>
  <c r="C45" i="51"/>
  <c r="E44" i="51"/>
  <c r="E43" i="51"/>
  <c r="L42" i="51"/>
  <c r="E28" i="51"/>
  <c r="E27" i="51"/>
  <c r="F79" i="50"/>
  <c r="G79" i="50"/>
  <c r="H79" i="50"/>
  <c r="I79" i="50"/>
  <c r="J79" i="50"/>
  <c r="K79" i="50"/>
  <c r="L79" i="50"/>
  <c r="E79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H21" i="50"/>
  <c r="H22" i="50"/>
  <c r="H30" i="50"/>
  <c r="H35" i="50"/>
  <c r="H36" i="50"/>
  <c r="H72" i="50"/>
  <c r="H50" i="50"/>
  <c r="H49" i="50"/>
  <c r="H78" i="50"/>
  <c r="H73" i="50"/>
  <c r="J8" i="50"/>
  <c r="J10" i="50"/>
  <c r="J19" i="50"/>
  <c r="J20" i="50"/>
  <c r="J26" i="50"/>
  <c r="J27" i="50"/>
  <c r="J34" i="50"/>
  <c r="J40" i="50"/>
  <c r="J44" i="50"/>
  <c r="J58" i="50"/>
  <c r="J61" i="50"/>
  <c r="J60" i="50"/>
  <c r="J71" i="50"/>
  <c r="J70" i="50"/>
  <c r="I69" i="50"/>
  <c r="I68" i="50"/>
  <c r="I67" i="50"/>
  <c r="I59" i="50"/>
  <c r="I56" i="50"/>
  <c r="I55" i="50"/>
  <c r="I54" i="50"/>
  <c r="I46" i="50"/>
  <c r="I45" i="50"/>
  <c r="I41" i="50"/>
  <c r="I39" i="50"/>
  <c r="I14" i="50"/>
  <c r="I15" i="50"/>
  <c r="I16" i="50"/>
  <c r="I17" i="50"/>
  <c r="I18" i="50"/>
  <c r="H74" i="50"/>
  <c r="H75" i="50"/>
  <c r="H76" i="50"/>
  <c r="H77" i="50"/>
  <c r="G65" i="50"/>
  <c r="G64" i="50"/>
  <c r="G57" i="50"/>
  <c r="G53" i="50"/>
  <c r="G52" i="50"/>
  <c r="G51" i="50"/>
  <c r="G48" i="50"/>
  <c r="G43" i="50"/>
  <c r="G42" i="50"/>
  <c r="G33" i="50"/>
  <c r="G32" i="50"/>
  <c r="G31" i="50"/>
  <c r="G25" i="50"/>
  <c r="G24" i="50"/>
  <c r="G7" i="50"/>
  <c r="G6" i="50"/>
  <c r="G5" i="50"/>
  <c r="G4" i="50"/>
  <c r="F63" i="50"/>
  <c r="F62" i="50"/>
  <c r="F61" i="50"/>
  <c r="F47" i="50"/>
  <c r="F38" i="50"/>
  <c r="F37" i="50"/>
  <c r="F29" i="50"/>
  <c r="F28" i="50"/>
  <c r="F13" i="50"/>
  <c r="F12" i="50"/>
  <c r="F11" i="50"/>
  <c r="F9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D77" i="50"/>
  <c r="D76" i="50"/>
  <c r="D75" i="50"/>
  <c r="D74" i="50"/>
  <c r="D73" i="50"/>
  <c r="D72" i="50"/>
  <c r="D71" i="50"/>
  <c r="D70" i="50"/>
  <c r="D69" i="50"/>
  <c r="D68" i="50"/>
  <c r="D67" i="50"/>
  <c r="D66" i="50"/>
  <c r="D65" i="50"/>
  <c r="D64" i="50"/>
  <c r="D63" i="50"/>
  <c r="D62" i="50"/>
  <c r="D61" i="50"/>
  <c r="D60" i="50"/>
  <c r="D59" i="50"/>
  <c r="D58" i="50"/>
  <c r="D57" i="50"/>
  <c r="D56" i="50"/>
  <c r="D55" i="50"/>
  <c r="D54" i="50"/>
  <c r="D53" i="50"/>
  <c r="D52" i="50"/>
  <c r="D51" i="50"/>
  <c r="D50" i="50"/>
  <c r="D49" i="50"/>
  <c r="D48" i="50"/>
  <c r="D47" i="50"/>
  <c r="D46" i="50"/>
  <c r="D45" i="50"/>
  <c r="D44" i="50"/>
  <c r="D43" i="50"/>
  <c r="D42" i="50"/>
  <c r="D41" i="50"/>
  <c r="D40" i="50"/>
  <c r="D39" i="50"/>
  <c r="D38" i="50"/>
  <c r="D37" i="50"/>
  <c r="D36" i="50"/>
  <c r="D35" i="50"/>
  <c r="D34" i="50"/>
  <c r="D33" i="50"/>
  <c r="D32" i="50"/>
  <c r="D31" i="50"/>
  <c r="D30" i="50"/>
  <c r="D29" i="50"/>
  <c r="D28" i="50"/>
  <c r="D27" i="50"/>
  <c r="D26" i="50"/>
  <c r="D25" i="50"/>
  <c r="D24" i="50"/>
  <c r="C78" i="50"/>
  <c r="D22" i="50"/>
  <c r="L22" i="50" s="1"/>
  <c r="D21" i="50"/>
  <c r="D20" i="50"/>
  <c r="D19" i="50"/>
  <c r="L19" i="50" s="1"/>
  <c r="D18" i="50"/>
  <c r="L18" i="50" s="1"/>
  <c r="D17" i="50"/>
  <c r="L17" i="50" s="1"/>
  <c r="D16" i="50"/>
  <c r="D15" i="50"/>
  <c r="L15" i="50" s="1"/>
  <c r="D14" i="50"/>
  <c r="L14" i="50" s="1"/>
  <c r="D13" i="50"/>
  <c r="D12" i="50"/>
  <c r="L12" i="50" s="1"/>
  <c r="D11" i="50"/>
  <c r="L11" i="50" s="1"/>
  <c r="D10" i="50"/>
  <c r="L10" i="50" s="1"/>
  <c r="D9" i="50"/>
  <c r="L9" i="50" s="1"/>
  <c r="D8" i="50"/>
  <c r="D7" i="50"/>
  <c r="D6" i="50"/>
  <c r="L6" i="50" s="1"/>
  <c r="D5" i="50"/>
  <c r="L5" i="50" s="1"/>
  <c r="D4" i="50"/>
  <c r="N62" i="49"/>
  <c r="N63" i="49"/>
  <c r="N64" i="49"/>
  <c r="N65" i="49"/>
  <c r="L62" i="49"/>
  <c r="E62" i="49"/>
  <c r="O63" i="49"/>
  <c r="F62" i="49"/>
  <c r="G62" i="49"/>
  <c r="H62" i="49"/>
  <c r="I62" i="49"/>
  <c r="J62" i="49"/>
  <c r="K62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4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21" i="49"/>
  <c r="E22" i="49"/>
  <c r="E23" i="49"/>
  <c r="E24" i="49"/>
  <c r="E25" i="49"/>
  <c r="E26" i="49"/>
  <c r="E4" i="49"/>
  <c r="J47" i="49"/>
  <c r="J46" i="49"/>
  <c r="J45" i="49"/>
  <c r="J44" i="49"/>
  <c r="J41" i="49"/>
  <c r="J40" i="49"/>
  <c r="J36" i="49"/>
  <c r="J35" i="49"/>
  <c r="J34" i="49"/>
  <c r="H42" i="49"/>
  <c r="H28" i="49"/>
  <c r="G60" i="49"/>
  <c r="G59" i="49"/>
  <c r="G57" i="49"/>
  <c r="G56" i="49"/>
  <c r="G53" i="49"/>
  <c r="G52" i="49"/>
  <c r="G51" i="49"/>
  <c r="G50" i="49"/>
  <c r="G49" i="49"/>
  <c r="G48" i="49"/>
  <c r="G43" i="49"/>
  <c r="G37" i="49"/>
  <c r="G38" i="49"/>
  <c r="G29" i="49"/>
  <c r="F54" i="49"/>
  <c r="F55" i="49"/>
  <c r="F39" i="49"/>
  <c r="F33" i="49"/>
  <c r="F32" i="49"/>
  <c r="F30" i="49"/>
  <c r="H19" i="49"/>
  <c r="G22" i="49"/>
  <c r="G21" i="49"/>
  <c r="G20" i="49"/>
  <c r="G17" i="49"/>
  <c r="G15" i="49"/>
  <c r="G14" i="49"/>
  <c r="G11" i="49"/>
  <c r="F23" i="49"/>
  <c r="F24" i="49"/>
  <c r="F18" i="49"/>
  <c r="F16" i="49"/>
  <c r="F13" i="49"/>
  <c r="F7" i="49"/>
  <c r="F4" i="49"/>
  <c r="G6" i="49"/>
  <c r="H8" i="49"/>
  <c r="I12" i="49"/>
  <c r="I10" i="49"/>
  <c r="I9" i="49"/>
  <c r="I5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4" i="49"/>
  <c r="D59" i="49"/>
  <c r="D58" i="49"/>
  <c r="D57" i="49"/>
  <c r="D56" i="49"/>
  <c r="D55" i="49"/>
  <c r="D54" i="49"/>
  <c r="D53" i="49"/>
  <c r="D52" i="49"/>
  <c r="D51" i="49"/>
  <c r="D50" i="49"/>
  <c r="D49" i="49"/>
  <c r="D48" i="49"/>
  <c r="D47" i="49"/>
  <c r="D46" i="49"/>
  <c r="D45" i="49"/>
  <c r="D44" i="49"/>
  <c r="D43" i="49"/>
  <c r="D42" i="49"/>
  <c r="D41" i="49"/>
  <c r="D40" i="49"/>
  <c r="D38" i="49"/>
  <c r="D37" i="49"/>
  <c r="D36" i="49"/>
  <c r="D35" i="49"/>
  <c r="D34" i="49"/>
  <c r="D33" i="49"/>
  <c r="D32" i="49"/>
  <c r="D31" i="49"/>
  <c r="D30" i="49"/>
  <c r="D29" i="49"/>
  <c r="D28" i="49"/>
  <c r="C61" i="49"/>
  <c r="J26" i="49"/>
  <c r="E79" i="48"/>
  <c r="N80" i="48"/>
  <c r="N81" i="48"/>
  <c r="N82" i="48"/>
  <c r="N79" i="48"/>
  <c r="L35" i="48"/>
  <c r="L36" i="48"/>
  <c r="L37" i="48"/>
  <c r="L38" i="48"/>
  <c r="L39" i="48"/>
  <c r="L40" i="48"/>
  <c r="L41" i="48"/>
  <c r="L42" i="48"/>
  <c r="L43" i="48"/>
  <c r="L44" i="48"/>
  <c r="L45" i="48"/>
  <c r="L46" i="48"/>
  <c r="L47" i="48"/>
  <c r="L48" i="48"/>
  <c r="L49" i="48"/>
  <c r="L50" i="48"/>
  <c r="L51" i="48"/>
  <c r="L52" i="48"/>
  <c r="L53" i="48"/>
  <c r="L54" i="48"/>
  <c r="L55" i="48"/>
  <c r="L56" i="48"/>
  <c r="L57" i="48"/>
  <c r="L58" i="48"/>
  <c r="L59" i="48"/>
  <c r="L60" i="48"/>
  <c r="L61" i="48"/>
  <c r="L62" i="48"/>
  <c r="L63" i="48"/>
  <c r="L64" i="48"/>
  <c r="L65" i="48"/>
  <c r="L66" i="48"/>
  <c r="L67" i="48"/>
  <c r="L68" i="48"/>
  <c r="L69" i="48"/>
  <c r="L70" i="48"/>
  <c r="L71" i="48"/>
  <c r="L72" i="48"/>
  <c r="L73" i="48"/>
  <c r="L74" i="48"/>
  <c r="L75" i="48"/>
  <c r="L76" i="48"/>
  <c r="L77" i="48"/>
  <c r="I71" i="48"/>
  <c r="F77" i="48"/>
  <c r="G76" i="48"/>
  <c r="G75" i="48"/>
  <c r="G74" i="48"/>
  <c r="F73" i="48"/>
  <c r="F72" i="48"/>
  <c r="G70" i="48"/>
  <c r="G69" i="48"/>
  <c r="F68" i="48"/>
  <c r="G67" i="48"/>
  <c r="G66" i="48"/>
  <c r="F65" i="48"/>
  <c r="F64" i="48"/>
  <c r="F63" i="48"/>
  <c r="G62" i="48"/>
  <c r="F61" i="48"/>
  <c r="I60" i="48"/>
  <c r="J59" i="48"/>
  <c r="J58" i="48"/>
  <c r="J57" i="48"/>
  <c r="H56" i="48"/>
  <c r="F55" i="48"/>
  <c r="J54" i="48"/>
  <c r="I53" i="48"/>
  <c r="G52" i="48"/>
  <c r="G51" i="48"/>
  <c r="G50" i="48"/>
  <c r="F49" i="48"/>
  <c r="F48" i="48"/>
  <c r="G45" i="48"/>
  <c r="G46" i="48"/>
  <c r="G47" i="48"/>
  <c r="G44" i="48"/>
  <c r="G43" i="48"/>
  <c r="G42" i="48"/>
  <c r="F41" i="48"/>
  <c r="F40" i="48"/>
  <c r="F39" i="48"/>
  <c r="F37" i="48"/>
  <c r="F36" i="48"/>
  <c r="H38" i="48"/>
  <c r="H35" i="48"/>
  <c r="H34" i="48"/>
  <c r="H32" i="48"/>
  <c r="F31" i="48"/>
  <c r="J30" i="48"/>
  <c r="J29" i="48"/>
  <c r="J28" i="48"/>
  <c r="I25" i="48"/>
  <c r="I26" i="48"/>
  <c r="I27" i="48"/>
  <c r="I24" i="48"/>
  <c r="G23" i="48"/>
  <c r="G22" i="48"/>
  <c r="G21" i="48"/>
  <c r="I20" i="48"/>
  <c r="H19" i="48"/>
  <c r="G18" i="48"/>
  <c r="H13" i="48"/>
  <c r="J12" i="48"/>
  <c r="G10" i="48"/>
  <c r="F8" i="48"/>
  <c r="E21" i="48"/>
  <c r="E22" i="48"/>
  <c r="E23" i="48"/>
  <c r="E24" i="48"/>
  <c r="E25" i="48"/>
  <c r="E26" i="48"/>
  <c r="E27" i="48"/>
  <c r="E33" i="48"/>
  <c r="E38" i="48"/>
  <c r="E39" i="48"/>
  <c r="E40" i="48"/>
  <c r="E41" i="48"/>
  <c r="E42" i="48"/>
  <c r="E43" i="48"/>
  <c r="E54" i="48"/>
  <c r="E55" i="48"/>
  <c r="E56" i="48"/>
  <c r="E57" i="48"/>
  <c r="E58" i="48"/>
  <c r="E59" i="48"/>
  <c r="E70" i="48"/>
  <c r="E71" i="48"/>
  <c r="E72" i="48"/>
  <c r="E73" i="48"/>
  <c r="E74" i="48"/>
  <c r="E75" i="48"/>
  <c r="D77" i="48"/>
  <c r="E77" i="48" s="1"/>
  <c r="D76" i="48"/>
  <c r="E76" i="48" s="1"/>
  <c r="D75" i="48"/>
  <c r="D74" i="48"/>
  <c r="D73" i="48"/>
  <c r="D72" i="48"/>
  <c r="D71" i="48"/>
  <c r="D69" i="48"/>
  <c r="E69" i="48" s="1"/>
  <c r="D68" i="48"/>
  <c r="E68" i="48" s="1"/>
  <c r="D67" i="48"/>
  <c r="E67" i="48" s="1"/>
  <c r="D66" i="48"/>
  <c r="E66" i="48" s="1"/>
  <c r="D65" i="48"/>
  <c r="E65" i="48" s="1"/>
  <c r="D64" i="48"/>
  <c r="E64" i="48" s="1"/>
  <c r="D63" i="48"/>
  <c r="E63" i="48" s="1"/>
  <c r="D62" i="48"/>
  <c r="E62" i="48" s="1"/>
  <c r="D61" i="48"/>
  <c r="E61" i="48" s="1"/>
  <c r="D60" i="48"/>
  <c r="E60" i="48" s="1"/>
  <c r="D59" i="48"/>
  <c r="D58" i="48"/>
  <c r="D57" i="48"/>
  <c r="D56" i="48"/>
  <c r="D55" i="48"/>
  <c r="D54" i="48"/>
  <c r="D53" i="48"/>
  <c r="E53" i="48" s="1"/>
  <c r="D52" i="48"/>
  <c r="E52" i="48" s="1"/>
  <c r="D51" i="48"/>
  <c r="E51" i="48" s="1"/>
  <c r="D50" i="48"/>
  <c r="E50" i="48" s="1"/>
  <c r="D49" i="48"/>
  <c r="E49" i="48" s="1"/>
  <c r="D48" i="48"/>
  <c r="E48" i="48" s="1"/>
  <c r="D47" i="48"/>
  <c r="E47" i="48" s="1"/>
  <c r="D46" i="48"/>
  <c r="E46" i="48" s="1"/>
  <c r="D45" i="48"/>
  <c r="E45" i="48" s="1"/>
  <c r="D44" i="48"/>
  <c r="E44" i="48" s="1"/>
  <c r="D43" i="48"/>
  <c r="D42" i="48"/>
  <c r="D41" i="48"/>
  <c r="D40" i="48"/>
  <c r="D39" i="48"/>
  <c r="D38" i="48"/>
  <c r="D37" i="48"/>
  <c r="E37" i="48" s="1"/>
  <c r="D36" i="48"/>
  <c r="E36" i="48" s="1"/>
  <c r="D35" i="48"/>
  <c r="E35" i="48" s="1"/>
  <c r="D34" i="48"/>
  <c r="E34" i="48" s="1"/>
  <c r="D32" i="48"/>
  <c r="L32" i="48" s="1"/>
  <c r="D31" i="48"/>
  <c r="E31" i="48" s="1"/>
  <c r="D30" i="48"/>
  <c r="E30" i="48" s="1"/>
  <c r="D29" i="48"/>
  <c r="L29" i="48" s="1"/>
  <c r="D28" i="48"/>
  <c r="E28" i="48" s="1"/>
  <c r="D27" i="48"/>
  <c r="D26" i="48"/>
  <c r="D25" i="48"/>
  <c r="D24" i="48"/>
  <c r="D23" i="48"/>
  <c r="D22" i="48"/>
  <c r="D21" i="48"/>
  <c r="D20" i="48"/>
  <c r="E20" i="48" s="1"/>
  <c r="D19" i="48"/>
  <c r="L19" i="48" s="1"/>
  <c r="D18" i="48"/>
  <c r="D16" i="48"/>
  <c r="I16" i="48" s="1"/>
  <c r="D15" i="48"/>
  <c r="L15" i="48" s="1"/>
  <c r="D14" i="48"/>
  <c r="F14" i="48" s="1"/>
  <c r="D13" i="48"/>
  <c r="D12" i="48"/>
  <c r="L12" i="48" s="1"/>
  <c r="D11" i="48"/>
  <c r="L11" i="48" s="1"/>
  <c r="D10" i="48"/>
  <c r="E10" i="48" s="1"/>
  <c r="D9" i="48"/>
  <c r="E9" i="48" s="1"/>
  <c r="D8" i="48"/>
  <c r="L8" i="48" s="1"/>
  <c r="D7" i="48"/>
  <c r="F7" i="48" s="1"/>
  <c r="D6" i="48"/>
  <c r="F6" i="48" s="1"/>
  <c r="D5" i="48"/>
  <c r="F5" i="48" s="1"/>
  <c r="D4" i="48"/>
  <c r="L4" i="48" s="1"/>
  <c r="C78" i="48"/>
  <c r="L33" i="48"/>
  <c r="L25" i="48"/>
  <c r="L24" i="48"/>
  <c r="K47" i="47"/>
  <c r="G48" i="47"/>
  <c r="H48" i="47"/>
  <c r="I48" i="47"/>
  <c r="J48" i="47"/>
  <c r="K48" i="47"/>
  <c r="L48" i="47"/>
  <c r="F48" i="47"/>
  <c r="E48" i="47"/>
  <c r="G44" i="47"/>
  <c r="G43" i="47"/>
  <c r="G40" i="47"/>
  <c r="G34" i="47"/>
  <c r="G33" i="47"/>
  <c r="L32" i="47"/>
  <c r="L33" i="47"/>
  <c r="L34" i="47"/>
  <c r="L35" i="47"/>
  <c r="L36" i="47"/>
  <c r="L37" i="47"/>
  <c r="J36" i="47"/>
  <c r="J27" i="47"/>
  <c r="J25" i="47"/>
  <c r="I37" i="47"/>
  <c r="I22" i="47"/>
  <c r="I21" i="47"/>
  <c r="J11" i="47"/>
  <c r="J10" i="47"/>
  <c r="I13" i="47"/>
  <c r="I12" i="47"/>
  <c r="H39" i="47"/>
  <c r="H38" i="47"/>
  <c r="H35" i="47"/>
  <c r="H32" i="47"/>
  <c r="H31" i="47"/>
  <c r="H30" i="47"/>
  <c r="H29" i="47"/>
  <c r="H24" i="47"/>
  <c r="E32" i="47"/>
  <c r="E33" i="47"/>
  <c r="E34" i="47"/>
  <c r="E35" i="47"/>
  <c r="E36" i="47"/>
  <c r="E37" i="47"/>
  <c r="G24" i="47"/>
  <c r="G23" i="47"/>
  <c r="G17" i="47"/>
  <c r="G18" i="47"/>
  <c r="G19" i="47"/>
  <c r="G16" i="47"/>
  <c r="G9" i="47"/>
  <c r="G8" i="47"/>
  <c r="G5" i="47"/>
  <c r="F41" i="47"/>
  <c r="F42" i="47"/>
  <c r="F45" i="47"/>
  <c r="F15" i="47"/>
  <c r="F14" i="47"/>
  <c r="F4" i="47"/>
  <c r="D46" i="47"/>
  <c r="L46" i="47" s="1"/>
  <c r="D45" i="47"/>
  <c r="E45" i="47" s="1"/>
  <c r="D44" i="47"/>
  <c r="L44" i="47" s="1"/>
  <c r="D43" i="47"/>
  <c r="L43" i="47" s="1"/>
  <c r="D42" i="47"/>
  <c r="D41" i="47"/>
  <c r="E41" i="47" s="1"/>
  <c r="D40" i="47"/>
  <c r="L40" i="47" s="1"/>
  <c r="D39" i="47"/>
  <c r="L39" i="47" s="1"/>
  <c r="D38" i="47"/>
  <c r="L38" i="47" s="1"/>
  <c r="D37" i="47"/>
  <c r="D36" i="47"/>
  <c r="D35" i="47"/>
  <c r="D34" i="47"/>
  <c r="D33" i="47"/>
  <c r="D32" i="47"/>
  <c r="D31" i="47"/>
  <c r="E31" i="47" s="1"/>
  <c r="D30" i="47"/>
  <c r="L30" i="47" s="1"/>
  <c r="D29" i="47"/>
  <c r="L29" i="47" s="1"/>
  <c r="D28" i="47"/>
  <c r="D27" i="47"/>
  <c r="D26" i="47"/>
  <c r="D25" i="47"/>
  <c r="D24" i="47"/>
  <c r="D23" i="47"/>
  <c r="D22" i="47"/>
  <c r="D21" i="47"/>
  <c r="L21" i="47"/>
  <c r="L22" i="47"/>
  <c r="E23" i="47"/>
  <c r="E24" i="47"/>
  <c r="L25" i="47"/>
  <c r="L26" i="47"/>
  <c r="C47" i="47"/>
  <c r="D19" i="47"/>
  <c r="L19" i="47" s="1"/>
  <c r="D18" i="47"/>
  <c r="L18" i="47" s="1"/>
  <c r="D17" i="47"/>
  <c r="D16" i="47"/>
  <c r="L16" i="47" s="1"/>
  <c r="D15" i="47"/>
  <c r="D14" i="47"/>
  <c r="L14" i="47" s="1"/>
  <c r="D13" i="47"/>
  <c r="D12" i="47"/>
  <c r="L12" i="47" s="1"/>
  <c r="D11" i="47"/>
  <c r="L11" i="47" s="1"/>
  <c r="D10" i="47"/>
  <c r="L10" i="47" s="1"/>
  <c r="D9" i="47"/>
  <c r="D8" i="47"/>
  <c r="L8" i="47" s="1"/>
  <c r="D7" i="47"/>
  <c r="F7" i="47" s="1"/>
  <c r="D6" i="47"/>
  <c r="E6" i="47" s="1"/>
  <c r="D5" i="47"/>
  <c r="D4" i="47"/>
  <c r="L28" i="47"/>
  <c r="E27" i="47"/>
  <c r="K18" i="46"/>
  <c r="I18" i="46"/>
  <c r="H18" i="46"/>
  <c r="G18" i="46"/>
  <c r="F18" i="46"/>
  <c r="E18" i="46"/>
  <c r="G23" i="51" l="1"/>
  <c r="G31" i="51"/>
  <c r="G24" i="51"/>
  <c r="G35" i="51"/>
  <c r="G40" i="51"/>
  <c r="L39" i="51"/>
  <c r="F22" i="51"/>
  <c r="L35" i="51"/>
  <c r="L31" i="51"/>
  <c r="L43" i="51"/>
  <c r="L27" i="51"/>
  <c r="L28" i="51"/>
  <c r="L32" i="51"/>
  <c r="L36" i="51"/>
  <c r="L40" i="51"/>
  <c r="L44" i="51"/>
  <c r="E29" i="51"/>
  <c r="E33" i="51"/>
  <c r="E37" i="51"/>
  <c r="E41" i="51"/>
  <c r="D45" i="51"/>
  <c r="H33" i="51"/>
  <c r="E30" i="51"/>
  <c r="E34" i="51"/>
  <c r="E42" i="51"/>
  <c r="L34" i="51"/>
  <c r="L38" i="51"/>
  <c r="L24" i="50"/>
  <c r="D78" i="50"/>
  <c r="L20" i="50"/>
  <c r="L21" i="50"/>
  <c r="L13" i="50"/>
  <c r="L7" i="50"/>
  <c r="L4" i="50"/>
  <c r="L8" i="50"/>
  <c r="L16" i="50"/>
  <c r="E4" i="50"/>
  <c r="E24" i="50"/>
  <c r="L61" i="49"/>
  <c r="J25" i="49"/>
  <c r="D61" i="49"/>
  <c r="L28" i="49"/>
  <c r="E28" i="49"/>
  <c r="E32" i="48"/>
  <c r="E29" i="48"/>
  <c r="E19" i="48"/>
  <c r="J15" i="48"/>
  <c r="L16" i="48"/>
  <c r="L26" i="48"/>
  <c r="L30" i="48"/>
  <c r="L22" i="48"/>
  <c r="L34" i="48"/>
  <c r="L18" i="48"/>
  <c r="F4" i="48"/>
  <c r="E5" i="48"/>
  <c r="L13" i="48"/>
  <c r="L23" i="48"/>
  <c r="L27" i="48"/>
  <c r="L31" i="48"/>
  <c r="E13" i="48"/>
  <c r="E14" i="48"/>
  <c r="E6" i="48"/>
  <c r="D78" i="48"/>
  <c r="L10" i="48"/>
  <c r="L9" i="48"/>
  <c r="L28" i="48"/>
  <c r="L5" i="48"/>
  <c r="G9" i="48"/>
  <c r="L6" i="48"/>
  <c r="L20" i="48"/>
  <c r="E11" i="48"/>
  <c r="J11" i="48"/>
  <c r="L7" i="48"/>
  <c r="L21" i="48"/>
  <c r="L14" i="48"/>
  <c r="E7" i="48"/>
  <c r="E15" i="48"/>
  <c r="E4" i="48"/>
  <c r="E8" i="48"/>
  <c r="E12" i="48"/>
  <c r="E16" i="48"/>
  <c r="E18" i="48"/>
  <c r="D47" i="47"/>
  <c r="L41" i="47"/>
  <c r="L27" i="47"/>
  <c r="L31" i="47"/>
  <c r="E43" i="47"/>
  <c r="L45" i="47"/>
  <c r="E39" i="47"/>
  <c r="L23" i="47"/>
  <c r="L5" i="47"/>
  <c r="E5" i="47"/>
  <c r="L9" i="47"/>
  <c r="E9" i="47"/>
  <c r="L13" i="47"/>
  <c r="E13" i="47"/>
  <c r="L17" i="47"/>
  <c r="E17" i="47"/>
  <c r="E38" i="47"/>
  <c r="E42" i="47"/>
  <c r="E28" i="47"/>
  <c r="L42" i="47"/>
  <c r="F46" i="47"/>
  <c r="E10" i="47"/>
  <c r="F6" i="47"/>
  <c r="E46" i="47"/>
  <c r="F28" i="47"/>
  <c r="E14" i="47"/>
  <c r="E18" i="47"/>
  <c r="L24" i="47"/>
  <c r="L6" i="47"/>
  <c r="E21" i="47"/>
  <c r="E29" i="47"/>
  <c r="E11" i="47"/>
  <c r="L7" i="47"/>
  <c r="L15" i="47"/>
  <c r="E22" i="47"/>
  <c r="E30" i="47"/>
  <c r="E40" i="47"/>
  <c r="E44" i="47"/>
  <c r="E12" i="47"/>
  <c r="E25" i="47"/>
  <c r="E7" i="47"/>
  <c r="E15" i="47"/>
  <c r="E19" i="47"/>
  <c r="E26" i="47"/>
  <c r="F26" i="47"/>
  <c r="E4" i="47"/>
  <c r="E8" i="47"/>
  <c r="E16" i="47"/>
  <c r="L4" i="47"/>
  <c r="H10" i="46"/>
  <c r="F9" i="46"/>
  <c r="F11" i="46"/>
  <c r="F12" i="46"/>
  <c r="H4" i="46"/>
  <c r="D16" i="46"/>
  <c r="N16" i="46" s="1"/>
  <c r="D15" i="46"/>
  <c r="N15" i="46" s="1"/>
  <c r="D14" i="46"/>
  <c r="I14" i="46" s="1"/>
  <c r="D13" i="46"/>
  <c r="F13" i="46" s="1"/>
  <c r="D12" i="46"/>
  <c r="D11" i="46"/>
  <c r="D10" i="46"/>
  <c r="D9" i="46"/>
  <c r="D8" i="46"/>
  <c r="K8" i="46" s="1"/>
  <c r="D7" i="46"/>
  <c r="H7" i="46" s="1"/>
  <c r="D6" i="46"/>
  <c r="G6" i="46" s="1"/>
  <c r="C17" i="46"/>
  <c r="N12" i="46"/>
  <c r="N11" i="46"/>
  <c r="E10" i="46"/>
  <c r="E6" i="46"/>
  <c r="N4" i="46"/>
  <c r="G71" i="45"/>
  <c r="G68" i="45"/>
  <c r="G80" i="45"/>
  <c r="G74" i="45"/>
  <c r="F47" i="43"/>
  <c r="D31" i="44"/>
  <c r="D30" i="44"/>
  <c r="D29" i="44"/>
  <c r="D28" i="44"/>
  <c r="D27" i="44"/>
  <c r="D26" i="44"/>
  <c r="D25" i="44"/>
  <c r="D24" i="44"/>
  <c r="D23" i="44"/>
  <c r="D22" i="44"/>
  <c r="D21" i="44"/>
  <c r="D20" i="44"/>
  <c r="D19" i="44"/>
  <c r="D18" i="44"/>
  <c r="D17" i="44"/>
  <c r="D15" i="44"/>
  <c r="D14" i="44"/>
  <c r="D13" i="44"/>
  <c r="D12" i="44"/>
  <c r="D11" i="44"/>
  <c r="D10" i="44"/>
  <c r="D9" i="44"/>
  <c r="D8" i="44"/>
  <c r="D7" i="44"/>
  <c r="D6" i="44"/>
  <c r="D5" i="44"/>
  <c r="D4" i="44"/>
  <c r="H45" i="51" l="1"/>
  <c r="I45" i="51"/>
  <c r="I46" i="51" s="1"/>
  <c r="J45" i="51"/>
  <c r="E45" i="51"/>
  <c r="F45" i="51"/>
  <c r="G45" i="51"/>
  <c r="L45" i="51"/>
  <c r="L46" i="51" s="1"/>
  <c r="I78" i="50"/>
  <c r="G78" i="50"/>
  <c r="E78" i="50"/>
  <c r="F78" i="50"/>
  <c r="L78" i="50"/>
  <c r="J78" i="50"/>
  <c r="J61" i="49"/>
  <c r="I61" i="49"/>
  <c r="E61" i="49"/>
  <c r="H61" i="49"/>
  <c r="G61" i="49"/>
  <c r="F61" i="49"/>
  <c r="O62" i="49"/>
  <c r="F78" i="48"/>
  <c r="F79" i="48" s="1"/>
  <c r="I78" i="48"/>
  <c r="I79" i="48" s="1"/>
  <c r="J78" i="48"/>
  <c r="J79" i="48" s="1"/>
  <c r="H78" i="48"/>
  <c r="H79" i="48" s="1"/>
  <c r="G78" i="48"/>
  <c r="G79" i="48" s="1"/>
  <c r="L78" i="48"/>
  <c r="O79" i="48" s="1"/>
  <c r="E78" i="48"/>
  <c r="J47" i="47"/>
  <c r="H47" i="47"/>
  <c r="F47" i="47"/>
  <c r="I47" i="47"/>
  <c r="G47" i="47"/>
  <c r="E47" i="47"/>
  <c r="L47" i="47"/>
  <c r="N7" i="46"/>
  <c r="H16" i="46"/>
  <c r="H15" i="46"/>
  <c r="H17" i="46" s="1"/>
  <c r="D17" i="46"/>
  <c r="E16" i="46"/>
  <c r="E9" i="46"/>
  <c r="N9" i="46"/>
  <c r="N13" i="46"/>
  <c r="E8" i="46"/>
  <c r="E12" i="46"/>
  <c r="E4" i="46"/>
  <c r="N8" i="46"/>
  <c r="E13" i="46"/>
  <c r="N6" i="46"/>
  <c r="N14" i="46"/>
  <c r="J17" i="46"/>
  <c r="J18" i="46" s="1"/>
  <c r="N10" i="46"/>
  <c r="E14" i="46"/>
  <c r="E11" i="46"/>
  <c r="E15" i="46"/>
  <c r="E7" i="46"/>
  <c r="N9" i="45"/>
  <c r="N10" i="45"/>
  <c r="N11" i="45"/>
  <c r="N12" i="45"/>
  <c r="N13" i="45"/>
  <c r="N14" i="45"/>
  <c r="N15" i="45"/>
  <c r="N16" i="45"/>
  <c r="N19" i="45"/>
  <c r="N20" i="45"/>
  <c r="N27" i="45"/>
  <c r="N28" i="45"/>
  <c r="N29" i="45"/>
  <c r="N30" i="45"/>
  <c r="N31" i="45"/>
  <c r="N32" i="45"/>
  <c r="L57" i="45"/>
  <c r="L27" i="45"/>
  <c r="L32" i="45"/>
  <c r="K29" i="45"/>
  <c r="K30" i="45"/>
  <c r="J36" i="45"/>
  <c r="J58" i="45" s="1"/>
  <c r="J59" i="45" s="1"/>
  <c r="I26" i="45"/>
  <c r="I9" i="45"/>
  <c r="I10" i="45"/>
  <c r="D57" i="45"/>
  <c r="E57" i="45" s="1"/>
  <c r="D56" i="45"/>
  <c r="F56" i="45" s="1"/>
  <c r="D55" i="45"/>
  <c r="F55" i="45" s="1"/>
  <c r="D54" i="45"/>
  <c r="G54" i="45" s="1"/>
  <c r="D53" i="45"/>
  <c r="N53" i="45" s="1"/>
  <c r="D52" i="45"/>
  <c r="G52" i="45" s="1"/>
  <c r="D51" i="45"/>
  <c r="H51" i="45" s="1"/>
  <c r="D50" i="45"/>
  <c r="N50" i="45" s="1"/>
  <c r="D49" i="45"/>
  <c r="G49" i="45" s="1"/>
  <c r="D48" i="45"/>
  <c r="E48" i="45" s="1"/>
  <c r="D47" i="45"/>
  <c r="I47" i="45" s="1"/>
  <c r="D46" i="45"/>
  <c r="I46" i="45" s="1"/>
  <c r="D45" i="45"/>
  <c r="E45" i="45" s="1"/>
  <c r="D44" i="45"/>
  <c r="E44" i="45" s="1"/>
  <c r="D43" i="45"/>
  <c r="N43" i="45" s="1"/>
  <c r="D42" i="45"/>
  <c r="N42" i="45" s="1"/>
  <c r="D41" i="45"/>
  <c r="N41" i="45" s="1"/>
  <c r="D40" i="45"/>
  <c r="G40" i="45" s="1"/>
  <c r="D39" i="45"/>
  <c r="N39" i="45" s="1"/>
  <c r="D38" i="45"/>
  <c r="G38" i="45" s="1"/>
  <c r="D37" i="45"/>
  <c r="F37" i="45" s="1"/>
  <c r="D36" i="45"/>
  <c r="N36" i="45" s="1"/>
  <c r="G16" i="45"/>
  <c r="E27" i="45"/>
  <c r="E28" i="45"/>
  <c r="D34" i="45"/>
  <c r="E34" i="45" s="1"/>
  <c r="D33" i="45"/>
  <c r="E33" i="45" s="1"/>
  <c r="D32" i="45"/>
  <c r="E32" i="45" s="1"/>
  <c r="D31" i="45"/>
  <c r="E31" i="45" s="1"/>
  <c r="D30" i="45"/>
  <c r="E30" i="45" s="1"/>
  <c r="D29" i="45"/>
  <c r="E29" i="45" s="1"/>
  <c r="D28" i="45"/>
  <c r="D27" i="45"/>
  <c r="D26" i="45"/>
  <c r="E26" i="45" s="1"/>
  <c r="D25" i="45"/>
  <c r="E25" i="45" s="1"/>
  <c r="D24" i="45"/>
  <c r="E24" i="45" s="1"/>
  <c r="D23" i="45"/>
  <c r="E23" i="45" s="1"/>
  <c r="D22" i="45"/>
  <c r="E22" i="45" s="1"/>
  <c r="D21" i="45"/>
  <c r="E21" i="45" s="1"/>
  <c r="D20" i="45"/>
  <c r="E20" i="45" s="1"/>
  <c r="D19" i="45"/>
  <c r="G19" i="45" s="1"/>
  <c r="D18" i="45"/>
  <c r="E18" i="45" s="1"/>
  <c r="D17" i="45"/>
  <c r="E17" i="45" s="1"/>
  <c r="D16" i="45"/>
  <c r="E16" i="45" s="1"/>
  <c r="D15" i="45"/>
  <c r="G15" i="45" s="1"/>
  <c r="D14" i="45"/>
  <c r="H14" i="45" s="1"/>
  <c r="D13" i="45"/>
  <c r="E13" i="45" s="1"/>
  <c r="D12" i="45"/>
  <c r="F12" i="45" s="1"/>
  <c r="D11" i="45"/>
  <c r="F11" i="45" s="1"/>
  <c r="D10" i="45"/>
  <c r="D9" i="45"/>
  <c r="D8" i="45"/>
  <c r="E8" i="45" s="1"/>
  <c r="D7" i="45"/>
  <c r="N7" i="45" s="1"/>
  <c r="D6" i="45"/>
  <c r="N6" i="45" s="1"/>
  <c r="D5" i="45"/>
  <c r="N5" i="45" s="1"/>
  <c r="D4" i="45"/>
  <c r="N4" i="45" s="1"/>
  <c r="C58" i="45"/>
  <c r="O46" i="51" l="1"/>
  <c r="K45" i="51"/>
  <c r="K46" i="51" s="1"/>
  <c r="O79" i="50"/>
  <c r="K78" i="50"/>
  <c r="K61" i="49"/>
  <c r="O64" i="49" s="1"/>
  <c r="L79" i="48"/>
  <c r="K78" i="48"/>
  <c r="O80" i="48"/>
  <c r="O48" i="47"/>
  <c r="F17" i="46"/>
  <c r="N17" i="46"/>
  <c r="E17" i="46"/>
  <c r="Q18" i="46"/>
  <c r="N18" i="46"/>
  <c r="I17" i="46"/>
  <c r="G17" i="46"/>
  <c r="L17" i="46"/>
  <c r="L18" i="46" s="1"/>
  <c r="K17" i="46"/>
  <c r="N18" i="45"/>
  <c r="I48" i="45"/>
  <c r="N47" i="45"/>
  <c r="N26" i="45"/>
  <c r="N54" i="45"/>
  <c r="N24" i="45"/>
  <c r="N8" i="45"/>
  <c r="N34" i="45"/>
  <c r="N17" i="45"/>
  <c r="N52" i="45"/>
  <c r="K33" i="45"/>
  <c r="G53" i="45"/>
  <c r="K22" i="45"/>
  <c r="K58" i="45" s="1"/>
  <c r="K59" i="45" s="1"/>
  <c r="N22" i="45"/>
  <c r="N33" i="45"/>
  <c r="G20" i="45"/>
  <c r="H21" i="45"/>
  <c r="N51" i="45"/>
  <c r="N25" i="45"/>
  <c r="N55" i="45"/>
  <c r="K24" i="45"/>
  <c r="N56" i="45"/>
  <c r="N23" i="45"/>
  <c r="H39" i="45"/>
  <c r="L31" i="45"/>
  <c r="L58" i="45" s="1"/>
  <c r="L59" i="45" s="1"/>
  <c r="N21" i="45"/>
  <c r="G50" i="45"/>
  <c r="F41" i="45"/>
  <c r="E15" i="45"/>
  <c r="F42" i="45"/>
  <c r="F43" i="45"/>
  <c r="F6" i="45"/>
  <c r="G18" i="45"/>
  <c r="E19" i="45"/>
  <c r="I23" i="45"/>
  <c r="E14" i="45"/>
  <c r="G17" i="45"/>
  <c r="I44" i="45"/>
  <c r="H13" i="45"/>
  <c r="E12" i="45"/>
  <c r="E11" i="45"/>
  <c r="H25" i="45"/>
  <c r="F7" i="45"/>
  <c r="F8" i="45"/>
  <c r="G5" i="45"/>
  <c r="E10" i="45"/>
  <c r="E9" i="45"/>
  <c r="E7" i="45"/>
  <c r="E6" i="45"/>
  <c r="E5" i="45"/>
  <c r="E4" i="45"/>
  <c r="G4" i="45"/>
  <c r="E49" i="45"/>
  <c r="E38" i="45"/>
  <c r="E36" i="45"/>
  <c r="N44" i="45"/>
  <c r="E41" i="45"/>
  <c r="N37" i="45"/>
  <c r="N45" i="45"/>
  <c r="E42" i="45"/>
  <c r="E40" i="45"/>
  <c r="G45" i="45"/>
  <c r="E54" i="45"/>
  <c r="E56" i="45"/>
  <c r="N48" i="45"/>
  <c r="E53" i="45"/>
  <c r="N49" i="45"/>
  <c r="E52" i="45"/>
  <c r="E37" i="45"/>
  <c r="D58" i="45"/>
  <c r="E46" i="45"/>
  <c r="N40" i="45"/>
  <c r="N57" i="45"/>
  <c r="E50" i="45"/>
  <c r="N38" i="45"/>
  <c r="N46" i="45"/>
  <c r="E39" i="45"/>
  <c r="E43" i="45"/>
  <c r="E47" i="45"/>
  <c r="E51" i="45"/>
  <c r="E55" i="45"/>
  <c r="O48" i="51" l="1"/>
  <c r="N48" i="51" s="1"/>
  <c r="O47" i="51"/>
  <c r="N46" i="51"/>
  <c r="O81" i="50"/>
  <c r="N81" i="50" s="1"/>
  <c r="O80" i="50"/>
  <c r="N79" i="50"/>
  <c r="O65" i="49"/>
  <c r="O81" i="48"/>
  <c r="K79" i="48"/>
  <c r="O50" i="47"/>
  <c r="N50" i="47" s="1"/>
  <c r="O49" i="47"/>
  <c r="N48" i="47"/>
  <c r="Q19" i="46"/>
  <c r="P18" i="46"/>
  <c r="M17" i="46"/>
  <c r="I58" i="45"/>
  <c r="I59" i="45" s="1"/>
  <c r="N58" i="45"/>
  <c r="Q59" i="45" s="1"/>
  <c r="F58" i="45"/>
  <c r="F59" i="45" s="1"/>
  <c r="E58" i="45"/>
  <c r="G58" i="45"/>
  <c r="G59" i="45" s="1"/>
  <c r="H58" i="45"/>
  <c r="H59" i="45" s="1"/>
  <c r="O49" i="51" l="1"/>
  <c r="N49" i="51" s="1"/>
  <c r="N47" i="51"/>
  <c r="O82" i="50"/>
  <c r="N82" i="50" s="1"/>
  <c r="N80" i="50"/>
  <c r="O82" i="48"/>
  <c r="N49" i="47"/>
  <c r="O51" i="47"/>
  <c r="N51" i="47" s="1"/>
  <c r="Q20" i="46"/>
  <c r="P20" i="46" s="1"/>
  <c r="M18" i="46"/>
  <c r="P19" i="46"/>
  <c r="N59" i="45"/>
  <c r="E59" i="45"/>
  <c r="M58" i="45"/>
  <c r="P59" i="45"/>
  <c r="Q60" i="45"/>
  <c r="Q21" i="46" l="1"/>
  <c r="P21" i="46" s="1"/>
  <c r="P60" i="45"/>
  <c r="M59" i="45"/>
  <c r="Q61" i="45"/>
  <c r="P61" i="45" s="1"/>
  <c r="Q62" i="45" l="1"/>
  <c r="P62" i="45" s="1"/>
  <c r="I36" i="44" l="1"/>
  <c r="H36" i="44"/>
  <c r="G36" i="44"/>
  <c r="F36" i="44"/>
  <c r="C32" i="44"/>
  <c r="E31" i="44"/>
  <c r="E30" i="44"/>
  <c r="E29" i="44"/>
  <c r="K28" i="44"/>
  <c r="K27" i="44"/>
  <c r="G26" i="44"/>
  <c r="G25" i="44"/>
  <c r="K24" i="44"/>
  <c r="K23" i="44"/>
  <c r="E22" i="44"/>
  <c r="K21" i="44"/>
  <c r="K20" i="44"/>
  <c r="K19" i="44"/>
  <c r="E18" i="44"/>
  <c r="E17" i="44"/>
  <c r="K15" i="44"/>
  <c r="K14" i="44"/>
  <c r="K13" i="44"/>
  <c r="K12" i="44"/>
  <c r="K11" i="44"/>
  <c r="E10" i="44"/>
  <c r="G9" i="44"/>
  <c r="F8" i="44"/>
  <c r="K7" i="44"/>
  <c r="K6" i="44"/>
  <c r="I5" i="44"/>
  <c r="I43" i="43"/>
  <c r="I37" i="43"/>
  <c r="I36" i="43"/>
  <c r="I34" i="43"/>
  <c r="I27" i="43"/>
  <c r="I19" i="43"/>
  <c r="I15" i="43"/>
  <c r="I12" i="43"/>
  <c r="I10" i="43"/>
  <c r="I7" i="43"/>
  <c r="I6" i="43"/>
  <c r="I5" i="43"/>
  <c r="H45" i="43"/>
  <c r="H42" i="43"/>
  <c r="H39" i="43"/>
  <c r="H38" i="43"/>
  <c r="H35" i="43"/>
  <c r="H33" i="43"/>
  <c r="H21" i="43"/>
  <c r="H16" i="43"/>
  <c r="H14" i="43"/>
  <c r="H13" i="43"/>
  <c r="K22" i="43"/>
  <c r="K23" i="43"/>
  <c r="K24" i="43"/>
  <c r="K25" i="43"/>
  <c r="K26" i="43"/>
  <c r="K27" i="43"/>
  <c r="K28" i="43"/>
  <c r="K29" i="43"/>
  <c r="K30" i="43"/>
  <c r="K31" i="43"/>
  <c r="K46" i="43" s="1"/>
  <c r="K32" i="43"/>
  <c r="K33" i="43"/>
  <c r="K34" i="43"/>
  <c r="K35" i="43"/>
  <c r="K36" i="43"/>
  <c r="K37" i="43"/>
  <c r="K38" i="43"/>
  <c r="K39" i="43"/>
  <c r="K40" i="43"/>
  <c r="K41" i="43"/>
  <c r="K42" i="43"/>
  <c r="K43" i="43"/>
  <c r="K44" i="43"/>
  <c r="K45" i="43"/>
  <c r="G40" i="43"/>
  <c r="G41" i="43"/>
  <c r="G31" i="43"/>
  <c r="G30" i="43"/>
  <c r="G29" i="43"/>
  <c r="G26" i="43"/>
  <c r="G25" i="43"/>
  <c r="F32" i="43"/>
  <c r="F28" i="43"/>
  <c r="F24" i="43"/>
  <c r="F23" i="43"/>
  <c r="F22" i="43"/>
  <c r="G11" i="43"/>
  <c r="G9" i="43"/>
  <c r="F18" i="43"/>
  <c r="F17" i="43"/>
  <c r="F8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19" i="43"/>
  <c r="D18" i="43"/>
  <c r="D17" i="43"/>
  <c r="D16" i="43"/>
  <c r="K16" i="43" s="1"/>
  <c r="D15" i="43"/>
  <c r="D14" i="43"/>
  <c r="K14" i="43" s="1"/>
  <c r="D13" i="43"/>
  <c r="K13" i="43" s="1"/>
  <c r="D12" i="43"/>
  <c r="D11" i="43"/>
  <c r="K11" i="43" s="1"/>
  <c r="D10" i="43"/>
  <c r="K10" i="43" s="1"/>
  <c r="D9" i="43"/>
  <c r="K9" i="43" s="1"/>
  <c r="D8" i="43"/>
  <c r="K8" i="43" s="1"/>
  <c r="D7" i="43"/>
  <c r="E7" i="43" s="1"/>
  <c r="D6" i="43"/>
  <c r="K6" i="43" s="1"/>
  <c r="D5" i="43"/>
  <c r="D4" i="43"/>
  <c r="K4" i="43" s="1"/>
  <c r="C46" i="43"/>
  <c r="E19" i="43"/>
  <c r="K18" i="43"/>
  <c r="E17" i="43"/>
  <c r="H39" i="41"/>
  <c r="I40" i="41"/>
  <c r="I33" i="41"/>
  <c r="I29" i="41"/>
  <c r="I27" i="41"/>
  <c r="I24" i="41"/>
  <c r="I14" i="41"/>
  <c r="I12" i="41"/>
  <c r="I9" i="41"/>
  <c r="G37" i="41"/>
  <c r="G36" i="41"/>
  <c r="G31" i="41"/>
  <c r="G30" i="41"/>
  <c r="G28" i="41"/>
  <c r="G23" i="41"/>
  <c r="G22" i="41"/>
  <c r="G21" i="41"/>
  <c r="G17" i="41"/>
  <c r="G16" i="41"/>
  <c r="G6" i="41"/>
  <c r="G5" i="41"/>
  <c r="F41" i="41"/>
  <c r="F38" i="41"/>
  <c r="F35" i="41"/>
  <c r="F34" i="41"/>
  <c r="F26" i="41"/>
  <c r="F25" i="41"/>
  <c r="F20" i="41"/>
  <c r="F19" i="41"/>
  <c r="F18" i="41"/>
  <c r="F15" i="41"/>
  <c r="F13" i="41"/>
  <c r="I41" i="41"/>
  <c r="G45" i="41"/>
  <c r="H45" i="41"/>
  <c r="I45" i="41"/>
  <c r="F45" i="41"/>
  <c r="K34" i="41"/>
  <c r="K35" i="41"/>
  <c r="K36" i="41"/>
  <c r="K37" i="41"/>
  <c r="K38" i="41"/>
  <c r="K39" i="41"/>
  <c r="K40" i="41"/>
  <c r="K5" i="41"/>
  <c r="K6" i="41"/>
  <c r="K7" i="41"/>
  <c r="K8" i="41"/>
  <c r="K9" i="41"/>
  <c r="K10" i="41"/>
  <c r="K11" i="41"/>
  <c r="K12" i="41"/>
  <c r="K13" i="41"/>
  <c r="K14" i="41"/>
  <c r="K15" i="41"/>
  <c r="K16" i="41"/>
  <c r="K17" i="41"/>
  <c r="K18" i="41"/>
  <c r="K19" i="41"/>
  <c r="K20" i="41"/>
  <c r="K21" i="41"/>
  <c r="K22" i="41"/>
  <c r="K23" i="41"/>
  <c r="K24" i="41"/>
  <c r="K25" i="41"/>
  <c r="K26" i="41"/>
  <c r="K27" i="41"/>
  <c r="K28" i="41"/>
  <c r="K29" i="41"/>
  <c r="K30" i="41"/>
  <c r="K31" i="41"/>
  <c r="F10" i="41"/>
  <c r="F8" i="41"/>
  <c r="F7" i="41"/>
  <c r="E6" i="41"/>
  <c r="E7" i="41"/>
  <c r="E8" i="41"/>
  <c r="E9" i="41"/>
  <c r="E10" i="41"/>
  <c r="E12" i="41"/>
  <c r="E20" i="41"/>
  <c r="E22" i="41"/>
  <c r="E23" i="41"/>
  <c r="E24" i="41"/>
  <c r="E25" i="41"/>
  <c r="E26" i="41"/>
  <c r="E28" i="41"/>
  <c r="D40" i="41"/>
  <c r="D39" i="41"/>
  <c r="D38" i="41"/>
  <c r="D37" i="41"/>
  <c r="D36" i="41"/>
  <c r="D35" i="41"/>
  <c r="D34" i="41"/>
  <c r="D33" i="41"/>
  <c r="K33" i="41" s="1"/>
  <c r="D31" i="41"/>
  <c r="E31" i="41" s="1"/>
  <c r="D30" i="41"/>
  <c r="E30" i="41" s="1"/>
  <c r="D29" i="41"/>
  <c r="E29" i="41" s="1"/>
  <c r="D28" i="41"/>
  <c r="D27" i="41"/>
  <c r="E27" i="41" s="1"/>
  <c r="D26" i="41"/>
  <c r="D25" i="41"/>
  <c r="D24" i="41"/>
  <c r="D23" i="41"/>
  <c r="D22" i="41"/>
  <c r="D21" i="41"/>
  <c r="E21" i="41" s="1"/>
  <c r="D20" i="41"/>
  <c r="D19" i="41"/>
  <c r="E19" i="41" s="1"/>
  <c r="D18" i="41"/>
  <c r="E18" i="41" s="1"/>
  <c r="D17" i="41"/>
  <c r="E17" i="41" s="1"/>
  <c r="D16" i="41"/>
  <c r="E16" i="41" s="1"/>
  <c r="D15" i="41"/>
  <c r="E15" i="41" s="1"/>
  <c r="D14" i="41"/>
  <c r="E14" i="41" s="1"/>
  <c r="D13" i="41"/>
  <c r="E13" i="41" s="1"/>
  <c r="D12" i="41"/>
  <c r="D11" i="41"/>
  <c r="F11" i="41" s="1"/>
  <c r="D10" i="41"/>
  <c r="D9" i="41"/>
  <c r="D8" i="41"/>
  <c r="D7" i="41"/>
  <c r="D6" i="41"/>
  <c r="D5" i="41"/>
  <c r="D4" i="41"/>
  <c r="K4" i="41" s="1"/>
  <c r="C26" i="42"/>
  <c r="K24" i="42"/>
  <c r="F24" i="42"/>
  <c r="E24" i="42"/>
  <c r="K23" i="42"/>
  <c r="I23" i="42"/>
  <c r="E23" i="42"/>
  <c r="K22" i="42"/>
  <c r="F22" i="42"/>
  <c r="E22" i="42"/>
  <c r="K21" i="42"/>
  <c r="I21" i="42"/>
  <c r="E21" i="42"/>
  <c r="K20" i="42"/>
  <c r="F20" i="42"/>
  <c r="E20" i="42"/>
  <c r="K19" i="42"/>
  <c r="G19" i="42"/>
  <c r="E19" i="42"/>
  <c r="K18" i="42"/>
  <c r="F18" i="42"/>
  <c r="E18" i="42"/>
  <c r="K17" i="42"/>
  <c r="F17" i="42"/>
  <c r="E17" i="42"/>
  <c r="K16" i="42"/>
  <c r="I16" i="42"/>
  <c r="I26" i="42" s="1"/>
  <c r="I27" i="42" s="1"/>
  <c r="E16" i="42"/>
  <c r="K15" i="42"/>
  <c r="H15" i="42"/>
  <c r="H26" i="42" s="1"/>
  <c r="H27" i="42" s="1"/>
  <c r="E15" i="42"/>
  <c r="K14" i="42"/>
  <c r="G14" i="42"/>
  <c r="E14" i="42"/>
  <c r="K13" i="42"/>
  <c r="G13" i="42"/>
  <c r="E13" i="42"/>
  <c r="K12" i="42"/>
  <c r="G12" i="42"/>
  <c r="G26" i="42" s="1"/>
  <c r="G27" i="42" s="1"/>
  <c r="E12" i="42"/>
  <c r="K9" i="42"/>
  <c r="D9" i="42"/>
  <c r="F9" i="42" s="1"/>
  <c r="F8" i="42"/>
  <c r="E8" i="42"/>
  <c r="D8" i="42"/>
  <c r="K8" i="42" s="1"/>
  <c r="D7" i="42"/>
  <c r="F7" i="42" s="1"/>
  <c r="D6" i="42"/>
  <c r="K6" i="42" s="1"/>
  <c r="C41" i="41"/>
  <c r="K7" i="40"/>
  <c r="K8" i="40"/>
  <c r="K9" i="40"/>
  <c r="K10" i="40"/>
  <c r="G20" i="40"/>
  <c r="G16" i="40"/>
  <c r="G14" i="40"/>
  <c r="G12" i="40"/>
  <c r="F19" i="40"/>
  <c r="F17" i="40"/>
  <c r="H12" i="40"/>
  <c r="G10" i="40"/>
  <c r="G8" i="40"/>
  <c r="G7" i="40"/>
  <c r="F9" i="40"/>
  <c r="F6" i="40"/>
  <c r="D20" i="40"/>
  <c r="D19" i="40"/>
  <c r="D18" i="40"/>
  <c r="D17" i="40"/>
  <c r="D16" i="40"/>
  <c r="D15" i="40"/>
  <c r="D14" i="40"/>
  <c r="D13" i="40"/>
  <c r="E13" i="40" s="1"/>
  <c r="D12" i="40"/>
  <c r="E12" i="40" s="1"/>
  <c r="D10" i="40"/>
  <c r="E10" i="40" s="1"/>
  <c r="D9" i="40"/>
  <c r="E9" i="40" s="1"/>
  <c r="D8" i="40"/>
  <c r="E8" i="40" s="1"/>
  <c r="D7" i="40"/>
  <c r="E7" i="40" s="1"/>
  <c r="D6" i="40"/>
  <c r="H22" i="40"/>
  <c r="H23" i="40" s="1"/>
  <c r="C22" i="40"/>
  <c r="E20" i="40"/>
  <c r="K19" i="40"/>
  <c r="G18" i="40"/>
  <c r="E17" i="40"/>
  <c r="E16" i="40"/>
  <c r="K15" i="40"/>
  <c r="I26" i="39"/>
  <c r="I21" i="39"/>
  <c r="I20" i="39"/>
  <c r="G23" i="39"/>
  <c r="F22" i="39"/>
  <c r="F24" i="39"/>
  <c r="E11" i="39"/>
  <c r="E12" i="39"/>
  <c r="E13" i="39"/>
  <c r="E14" i="39"/>
  <c r="E15" i="39"/>
  <c r="E16" i="39"/>
  <c r="E17" i="39"/>
  <c r="E18" i="39"/>
  <c r="E19" i="39"/>
  <c r="E20" i="39"/>
  <c r="E21" i="39"/>
  <c r="E22" i="39"/>
  <c r="E23" i="39"/>
  <c r="E24" i="39"/>
  <c r="E10" i="39"/>
  <c r="K20" i="39"/>
  <c r="K21" i="39"/>
  <c r="K22" i="39"/>
  <c r="K23" i="39"/>
  <c r="K24" i="39"/>
  <c r="D24" i="39"/>
  <c r="D23" i="39"/>
  <c r="D22" i="39"/>
  <c r="D21" i="39"/>
  <c r="D20" i="39"/>
  <c r="D19" i="39"/>
  <c r="G19" i="39" s="1"/>
  <c r="D18" i="39"/>
  <c r="K18" i="39" s="1"/>
  <c r="D17" i="39"/>
  <c r="K17" i="39" s="1"/>
  <c r="D16" i="39"/>
  <c r="D15" i="39"/>
  <c r="D14" i="39"/>
  <c r="D13" i="39"/>
  <c r="D12" i="39"/>
  <c r="F12" i="39" s="1"/>
  <c r="D11" i="39"/>
  <c r="D10" i="39"/>
  <c r="K10" i="39" s="1"/>
  <c r="C26" i="39"/>
  <c r="D6" i="39"/>
  <c r="E6" i="39" s="1"/>
  <c r="F17" i="38"/>
  <c r="K11" i="39"/>
  <c r="D17" i="38"/>
  <c r="D16" i="38"/>
  <c r="K16" i="38" s="1"/>
  <c r="D15" i="38"/>
  <c r="D14" i="38"/>
  <c r="D13" i="38"/>
  <c r="D12" i="38"/>
  <c r="D11" i="38"/>
  <c r="D10" i="38"/>
  <c r="K10" i="38" s="1"/>
  <c r="D9" i="38"/>
  <c r="H9" i="38" s="1"/>
  <c r="D8" i="38"/>
  <c r="F8" i="38" s="1"/>
  <c r="D7" i="38"/>
  <c r="K7" i="38" s="1"/>
  <c r="D6" i="38"/>
  <c r="E6" i="38" s="1"/>
  <c r="K13" i="38"/>
  <c r="K14" i="38"/>
  <c r="F15" i="38"/>
  <c r="K17" i="38"/>
  <c r="E35" i="38"/>
  <c r="K35" i="38"/>
  <c r="G34" i="38"/>
  <c r="I35" i="38"/>
  <c r="K31" i="38"/>
  <c r="K32" i="38"/>
  <c r="K33" i="38"/>
  <c r="K34" i="38"/>
  <c r="F34" i="38"/>
  <c r="G33" i="38"/>
  <c r="G31" i="38"/>
  <c r="I32" i="38"/>
  <c r="I25" i="38"/>
  <c r="I11" i="38"/>
  <c r="E31" i="38"/>
  <c r="E32" i="38"/>
  <c r="E33" i="38"/>
  <c r="E34" i="38"/>
  <c r="E13" i="38"/>
  <c r="E14" i="38"/>
  <c r="E15" i="38"/>
  <c r="E16" i="38"/>
  <c r="E17" i="38"/>
  <c r="I21" i="38"/>
  <c r="I10" i="38"/>
  <c r="G29" i="38"/>
  <c r="G28" i="38"/>
  <c r="G26" i="38"/>
  <c r="G24" i="38"/>
  <c r="G23" i="38"/>
  <c r="H30" i="38"/>
  <c r="H27" i="38"/>
  <c r="H22" i="38"/>
  <c r="F12" i="38"/>
  <c r="K22" i="38"/>
  <c r="K23" i="38"/>
  <c r="K24" i="38"/>
  <c r="K25" i="38"/>
  <c r="K26" i="38"/>
  <c r="K27" i="38"/>
  <c r="K28" i="38"/>
  <c r="K29" i="38"/>
  <c r="K30" i="38"/>
  <c r="K21" i="38"/>
  <c r="K11" i="38"/>
  <c r="K12" i="38"/>
  <c r="J27" i="37"/>
  <c r="E22" i="38"/>
  <c r="E23" i="38"/>
  <c r="E24" i="38"/>
  <c r="E25" i="38"/>
  <c r="E26" i="38"/>
  <c r="E27" i="38"/>
  <c r="E28" i="38"/>
  <c r="E29" i="38"/>
  <c r="E30" i="38"/>
  <c r="E10" i="38"/>
  <c r="E11" i="38"/>
  <c r="E12" i="38"/>
  <c r="E21" i="38"/>
  <c r="E28" i="37"/>
  <c r="E27" i="37"/>
  <c r="E24" i="37"/>
  <c r="E23" i="37"/>
  <c r="E13" i="37"/>
  <c r="E14" i="37"/>
  <c r="E15" i="37"/>
  <c r="E16" i="37"/>
  <c r="E17" i="37"/>
  <c r="E18" i="37"/>
  <c r="E19" i="37"/>
  <c r="E20" i="37"/>
  <c r="E12" i="37"/>
  <c r="E7" i="37"/>
  <c r="E8" i="37"/>
  <c r="E9" i="37"/>
  <c r="E6" i="37"/>
  <c r="C38" i="38"/>
  <c r="K24" i="37"/>
  <c r="K23" i="37"/>
  <c r="L24" i="37" s="1"/>
  <c r="K7" i="37"/>
  <c r="I20" i="37"/>
  <c r="I19" i="37"/>
  <c r="H13" i="37"/>
  <c r="I13" i="37"/>
  <c r="H24" i="37"/>
  <c r="D24" i="37"/>
  <c r="D23" i="37"/>
  <c r="H23" i="37" s="1"/>
  <c r="D20" i="37"/>
  <c r="D19" i="37"/>
  <c r="K19" i="37"/>
  <c r="D7" i="37"/>
  <c r="F7" i="37" s="1"/>
  <c r="D8" i="37"/>
  <c r="F8" i="37" s="1"/>
  <c r="D9" i="37"/>
  <c r="G9" i="37" s="1"/>
  <c r="D6" i="37"/>
  <c r="G6" i="37" s="1"/>
  <c r="D6" i="36"/>
  <c r="P65" i="36" s="1"/>
  <c r="Q65" i="36" s="1"/>
  <c r="D12" i="37"/>
  <c r="H12" i="37" s="1"/>
  <c r="D13" i="37"/>
  <c r="K13" i="37" s="1"/>
  <c r="D14" i="37"/>
  <c r="K14" i="37" s="1"/>
  <c r="D15" i="37"/>
  <c r="G15" i="37" s="1"/>
  <c r="D16" i="37"/>
  <c r="G16" i="37" s="1"/>
  <c r="D17" i="37"/>
  <c r="K17" i="37" s="1"/>
  <c r="D18" i="37"/>
  <c r="G18" i="37" s="1"/>
  <c r="D18" i="36"/>
  <c r="R68" i="36"/>
  <c r="Q67" i="36"/>
  <c r="P67" i="36"/>
  <c r="P66" i="36"/>
  <c r="Q66" i="36" s="1"/>
  <c r="D32" i="44" l="1"/>
  <c r="E8" i="44"/>
  <c r="E25" i="44"/>
  <c r="K25" i="44"/>
  <c r="H13" i="44"/>
  <c r="H17" i="44"/>
  <c r="K17" i="44"/>
  <c r="E13" i="44"/>
  <c r="K5" i="44"/>
  <c r="K9" i="44"/>
  <c r="K18" i="44"/>
  <c r="K22" i="44"/>
  <c r="K26" i="44"/>
  <c r="K30" i="44"/>
  <c r="E12" i="44"/>
  <c r="G4" i="44"/>
  <c r="H29" i="44"/>
  <c r="K4" i="44"/>
  <c r="K29" i="44"/>
  <c r="E9" i="44"/>
  <c r="E26" i="44"/>
  <c r="E6" i="44"/>
  <c r="E14" i="44"/>
  <c r="E19" i="44"/>
  <c r="E27" i="44"/>
  <c r="I12" i="44"/>
  <c r="I30" i="44"/>
  <c r="I6" i="44"/>
  <c r="I10" i="44"/>
  <c r="H14" i="44"/>
  <c r="F19" i="44"/>
  <c r="I23" i="44"/>
  <c r="G27" i="44"/>
  <c r="H31" i="44"/>
  <c r="E4" i="44"/>
  <c r="E21" i="44"/>
  <c r="G21" i="44"/>
  <c r="G22" i="44"/>
  <c r="E23" i="44"/>
  <c r="K10" i="44"/>
  <c r="K31" i="44"/>
  <c r="K8" i="44"/>
  <c r="E5" i="44"/>
  <c r="F18" i="44"/>
  <c r="I7" i="44"/>
  <c r="G11" i="44"/>
  <c r="I15" i="44"/>
  <c r="F20" i="44"/>
  <c r="F24" i="44"/>
  <c r="F28" i="44"/>
  <c r="E7" i="44"/>
  <c r="E11" i="44"/>
  <c r="E15" i="44"/>
  <c r="E20" i="44"/>
  <c r="E24" i="44"/>
  <c r="E28" i="44"/>
  <c r="K19" i="43"/>
  <c r="K7" i="43"/>
  <c r="E11" i="43"/>
  <c r="E15" i="43"/>
  <c r="K21" i="43"/>
  <c r="E8" i="43"/>
  <c r="E4" i="43"/>
  <c r="E21" i="43"/>
  <c r="K12" i="43"/>
  <c r="K5" i="43"/>
  <c r="K17" i="43"/>
  <c r="E12" i="43"/>
  <c r="E9" i="43"/>
  <c r="E14" i="43"/>
  <c r="K15" i="43"/>
  <c r="D46" i="43"/>
  <c r="G4" i="43"/>
  <c r="E5" i="43"/>
  <c r="E13" i="43"/>
  <c r="E10" i="43"/>
  <c r="E18" i="43"/>
  <c r="H44" i="43"/>
  <c r="H46" i="43" s="1"/>
  <c r="H47" i="43" s="1"/>
  <c r="E16" i="43"/>
  <c r="E6" i="43"/>
  <c r="I42" i="41"/>
  <c r="G41" i="41"/>
  <c r="K41" i="41"/>
  <c r="E11" i="41"/>
  <c r="G4" i="41"/>
  <c r="H41" i="41"/>
  <c r="H42" i="41" s="1"/>
  <c r="E35" i="41"/>
  <c r="D41" i="41"/>
  <c r="E6" i="42"/>
  <c r="E7" i="42"/>
  <c r="K7" i="42"/>
  <c r="K26" i="42" s="1"/>
  <c r="D26" i="42"/>
  <c r="F6" i="42"/>
  <c r="F26" i="42" s="1"/>
  <c r="F27" i="42" s="1"/>
  <c r="E9" i="42"/>
  <c r="E36" i="41"/>
  <c r="E40" i="41"/>
  <c r="E39" i="41"/>
  <c r="E4" i="41"/>
  <c r="E5" i="41"/>
  <c r="E33" i="41"/>
  <c r="E37" i="41"/>
  <c r="E34" i="41"/>
  <c r="E38" i="41"/>
  <c r="K20" i="40"/>
  <c r="E15" i="40"/>
  <c r="F15" i="40"/>
  <c r="K16" i="40"/>
  <c r="D22" i="40"/>
  <c r="E6" i="40"/>
  <c r="K6" i="40"/>
  <c r="E19" i="40"/>
  <c r="K12" i="40"/>
  <c r="F13" i="40"/>
  <c r="K13" i="40"/>
  <c r="E18" i="40"/>
  <c r="K18" i="40"/>
  <c r="K17" i="40"/>
  <c r="E14" i="40"/>
  <c r="K14" i="40"/>
  <c r="K6" i="39"/>
  <c r="K26" i="39" s="1"/>
  <c r="I6" i="39"/>
  <c r="I27" i="39" s="1"/>
  <c r="G10" i="39"/>
  <c r="F11" i="39"/>
  <c r="F14" i="39"/>
  <c r="G15" i="39"/>
  <c r="I18" i="39"/>
  <c r="G17" i="39"/>
  <c r="G16" i="39"/>
  <c r="G26" i="39" s="1"/>
  <c r="G27" i="39" s="1"/>
  <c r="K16" i="39"/>
  <c r="K19" i="39"/>
  <c r="F13" i="39"/>
  <c r="K15" i="39"/>
  <c r="K14" i="39"/>
  <c r="K12" i="39"/>
  <c r="K13" i="39"/>
  <c r="D26" i="39"/>
  <c r="D38" i="38"/>
  <c r="K6" i="38"/>
  <c r="K9" i="38"/>
  <c r="E7" i="38"/>
  <c r="E38" i="38" s="1"/>
  <c r="E39" i="38" s="1"/>
  <c r="F6" i="38"/>
  <c r="F38" i="38" s="1"/>
  <c r="E8" i="38"/>
  <c r="K8" i="38"/>
  <c r="E9" i="38"/>
  <c r="H7" i="38"/>
  <c r="H16" i="38"/>
  <c r="K15" i="38"/>
  <c r="F13" i="38"/>
  <c r="G14" i="38"/>
  <c r="G38" i="38" s="1"/>
  <c r="G39" i="38" s="1"/>
  <c r="I38" i="38"/>
  <c r="I39" i="38" s="1"/>
  <c r="K38" i="38"/>
  <c r="K6" i="37"/>
  <c r="K8" i="37"/>
  <c r="K12" i="37"/>
  <c r="K9" i="37"/>
  <c r="M9" i="37"/>
  <c r="K20" i="37"/>
  <c r="G17" i="37"/>
  <c r="K18" i="37"/>
  <c r="K16" i="37"/>
  <c r="K15" i="37"/>
  <c r="G14" i="37"/>
  <c r="Q68" i="36"/>
  <c r="C27" i="37"/>
  <c r="K46" i="36"/>
  <c r="K47" i="36"/>
  <c r="K48" i="36"/>
  <c r="K49" i="36"/>
  <c r="K51" i="36"/>
  <c r="K52" i="36"/>
  <c r="D54" i="36"/>
  <c r="E54" i="36" s="1"/>
  <c r="D55" i="36"/>
  <c r="K55" i="36" s="1"/>
  <c r="D56" i="36"/>
  <c r="K56" i="36" s="1"/>
  <c r="D57" i="36"/>
  <c r="K57" i="36" s="1"/>
  <c r="D58" i="36"/>
  <c r="K58" i="36" s="1"/>
  <c r="D44" i="36"/>
  <c r="G44" i="36" s="1"/>
  <c r="D45" i="36"/>
  <c r="G45" i="36" s="1"/>
  <c r="D46" i="36"/>
  <c r="G46" i="36" s="1"/>
  <c r="D47" i="36"/>
  <c r="E47" i="36" s="1"/>
  <c r="D48" i="36"/>
  <c r="E48" i="36" s="1"/>
  <c r="D49" i="36"/>
  <c r="E49" i="36" s="1"/>
  <c r="D50" i="36"/>
  <c r="J50" i="36" s="1"/>
  <c r="D51" i="36"/>
  <c r="F51" i="36" s="1"/>
  <c r="D52" i="36"/>
  <c r="F52" i="36" s="1"/>
  <c r="D53" i="36"/>
  <c r="F53" i="36" s="1"/>
  <c r="D40" i="36"/>
  <c r="J40" i="36" s="1"/>
  <c r="D41" i="36"/>
  <c r="J41" i="36" s="1"/>
  <c r="D42" i="36"/>
  <c r="J42" i="36" s="1"/>
  <c r="D43" i="36"/>
  <c r="J43" i="36" s="1"/>
  <c r="E57" i="35"/>
  <c r="E58" i="35"/>
  <c r="E59" i="35"/>
  <c r="E60" i="35"/>
  <c r="E56" i="35"/>
  <c r="F55" i="35"/>
  <c r="F54" i="35"/>
  <c r="E53" i="35"/>
  <c r="E52" i="35"/>
  <c r="F29" i="35"/>
  <c r="E21" i="35"/>
  <c r="E18" i="35"/>
  <c r="F20" i="35"/>
  <c r="F19" i="35"/>
  <c r="D16" i="36"/>
  <c r="J16" i="36" s="1"/>
  <c r="D15" i="36"/>
  <c r="J15" i="36" s="1"/>
  <c r="D33" i="36"/>
  <c r="J33" i="36" s="1"/>
  <c r="D37" i="36"/>
  <c r="J37" i="36" s="1"/>
  <c r="D32" i="36"/>
  <c r="J32" i="36" s="1"/>
  <c r="D35" i="36"/>
  <c r="J35" i="36" s="1"/>
  <c r="D39" i="36"/>
  <c r="J39" i="36" s="1"/>
  <c r="D31" i="36"/>
  <c r="J31" i="36" s="1"/>
  <c r="D30" i="36"/>
  <c r="J30" i="36" s="1"/>
  <c r="D38" i="36"/>
  <c r="J38" i="36" s="1"/>
  <c r="D34" i="36"/>
  <c r="J34" i="36" s="1"/>
  <c r="D36" i="36"/>
  <c r="J36" i="36" s="1"/>
  <c r="D26" i="36"/>
  <c r="J26" i="36" s="1"/>
  <c r="D27" i="36"/>
  <c r="J27" i="36" s="1"/>
  <c r="D28" i="36"/>
  <c r="J28" i="36" s="1"/>
  <c r="D29" i="36"/>
  <c r="J29" i="36" s="1"/>
  <c r="D14" i="36"/>
  <c r="J14" i="36" s="1"/>
  <c r="D12" i="36"/>
  <c r="J12" i="36" s="1"/>
  <c r="D13" i="36"/>
  <c r="J13" i="36" s="1"/>
  <c r="F32" i="44" l="1"/>
  <c r="F33" i="44" s="1"/>
  <c r="I32" i="44"/>
  <c r="I33" i="44" s="1"/>
  <c r="K32" i="44"/>
  <c r="G32" i="44"/>
  <c r="G33" i="44" s="1"/>
  <c r="H32" i="44"/>
  <c r="H33" i="44" s="1"/>
  <c r="E32" i="44"/>
  <c r="E33" i="44" s="1"/>
  <c r="I46" i="43"/>
  <c r="I47" i="43" s="1"/>
  <c r="N47" i="43"/>
  <c r="K47" i="43"/>
  <c r="E46" i="43"/>
  <c r="F46" i="43"/>
  <c r="G46" i="43"/>
  <c r="G47" i="43" s="1"/>
  <c r="N42" i="41"/>
  <c r="E41" i="41"/>
  <c r="N27" i="42"/>
  <c r="K27" i="42"/>
  <c r="E26" i="42"/>
  <c r="G42" i="41"/>
  <c r="E22" i="40"/>
  <c r="G22" i="40"/>
  <c r="G23" i="40" s="1"/>
  <c r="I22" i="40"/>
  <c r="I23" i="40" s="1"/>
  <c r="K22" i="40"/>
  <c r="N23" i="40" s="1"/>
  <c r="E23" i="40"/>
  <c r="F22" i="40"/>
  <c r="F23" i="40" s="1"/>
  <c r="N27" i="39"/>
  <c r="H26" i="39"/>
  <c r="H27" i="39" s="1"/>
  <c r="E26" i="39"/>
  <c r="F26" i="39"/>
  <c r="F27" i="39" s="1"/>
  <c r="L20" i="37"/>
  <c r="L9" i="37"/>
  <c r="F39" i="38"/>
  <c r="H38" i="38"/>
  <c r="H39" i="38" s="1"/>
  <c r="K45" i="36"/>
  <c r="E55" i="36"/>
  <c r="F56" i="36"/>
  <c r="F58" i="36"/>
  <c r="F57" i="36"/>
  <c r="J58" i="36"/>
  <c r="J57" i="36"/>
  <c r="J56" i="36"/>
  <c r="J55" i="36"/>
  <c r="J54" i="36"/>
  <c r="K44" i="36"/>
  <c r="K54" i="36"/>
  <c r="K50" i="36"/>
  <c r="K53" i="36"/>
  <c r="D27" i="37"/>
  <c r="J49" i="36"/>
  <c r="J48" i="36"/>
  <c r="J47" i="36"/>
  <c r="J46" i="36"/>
  <c r="J45" i="36"/>
  <c r="J44" i="36"/>
  <c r="J53" i="36"/>
  <c r="F50" i="36"/>
  <c r="J52" i="36"/>
  <c r="J51" i="36"/>
  <c r="F41" i="36"/>
  <c r="E31" i="36"/>
  <c r="E32" i="36"/>
  <c r="E39" i="36"/>
  <c r="E38" i="36"/>
  <c r="F34" i="36"/>
  <c r="F27" i="36"/>
  <c r="F40" i="36"/>
  <c r="H42" i="36"/>
  <c r="E37" i="36"/>
  <c r="E43" i="36"/>
  <c r="E35" i="36"/>
  <c r="H13" i="36"/>
  <c r="F14" i="36"/>
  <c r="H16" i="36"/>
  <c r="H26" i="36"/>
  <c r="F15" i="36"/>
  <c r="H12" i="36"/>
  <c r="F28" i="36"/>
  <c r="E29" i="36"/>
  <c r="H33" i="36"/>
  <c r="F30" i="36"/>
  <c r="F36" i="36"/>
  <c r="D8" i="36"/>
  <c r="D9" i="36"/>
  <c r="D10" i="36"/>
  <c r="D11" i="36"/>
  <c r="D21" i="36"/>
  <c r="D22" i="36"/>
  <c r="D23" i="36"/>
  <c r="D24" i="36"/>
  <c r="E24" i="36" s="1"/>
  <c r="D25" i="36"/>
  <c r="E25" i="36" s="1"/>
  <c r="D61" i="36"/>
  <c r="D62" i="36"/>
  <c r="D60" i="36"/>
  <c r="D19" i="36"/>
  <c r="D20" i="36"/>
  <c r="D7" i="36"/>
  <c r="J6" i="36"/>
  <c r="J18" i="36"/>
  <c r="C65" i="36"/>
  <c r="E124" i="34"/>
  <c r="D20" i="35"/>
  <c r="J20" i="35" s="1"/>
  <c r="D21" i="35"/>
  <c r="J21" i="35" s="1"/>
  <c r="J32" i="44" l="1"/>
  <c r="K33" i="44"/>
  <c r="N33" i="44"/>
  <c r="E47" i="43"/>
  <c r="J46" i="43"/>
  <c r="N48" i="43"/>
  <c r="M47" i="43"/>
  <c r="K42" i="41"/>
  <c r="J26" i="42"/>
  <c r="E27" i="42"/>
  <c r="N28" i="42"/>
  <c r="M27" i="42"/>
  <c r="E42" i="41"/>
  <c r="N43" i="41"/>
  <c r="M42" i="41"/>
  <c r="K23" i="40"/>
  <c r="J22" i="40"/>
  <c r="N25" i="40" s="1"/>
  <c r="M25" i="40" s="1"/>
  <c r="N24" i="40"/>
  <c r="M23" i="40"/>
  <c r="K27" i="39"/>
  <c r="J26" i="39"/>
  <c r="E27" i="39"/>
  <c r="N28" i="39"/>
  <c r="M27" i="39"/>
  <c r="J38" i="38"/>
  <c r="N39" i="38"/>
  <c r="K39" i="38"/>
  <c r="K27" i="37"/>
  <c r="N28" i="37" s="1"/>
  <c r="I27" i="37"/>
  <c r="I28" i="37" s="1"/>
  <c r="G27" i="37"/>
  <c r="G28" i="37" s="1"/>
  <c r="H27" i="37"/>
  <c r="H28" i="37" s="1"/>
  <c r="F27" i="37"/>
  <c r="E7" i="36"/>
  <c r="J7" i="36"/>
  <c r="F22" i="36"/>
  <c r="J22" i="36"/>
  <c r="G20" i="36"/>
  <c r="J20" i="36"/>
  <c r="F21" i="36"/>
  <c r="J21" i="36"/>
  <c r="H62" i="36"/>
  <c r="J62" i="36"/>
  <c r="J25" i="36"/>
  <c r="E23" i="36"/>
  <c r="J23" i="36"/>
  <c r="H11" i="36"/>
  <c r="J11" i="36"/>
  <c r="J24" i="36"/>
  <c r="F10" i="36"/>
  <c r="J10" i="36"/>
  <c r="F9" i="36"/>
  <c r="J9" i="36"/>
  <c r="G19" i="36"/>
  <c r="J19" i="36"/>
  <c r="G61" i="36"/>
  <c r="J61" i="36"/>
  <c r="F8" i="36"/>
  <c r="J8" i="36"/>
  <c r="J60" i="36"/>
  <c r="G60" i="36"/>
  <c r="F18" i="36"/>
  <c r="G6" i="36"/>
  <c r="D65" i="36"/>
  <c r="D56" i="35"/>
  <c r="J56" i="35" s="1"/>
  <c r="D57" i="35"/>
  <c r="J57" i="35" s="1"/>
  <c r="D58" i="35"/>
  <c r="J58" i="35" s="1"/>
  <c r="D59" i="35"/>
  <c r="J59" i="35" s="1"/>
  <c r="D60" i="35"/>
  <c r="J60" i="35" s="1"/>
  <c r="D55" i="35"/>
  <c r="J55" i="35" s="1"/>
  <c r="D54" i="35"/>
  <c r="J54" i="35" s="1"/>
  <c r="D53" i="35"/>
  <c r="J53" i="35" s="1"/>
  <c r="D52" i="35"/>
  <c r="J52" i="35" s="1"/>
  <c r="M33" i="44" l="1"/>
  <c r="N34" i="44"/>
  <c r="J33" i="44"/>
  <c r="N35" i="44"/>
  <c r="M35" i="44" s="1"/>
  <c r="M48" i="43"/>
  <c r="N49" i="43"/>
  <c r="M49" i="43" s="1"/>
  <c r="J47" i="43"/>
  <c r="M28" i="42"/>
  <c r="N29" i="42"/>
  <c r="M29" i="42" s="1"/>
  <c r="J27" i="42"/>
  <c r="M43" i="41"/>
  <c r="J23" i="40"/>
  <c r="N26" i="40"/>
  <c r="M26" i="40" s="1"/>
  <c r="M24" i="40"/>
  <c r="M28" i="39"/>
  <c r="N29" i="39"/>
  <c r="M29" i="39" s="1"/>
  <c r="J27" i="39"/>
  <c r="N41" i="38"/>
  <c r="M41" i="38" s="1"/>
  <c r="J39" i="38"/>
  <c r="N40" i="38"/>
  <c r="M39" i="38"/>
  <c r="K28" i="37"/>
  <c r="F28" i="37"/>
  <c r="N29" i="37"/>
  <c r="M28" i="37"/>
  <c r="E65" i="36"/>
  <c r="E66" i="36" s="1"/>
  <c r="F65" i="36"/>
  <c r="F66" i="36" s="1"/>
  <c r="J65" i="36"/>
  <c r="G65" i="36"/>
  <c r="G66" i="36" s="1"/>
  <c r="H65" i="36"/>
  <c r="H66" i="36" s="1"/>
  <c r="D27" i="35"/>
  <c r="F27" i="35" s="1"/>
  <c r="D28" i="35"/>
  <c r="F28" i="35" s="1"/>
  <c r="D29" i="35"/>
  <c r="J29" i="35" s="1"/>
  <c r="D19" i="35"/>
  <c r="J19" i="35" s="1"/>
  <c r="D51" i="35"/>
  <c r="J51" i="35" s="1"/>
  <c r="D37" i="35"/>
  <c r="J37" i="35" s="1"/>
  <c r="D38" i="35"/>
  <c r="J38" i="35" s="1"/>
  <c r="D46" i="35"/>
  <c r="J46" i="35" s="1"/>
  <c r="D42" i="35"/>
  <c r="J42" i="35" s="1"/>
  <c r="D48" i="35"/>
  <c r="J48" i="35" s="1"/>
  <c r="D41" i="35"/>
  <c r="J41" i="35" s="1"/>
  <c r="D40" i="35"/>
  <c r="J40" i="35" s="1"/>
  <c r="D39" i="35"/>
  <c r="J39" i="35" s="1"/>
  <c r="D44" i="35"/>
  <c r="J44" i="35" s="1"/>
  <c r="D45" i="35"/>
  <c r="J45" i="35" s="1"/>
  <c r="D43" i="35"/>
  <c r="J43" i="35" s="1"/>
  <c r="D47" i="35"/>
  <c r="J47" i="35" s="1"/>
  <c r="D49" i="35"/>
  <c r="J49" i="35" s="1"/>
  <c r="D50" i="35"/>
  <c r="J50" i="35" s="1"/>
  <c r="D24" i="35"/>
  <c r="J24" i="35" s="1"/>
  <c r="D25" i="35"/>
  <c r="J25" i="35" s="1"/>
  <c r="D26" i="35"/>
  <c r="J26" i="35" s="1"/>
  <c r="D18" i="35"/>
  <c r="J18" i="35" s="1"/>
  <c r="D16" i="35"/>
  <c r="J16" i="35" s="1"/>
  <c r="D17" i="35"/>
  <c r="J17" i="35" s="1"/>
  <c r="D15" i="35"/>
  <c r="J15" i="35" s="1"/>
  <c r="D14" i="35"/>
  <c r="E14" i="35" s="1"/>
  <c r="D13" i="35"/>
  <c r="G13" i="35" s="1"/>
  <c r="N36" i="44" l="1"/>
  <c r="M36" i="44" s="1"/>
  <c r="M34" i="44"/>
  <c r="N50" i="43"/>
  <c r="M50" i="43" s="1"/>
  <c r="N30" i="42"/>
  <c r="M30" i="42" s="1"/>
  <c r="N30" i="39"/>
  <c r="M30" i="39" s="1"/>
  <c r="N42" i="38"/>
  <c r="M42" i="38" s="1"/>
  <c r="M40" i="38"/>
  <c r="M29" i="37"/>
  <c r="N30" i="37"/>
  <c r="M30" i="37" s="1"/>
  <c r="J28" i="37"/>
  <c r="M66" i="36"/>
  <c r="J66" i="36"/>
  <c r="I65" i="36"/>
  <c r="J27" i="35"/>
  <c r="F37" i="35"/>
  <c r="G46" i="35"/>
  <c r="H24" i="35"/>
  <c r="F45" i="35"/>
  <c r="H51" i="35"/>
  <c r="H49" i="35"/>
  <c r="E47" i="35"/>
  <c r="E50" i="35"/>
  <c r="G43" i="35"/>
  <c r="E41" i="35"/>
  <c r="H38" i="35"/>
  <c r="E25" i="35"/>
  <c r="E26" i="35"/>
  <c r="J28" i="35"/>
  <c r="E40" i="35"/>
  <c r="E39" i="35"/>
  <c r="G42" i="35"/>
  <c r="F44" i="35"/>
  <c r="H48" i="35"/>
  <c r="F16" i="35"/>
  <c r="G17" i="35"/>
  <c r="H15" i="35"/>
  <c r="D12" i="35"/>
  <c r="J13" i="35"/>
  <c r="J14" i="35"/>
  <c r="D11" i="35"/>
  <c r="D10" i="35"/>
  <c r="N31" i="37" l="1"/>
  <c r="M31" i="37" s="1"/>
  <c r="M68" i="36"/>
  <c r="L68" i="36" s="1"/>
  <c r="I66" i="36"/>
  <c r="M67" i="36"/>
  <c r="L66" i="36"/>
  <c r="J12" i="35"/>
  <c r="E12" i="35"/>
  <c r="G10" i="35"/>
  <c r="J10" i="35"/>
  <c r="E11" i="35"/>
  <c r="J11" i="35"/>
  <c r="D34" i="35"/>
  <c r="D35" i="35"/>
  <c r="D36" i="35"/>
  <c r="D33" i="35"/>
  <c r="D32" i="35"/>
  <c r="D31" i="35"/>
  <c r="D7" i="35"/>
  <c r="J7" i="35" s="1"/>
  <c r="D8" i="35"/>
  <c r="J8" i="35" s="1"/>
  <c r="D9" i="35"/>
  <c r="C61" i="35"/>
  <c r="D23" i="35"/>
  <c r="D6" i="35"/>
  <c r="F6" i="35" s="1"/>
  <c r="E120" i="34"/>
  <c r="E119" i="34"/>
  <c r="H118" i="34"/>
  <c r="H117" i="34"/>
  <c r="G116" i="34"/>
  <c r="M120" i="34"/>
  <c r="L120" i="34"/>
  <c r="E115" i="34"/>
  <c r="M69" i="36" l="1"/>
  <c r="L69" i="36" s="1"/>
  <c r="L67" i="36"/>
  <c r="J9" i="35"/>
  <c r="H9" i="35"/>
  <c r="J32" i="35"/>
  <c r="G32" i="35"/>
  <c r="J31" i="35"/>
  <c r="G31" i="35"/>
  <c r="J33" i="35"/>
  <c r="F33" i="35"/>
  <c r="J36" i="35"/>
  <c r="F36" i="35"/>
  <c r="J35" i="35"/>
  <c r="F35" i="35"/>
  <c r="J34" i="35"/>
  <c r="F34" i="35"/>
  <c r="F8" i="35"/>
  <c r="F7" i="35"/>
  <c r="D61" i="35"/>
  <c r="E23" i="35"/>
  <c r="J23" i="35"/>
  <c r="J6" i="35"/>
  <c r="J117" i="34"/>
  <c r="J118" i="34"/>
  <c r="J119" i="34"/>
  <c r="J120" i="34"/>
  <c r="D117" i="34"/>
  <c r="D118" i="34"/>
  <c r="D119" i="34"/>
  <c r="D120" i="34"/>
  <c r="D116" i="34"/>
  <c r="J116" i="34"/>
  <c r="D115" i="34"/>
  <c r="J115" i="34" s="1"/>
  <c r="D114" i="34"/>
  <c r="G114" i="34" s="1"/>
  <c r="D60" i="34"/>
  <c r="J60" i="34" s="1"/>
  <c r="D108" i="34"/>
  <c r="J108" i="34" s="1"/>
  <c r="D109" i="34"/>
  <c r="J109" i="34" s="1"/>
  <c r="D110" i="34"/>
  <c r="J110" i="34" s="1"/>
  <c r="D111" i="34"/>
  <c r="J111" i="34" s="1"/>
  <c r="D112" i="34"/>
  <c r="J112" i="34" s="1"/>
  <c r="D113" i="34"/>
  <c r="J113" i="34" s="1"/>
  <c r="D54" i="34"/>
  <c r="G54" i="34" s="1"/>
  <c r="D55" i="34"/>
  <c r="E55" i="34" s="1"/>
  <c r="D56" i="34"/>
  <c r="H56" i="34" s="1"/>
  <c r="D57" i="34"/>
  <c r="E57" i="34" s="1"/>
  <c r="D58" i="34"/>
  <c r="G58" i="34" s="1"/>
  <c r="D59" i="34"/>
  <c r="H59" i="34" s="1"/>
  <c r="D44" i="34"/>
  <c r="F44" i="34" s="1"/>
  <c r="D45" i="34"/>
  <c r="H45" i="34" s="1"/>
  <c r="D46" i="34"/>
  <c r="F46" i="34" s="1"/>
  <c r="D47" i="34"/>
  <c r="G47" i="34" s="1"/>
  <c r="D48" i="34"/>
  <c r="F48" i="34" s="1"/>
  <c r="D49" i="34"/>
  <c r="F49" i="34" s="1"/>
  <c r="D50" i="34"/>
  <c r="F50" i="34" s="1"/>
  <c r="D51" i="34"/>
  <c r="J51" i="34" s="1"/>
  <c r="D52" i="34"/>
  <c r="H52" i="34" s="1"/>
  <c r="D53" i="34"/>
  <c r="E53" i="34" s="1"/>
  <c r="D100" i="34"/>
  <c r="J100" i="34" s="1"/>
  <c r="D101" i="34"/>
  <c r="F101" i="34" s="1"/>
  <c r="D102" i="34"/>
  <c r="J102" i="34" s="1"/>
  <c r="D103" i="34"/>
  <c r="J103" i="34" s="1"/>
  <c r="D104" i="34"/>
  <c r="J104" i="34" s="1"/>
  <c r="D105" i="34"/>
  <c r="J105" i="34" s="1"/>
  <c r="D106" i="34"/>
  <c r="J106" i="34" s="1"/>
  <c r="D107" i="34"/>
  <c r="J107" i="34" s="1"/>
  <c r="D41" i="34"/>
  <c r="J41" i="34" s="1"/>
  <c r="D42" i="34"/>
  <c r="E42" i="34" s="1"/>
  <c r="D43" i="34"/>
  <c r="E43" i="34" s="1"/>
  <c r="D84" i="34"/>
  <c r="J84" i="34" s="1"/>
  <c r="D85" i="34"/>
  <c r="J85" i="34" s="1"/>
  <c r="D86" i="34"/>
  <c r="J86" i="34" s="1"/>
  <c r="D87" i="34"/>
  <c r="J87" i="34" s="1"/>
  <c r="D88" i="34"/>
  <c r="J88" i="34" s="1"/>
  <c r="D89" i="34"/>
  <c r="J89" i="34" s="1"/>
  <c r="D90" i="34"/>
  <c r="J90" i="34" s="1"/>
  <c r="D91" i="34"/>
  <c r="J91" i="34" s="1"/>
  <c r="D92" i="34"/>
  <c r="J92" i="34" s="1"/>
  <c r="D93" i="34"/>
  <c r="J93" i="34" s="1"/>
  <c r="D94" i="34"/>
  <c r="J94" i="34" s="1"/>
  <c r="D95" i="34"/>
  <c r="J95" i="34" s="1"/>
  <c r="D96" i="34"/>
  <c r="J96" i="34" s="1"/>
  <c r="D97" i="34"/>
  <c r="J97" i="34" s="1"/>
  <c r="D98" i="34"/>
  <c r="J98" i="34" s="1"/>
  <c r="D99" i="34"/>
  <c r="J99" i="34" s="1"/>
  <c r="D39" i="34"/>
  <c r="J39" i="34" s="1"/>
  <c r="D38" i="34"/>
  <c r="G38" i="34" s="1"/>
  <c r="D40" i="34"/>
  <c r="H40" i="34" s="1"/>
  <c r="D83" i="34"/>
  <c r="J83" i="34" s="1"/>
  <c r="D34" i="34"/>
  <c r="J34" i="34" s="1"/>
  <c r="D77" i="34"/>
  <c r="J77" i="34" s="1"/>
  <c r="D78" i="34"/>
  <c r="J78" i="34" s="1"/>
  <c r="D79" i="34"/>
  <c r="J79" i="34" s="1"/>
  <c r="D80" i="34"/>
  <c r="J80" i="34" s="1"/>
  <c r="D81" i="34"/>
  <c r="J81" i="34" s="1"/>
  <c r="D82" i="34"/>
  <c r="J82" i="34" s="1"/>
  <c r="D37" i="34"/>
  <c r="E37" i="34" s="1"/>
  <c r="D33" i="34"/>
  <c r="J33" i="34" s="1"/>
  <c r="D22" i="34"/>
  <c r="J22" i="34" s="1"/>
  <c r="D23" i="34"/>
  <c r="J23" i="34" s="1"/>
  <c r="D24" i="34"/>
  <c r="D25" i="34"/>
  <c r="J25" i="34" s="1"/>
  <c r="D26" i="34"/>
  <c r="J26" i="34" s="1"/>
  <c r="D27" i="34"/>
  <c r="J27" i="34" s="1"/>
  <c r="D28" i="34"/>
  <c r="J28" i="34" s="1"/>
  <c r="D29" i="34"/>
  <c r="J29" i="34" s="1"/>
  <c r="D30" i="34"/>
  <c r="J30" i="34" s="1"/>
  <c r="D31" i="34"/>
  <c r="J31" i="34" s="1"/>
  <c r="D35" i="34"/>
  <c r="J35" i="34" s="1"/>
  <c r="D36" i="34"/>
  <c r="J36" i="34" s="1"/>
  <c r="D32" i="34"/>
  <c r="J32" i="34" s="1"/>
  <c r="D21" i="34"/>
  <c r="J21" i="34" s="1"/>
  <c r="D20" i="34"/>
  <c r="J20" i="34" s="1"/>
  <c r="D76" i="34"/>
  <c r="J76" i="34" s="1"/>
  <c r="D75" i="34"/>
  <c r="J75" i="34" s="1"/>
  <c r="E13" i="28"/>
  <c r="D13" i="28"/>
  <c r="E8" i="28"/>
  <c r="D8" i="28"/>
  <c r="E9" i="28"/>
  <c r="D9" i="28"/>
  <c r="E10" i="28"/>
  <c r="D10" i="28"/>
  <c r="E11" i="28"/>
  <c r="D11" i="28"/>
  <c r="E12" i="28"/>
  <c r="D12" i="28"/>
  <c r="C123" i="34"/>
  <c r="H61" i="35" l="1"/>
  <c r="H62" i="35" s="1"/>
  <c r="G61" i="35"/>
  <c r="G62" i="35" s="1"/>
  <c r="J61" i="35"/>
  <c r="F61" i="35"/>
  <c r="F62" i="35" s="1"/>
  <c r="E61" i="35"/>
  <c r="J24" i="34"/>
  <c r="L119" i="34" s="1"/>
  <c r="M119" i="34"/>
  <c r="E112" i="34"/>
  <c r="F110" i="34"/>
  <c r="F111" i="34"/>
  <c r="J59" i="34"/>
  <c r="F109" i="34"/>
  <c r="F108" i="34"/>
  <c r="E113" i="34"/>
  <c r="J114" i="34"/>
  <c r="J58" i="34"/>
  <c r="J57" i="34"/>
  <c r="J56" i="34"/>
  <c r="J55" i="34"/>
  <c r="J54" i="34"/>
  <c r="J50" i="34"/>
  <c r="F104" i="34"/>
  <c r="J49" i="34"/>
  <c r="J48" i="34"/>
  <c r="F103" i="34"/>
  <c r="J47" i="34"/>
  <c r="J46" i="34"/>
  <c r="E107" i="34"/>
  <c r="H105" i="34"/>
  <c r="F102" i="34"/>
  <c r="J45" i="34"/>
  <c r="H106" i="34"/>
  <c r="J44" i="34"/>
  <c r="J53" i="34"/>
  <c r="J101" i="34"/>
  <c r="E51" i="34"/>
  <c r="J52" i="34"/>
  <c r="E100" i="34"/>
  <c r="F91" i="34"/>
  <c r="F94" i="34"/>
  <c r="H99" i="34"/>
  <c r="F98" i="34"/>
  <c r="F97" i="34"/>
  <c r="F96" i="34"/>
  <c r="F95" i="34"/>
  <c r="F93" i="34"/>
  <c r="F92" i="34"/>
  <c r="J43" i="34"/>
  <c r="J42" i="34"/>
  <c r="H90" i="34"/>
  <c r="F86" i="34"/>
  <c r="E41" i="34"/>
  <c r="F85" i="34"/>
  <c r="F84" i="34"/>
  <c r="E87" i="34"/>
  <c r="E89" i="34"/>
  <c r="E88" i="34"/>
  <c r="J38" i="34"/>
  <c r="J37" i="34"/>
  <c r="G81" i="34"/>
  <c r="F82" i="34"/>
  <c r="F83" i="34"/>
  <c r="F80" i="34"/>
  <c r="F79" i="34"/>
  <c r="F78" i="34"/>
  <c r="G77" i="34"/>
  <c r="F34" i="34"/>
  <c r="G35" i="34"/>
  <c r="F36" i="34"/>
  <c r="J40" i="34"/>
  <c r="G39" i="34"/>
  <c r="E25" i="34"/>
  <c r="E75" i="34"/>
  <c r="H76" i="34"/>
  <c r="E23" i="34"/>
  <c r="G27" i="34"/>
  <c r="G28" i="34"/>
  <c r="F29" i="34"/>
  <c r="G30" i="34"/>
  <c r="G31" i="34"/>
  <c r="F32" i="34"/>
  <c r="G33" i="34"/>
  <c r="G21" i="34"/>
  <c r="H20" i="34"/>
  <c r="E24" i="34"/>
  <c r="E22" i="34"/>
  <c r="E26" i="34"/>
  <c r="D70" i="34"/>
  <c r="E70" i="34" s="1"/>
  <c r="D71" i="34"/>
  <c r="E71" i="34" s="1"/>
  <c r="D72" i="34"/>
  <c r="E72" i="34" s="1"/>
  <c r="D73" i="34"/>
  <c r="J73" i="34" s="1"/>
  <c r="D74" i="34"/>
  <c r="J74" i="34" s="1"/>
  <c r="D69" i="34"/>
  <c r="E69" i="34" s="1"/>
  <c r="D19" i="34"/>
  <c r="D67" i="34"/>
  <c r="J67" i="34" s="1"/>
  <c r="D68" i="34"/>
  <c r="J68" i="34" s="1"/>
  <c r="D66" i="34"/>
  <c r="H66" i="34" s="1"/>
  <c r="D65" i="34"/>
  <c r="H65" i="34" s="1"/>
  <c r="D64" i="34"/>
  <c r="J64" i="34" s="1"/>
  <c r="D18" i="34"/>
  <c r="H18" i="34" s="1"/>
  <c r="D17" i="34"/>
  <c r="H17" i="34" s="1"/>
  <c r="D16" i="34"/>
  <c r="G16" i="34" s="1"/>
  <c r="D15" i="34"/>
  <c r="G15" i="34" s="1"/>
  <c r="D14" i="34"/>
  <c r="D13" i="34"/>
  <c r="D12" i="34"/>
  <c r="G12" i="34" s="1"/>
  <c r="D11" i="34"/>
  <c r="D10" i="34"/>
  <c r="H10" i="34" s="1"/>
  <c r="D9" i="34"/>
  <c r="D8" i="34"/>
  <c r="D7" i="34"/>
  <c r="D6" i="34"/>
  <c r="D71" i="33"/>
  <c r="J71" i="33" s="1"/>
  <c r="D72" i="33"/>
  <c r="J72" i="33" s="1"/>
  <c r="D73" i="33"/>
  <c r="J73" i="33" s="1"/>
  <c r="D68" i="33"/>
  <c r="J68" i="33" s="1"/>
  <c r="D69" i="33"/>
  <c r="J69" i="33" s="1"/>
  <c r="D70" i="33"/>
  <c r="J70" i="33" s="1"/>
  <c r="D37" i="33"/>
  <c r="E37" i="33" s="1"/>
  <c r="D36" i="33"/>
  <c r="F36" i="33" s="1"/>
  <c r="D35" i="33"/>
  <c r="F35" i="33" s="1"/>
  <c r="D34" i="33"/>
  <c r="E34" i="33" s="1"/>
  <c r="D33" i="33"/>
  <c r="E33" i="33" s="1"/>
  <c r="D67" i="33"/>
  <c r="E67" i="33" s="1"/>
  <c r="D32" i="33"/>
  <c r="J32" i="33" s="1"/>
  <c r="D25" i="33"/>
  <c r="J25" i="33" s="1"/>
  <c r="D26" i="33"/>
  <c r="F26" i="33" s="1"/>
  <c r="D27" i="33"/>
  <c r="J27" i="33" s="1"/>
  <c r="D28" i="33"/>
  <c r="J28" i="33" s="1"/>
  <c r="D29" i="33"/>
  <c r="J29" i="33" s="1"/>
  <c r="D30" i="33"/>
  <c r="J30" i="33" s="1"/>
  <c r="D31" i="33"/>
  <c r="G31" i="33" s="1"/>
  <c r="D24" i="33"/>
  <c r="J24" i="33" s="1"/>
  <c r="D22" i="33"/>
  <c r="J22" i="33" s="1"/>
  <c r="D23" i="33"/>
  <c r="J23" i="33" s="1"/>
  <c r="D65" i="33"/>
  <c r="E65" i="33" s="1"/>
  <c r="D66" i="33"/>
  <c r="J66" i="33" s="1"/>
  <c r="D64" i="33"/>
  <c r="F64" i="33" s="1"/>
  <c r="D21" i="33"/>
  <c r="J21" i="33" s="1"/>
  <c r="D16" i="33"/>
  <c r="J16" i="33" s="1"/>
  <c r="D17" i="33"/>
  <c r="J17" i="33" s="1"/>
  <c r="D18" i="33"/>
  <c r="J18" i="33" s="1"/>
  <c r="D19" i="33"/>
  <c r="E19" i="33" s="1"/>
  <c r="D20" i="33"/>
  <c r="E20" i="33" s="1"/>
  <c r="E62" i="35" l="1"/>
  <c r="I61" i="35"/>
  <c r="M62" i="35"/>
  <c r="J62" i="35"/>
  <c r="E19" i="34"/>
  <c r="J19" i="34"/>
  <c r="D123" i="34"/>
  <c r="D15" i="28" s="1"/>
  <c r="J72" i="34"/>
  <c r="J71" i="34"/>
  <c r="J69" i="34"/>
  <c r="J70" i="34"/>
  <c r="F74" i="34"/>
  <c r="G64" i="34"/>
  <c r="H68" i="34"/>
  <c r="H67" i="34"/>
  <c r="F73" i="34"/>
  <c r="J6" i="34"/>
  <c r="E6" i="34"/>
  <c r="J8" i="34"/>
  <c r="E8" i="34"/>
  <c r="J9" i="34"/>
  <c r="G9" i="34"/>
  <c r="J10" i="34"/>
  <c r="J11" i="34"/>
  <c r="G11" i="34"/>
  <c r="J12" i="34"/>
  <c r="J13" i="34"/>
  <c r="G13" i="34"/>
  <c r="J14" i="34"/>
  <c r="G14" i="34"/>
  <c r="J15" i="34"/>
  <c r="J16" i="34"/>
  <c r="J17" i="34"/>
  <c r="J18" i="34"/>
  <c r="J7" i="34"/>
  <c r="E7" i="34"/>
  <c r="J65" i="34"/>
  <c r="J66" i="34"/>
  <c r="F68" i="33"/>
  <c r="E71" i="33"/>
  <c r="F70" i="33"/>
  <c r="E73" i="33"/>
  <c r="F69" i="33"/>
  <c r="E72" i="33"/>
  <c r="E32" i="33"/>
  <c r="J37" i="33"/>
  <c r="J36" i="33"/>
  <c r="J35" i="33"/>
  <c r="J34" i="33"/>
  <c r="J33" i="33"/>
  <c r="F25" i="33"/>
  <c r="J31" i="33"/>
  <c r="J26" i="33"/>
  <c r="G24" i="33"/>
  <c r="F29" i="33"/>
  <c r="F28" i="33"/>
  <c r="F27" i="33"/>
  <c r="G30" i="33"/>
  <c r="J67" i="33"/>
  <c r="G16" i="33"/>
  <c r="F17" i="33"/>
  <c r="J20" i="33"/>
  <c r="J19" i="33"/>
  <c r="F18" i="33"/>
  <c r="J65" i="33"/>
  <c r="J64" i="33"/>
  <c r="E22" i="33"/>
  <c r="G23" i="33"/>
  <c r="E66" i="33"/>
  <c r="E21" i="33"/>
  <c r="D58" i="33"/>
  <c r="F58" i="33" s="1"/>
  <c r="D59" i="33"/>
  <c r="F59" i="33" s="1"/>
  <c r="D60" i="33"/>
  <c r="F60" i="33" s="1"/>
  <c r="D61" i="33"/>
  <c r="E61" i="33" s="1"/>
  <c r="D62" i="33"/>
  <c r="E62" i="33" s="1"/>
  <c r="D63" i="33"/>
  <c r="F63" i="33" s="1"/>
  <c r="D56" i="33"/>
  <c r="D57" i="33"/>
  <c r="E57" i="33" s="1"/>
  <c r="D52" i="33"/>
  <c r="E52" i="33" s="1"/>
  <c r="D53" i="33"/>
  <c r="E53" i="33" s="1"/>
  <c r="D54" i="33"/>
  <c r="J54" i="33" s="1"/>
  <c r="D55" i="33"/>
  <c r="F55" i="33" s="1"/>
  <c r="D8" i="33"/>
  <c r="J8" i="33" s="1"/>
  <c r="D9" i="33"/>
  <c r="J9" i="33" s="1"/>
  <c r="D10" i="33"/>
  <c r="E10" i="33" s="1"/>
  <c r="D11" i="33"/>
  <c r="J11" i="33" s="1"/>
  <c r="D12" i="33"/>
  <c r="J12" i="33" s="1"/>
  <c r="D13" i="33"/>
  <c r="E13" i="33" s="1"/>
  <c r="D14" i="33"/>
  <c r="J14" i="33" s="1"/>
  <c r="D15" i="33"/>
  <c r="J15" i="33" s="1"/>
  <c r="D43" i="33"/>
  <c r="J43" i="33" s="1"/>
  <c r="D44" i="33"/>
  <c r="J44" i="33" s="1"/>
  <c r="D45" i="33"/>
  <c r="J45" i="33" s="1"/>
  <c r="D46" i="33"/>
  <c r="J46" i="33" s="1"/>
  <c r="D47" i="33"/>
  <c r="F47" i="33" s="1"/>
  <c r="D48" i="33"/>
  <c r="J48" i="33" s="1"/>
  <c r="D49" i="33"/>
  <c r="F49" i="33" s="1"/>
  <c r="D50" i="33"/>
  <c r="J50" i="33" s="1"/>
  <c r="D51" i="33"/>
  <c r="J51" i="33" s="1"/>
  <c r="C76" i="33"/>
  <c r="D42" i="33"/>
  <c r="J42" i="33" s="1"/>
  <c r="D7" i="33"/>
  <c r="F7" i="33" s="1"/>
  <c r="D6" i="33"/>
  <c r="G53" i="32"/>
  <c r="G54" i="32"/>
  <c r="G55" i="32"/>
  <c r="G52" i="32"/>
  <c r="F51" i="32"/>
  <c r="D48" i="32"/>
  <c r="F48" i="32" s="1"/>
  <c r="D49" i="32"/>
  <c r="F49" i="32" s="1"/>
  <c r="D50" i="32"/>
  <c r="K50" i="32" s="1"/>
  <c r="D51" i="32"/>
  <c r="K51" i="32" s="1"/>
  <c r="D52" i="32"/>
  <c r="K52" i="32" s="1"/>
  <c r="D53" i="32"/>
  <c r="K53" i="32" s="1"/>
  <c r="D54" i="32"/>
  <c r="K54" i="32" s="1"/>
  <c r="D55" i="32"/>
  <c r="K55" i="32" s="1"/>
  <c r="D40" i="32"/>
  <c r="K40" i="32" s="1"/>
  <c r="D39" i="32"/>
  <c r="K39" i="32" s="1"/>
  <c r="M63" i="35" l="1"/>
  <c r="L62" i="35"/>
  <c r="M64" i="35"/>
  <c r="L64" i="35" s="1"/>
  <c r="I62" i="35"/>
  <c r="J123" i="34"/>
  <c r="F123" i="34"/>
  <c r="F124" i="34" s="1"/>
  <c r="H123" i="34"/>
  <c r="H124" i="34" s="1"/>
  <c r="E123" i="34"/>
  <c r="G123" i="34"/>
  <c r="G124" i="34" s="1"/>
  <c r="G76" i="33"/>
  <c r="G77" i="33" s="1"/>
  <c r="J6" i="33"/>
  <c r="D76" i="33"/>
  <c r="F50" i="32"/>
  <c r="K49" i="32"/>
  <c r="K48" i="32"/>
  <c r="J63" i="33"/>
  <c r="J52" i="33"/>
  <c r="J62" i="33"/>
  <c r="J61" i="33"/>
  <c r="J60" i="33"/>
  <c r="J59" i="33"/>
  <c r="J56" i="33"/>
  <c r="E56" i="33"/>
  <c r="J58" i="33"/>
  <c r="F48" i="33"/>
  <c r="E51" i="33"/>
  <c r="F44" i="33"/>
  <c r="F8" i="33"/>
  <c r="E15" i="33"/>
  <c r="E43" i="33"/>
  <c r="F14" i="33"/>
  <c r="F42" i="33"/>
  <c r="J10" i="33"/>
  <c r="E12" i="33"/>
  <c r="E11" i="33"/>
  <c r="E45" i="33"/>
  <c r="J53" i="33"/>
  <c r="E54" i="33"/>
  <c r="F6" i="33"/>
  <c r="J55" i="33"/>
  <c r="E46" i="33"/>
  <c r="F9" i="33"/>
  <c r="F50" i="33"/>
  <c r="J47" i="33"/>
  <c r="J13" i="33"/>
  <c r="J7" i="33"/>
  <c r="J57" i="33"/>
  <c r="H76" i="33"/>
  <c r="H77" i="33" s="1"/>
  <c r="J49" i="33"/>
  <c r="D29" i="32"/>
  <c r="G29" i="32" s="1"/>
  <c r="D30" i="32"/>
  <c r="D31" i="32"/>
  <c r="D32" i="32"/>
  <c r="D33" i="32"/>
  <c r="G33" i="32" s="1"/>
  <c r="D34" i="32"/>
  <c r="G34" i="32" s="1"/>
  <c r="D35" i="32"/>
  <c r="K35" i="32" s="1"/>
  <c r="D36" i="32"/>
  <c r="K36" i="32" s="1"/>
  <c r="D37" i="32"/>
  <c r="K37" i="32" s="1"/>
  <c r="D38" i="32"/>
  <c r="K38" i="32" s="1"/>
  <c r="K61" i="31"/>
  <c r="D18" i="32"/>
  <c r="G18" i="32" s="1"/>
  <c r="D19" i="32"/>
  <c r="K19" i="32" s="1"/>
  <c r="D20" i="32"/>
  <c r="G20" i="32" s="1"/>
  <c r="D21" i="32"/>
  <c r="G21" i="32" s="1"/>
  <c r="D22" i="32"/>
  <c r="G22" i="32" s="1"/>
  <c r="D23" i="32"/>
  <c r="K23" i="32" s="1"/>
  <c r="D24" i="32"/>
  <c r="K24" i="32" s="1"/>
  <c r="D25" i="32"/>
  <c r="F25" i="32" s="1"/>
  <c r="D26" i="32"/>
  <c r="F26" i="32" s="1"/>
  <c r="D27" i="32"/>
  <c r="D28" i="32"/>
  <c r="G28" i="32" s="1"/>
  <c r="M65" i="35" l="1"/>
  <c r="L65" i="35" s="1"/>
  <c r="L63" i="35"/>
  <c r="D14" i="28"/>
  <c r="M124" i="34"/>
  <c r="E15" i="28" s="1"/>
  <c r="J124" i="34"/>
  <c r="I123" i="34"/>
  <c r="K33" i="32"/>
  <c r="K27" i="32"/>
  <c r="F27" i="32"/>
  <c r="K34" i="32"/>
  <c r="K29" i="32"/>
  <c r="E76" i="33"/>
  <c r="E77" i="33" s="1"/>
  <c r="J76" i="33"/>
  <c r="M77" i="33" s="1"/>
  <c r="E14" i="28" s="1"/>
  <c r="F76" i="33"/>
  <c r="F77" i="33" s="1"/>
  <c r="K31" i="32"/>
  <c r="G31" i="32"/>
  <c r="K30" i="32"/>
  <c r="G30" i="32"/>
  <c r="K32" i="32"/>
  <c r="G32" i="32"/>
  <c r="F19" i="32"/>
  <c r="K22" i="32"/>
  <c r="K21" i="32"/>
  <c r="K20" i="32"/>
  <c r="K18" i="32"/>
  <c r="G24" i="32"/>
  <c r="K28" i="32"/>
  <c r="F23" i="32"/>
  <c r="K26" i="32"/>
  <c r="K25" i="32"/>
  <c r="D17" i="32"/>
  <c r="D13" i="32"/>
  <c r="I13" i="32" s="1"/>
  <c r="D16" i="32"/>
  <c r="D12" i="32"/>
  <c r="D15" i="32"/>
  <c r="D14" i="32"/>
  <c r="I14" i="32" s="1"/>
  <c r="D44" i="32"/>
  <c r="D45" i="32"/>
  <c r="F45" i="32" s="1"/>
  <c r="D46" i="32"/>
  <c r="D47" i="32"/>
  <c r="D43" i="32"/>
  <c r="K43" i="32" s="1"/>
  <c r="D8" i="32"/>
  <c r="G8" i="32" s="1"/>
  <c r="D9" i="32"/>
  <c r="G9" i="32" s="1"/>
  <c r="D10" i="32"/>
  <c r="G10" i="32" s="1"/>
  <c r="D11" i="32"/>
  <c r="K11" i="32" s="1"/>
  <c r="D7" i="32"/>
  <c r="K7" i="32" s="1"/>
  <c r="C58" i="32"/>
  <c r="D6" i="32"/>
  <c r="K6" i="32" s="1"/>
  <c r="H42" i="31"/>
  <c r="I39" i="31"/>
  <c r="I40" i="31"/>
  <c r="I41" i="31"/>
  <c r="I38" i="31"/>
  <c r="F36" i="31"/>
  <c r="F37" i="31"/>
  <c r="F35" i="31"/>
  <c r="H32" i="31"/>
  <c r="H33" i="31"/>
  <c r="H34" i="31"/>
  <c r="K42" i="31"/>
  <c r="D42" i="31"/>
  <c r="K39" i="31"/>
  <c r="D32" i="31"/>
  <c r="K32" i="31" s="1"/>
  <c r="D33" i="31"/>
  <c r="K33" i="31" s="1"/>
  <c r="D34" i="31"/>
  <c r="K34" i="31" s="1"/>
  <c r="D35" i="31"/>
  <c r="K35" i="31" s="1"/>
  <c r="D36" i="31"/>
  <c r="K36" i="31" s="1"/>
  <c r="D37" i="31"/>
  <c r="K37" i="31" s="1"/>
  <c r="D38" i="31"/>
  <c r="K38" i="31" s="1"/>
  <c r="D39" i="31"/>
  <c r="D40" i="31"/>
  <c r="K40" i="31" s="1"/>
  <c r="D41" i="31"/>
  <c r="K41" i="31" s="1"/>
  <c r="D31" i="31"/>
  <c r="H31" i="31" s="1"/>
  <c r="D30" i="31"/>
  <c r="K30" i="31" s="1"/>
  <c r="D29" i="31"/>
  <c r="K29" i="31" s="1"/>
  <c r="D28" i="31"/>
  <c r="K28" i="31" s="1"/>
  <c r="D27" i="31"/>
  <c r="K27" i="31" s="1"/>
  <c r="D26" i="31"/>
  <c r="K26" i="31" s="1"/>
  <c r="D25" i="31"/>
  <c r="K25" i="31" s="1"/>
  <c r="D24" i="31"/>
  <c r="K24" i="31" s="1"/>
  <c r="D23" i="31"/>
  <c r="K23" i="31" s="1"/>
  <c r="M126" i="34" l="1"/>
  <c r="L126" i="34" s="1"/>
  <c r="I124" i="34"/>
  <c r="M125" i="34"/>
  <c r="L124" i="34"/>
  <c r="G43" i="32"/>
  <c r="G44" i="32"/>
  <c r="J77" i="33"/>
  <c r="I76" i="33"/>
  <c r="M78" i="33"/>
  <c r="L77" i="33"/>
  <c r="K16" i="32"/>
  <c r="F16" i="32"/>
  <c r="K47" i="32"/>
  <c r="F47" i="32"/>
  <c r="K46" i="32"/>
  <c r="F46" i="32"/>
  <c r="K17" i="32"/>
  <c r="I17" i="32"/>
  <c r="K13" i="32"/>
  <c r="K44" i="32"/>
  <c r="K12" i="32"/>
  <c r="F12" i="32"/>
  <c r="K45" i="32"/>
  <c r="K15" i="32"/>
  <c r="I15" i="32"/>
  <c r="K14" i="32"/>
  <c r="F6" i="32"/>
  <c r="K10" i="32"/>
  <c r="K8" i="32"/>
  <c r="F7" i="32"/>
  <c r="K9" i="32"/>
  <c r="G11" i="32"/>
  <c r="D58" i="32"/>
  <c r="K31" i="31"/>
  <c r="I23" i="31"/>
  <c r="H25" i="31"/>
  <c r="F24" i="31"/>
  <c r="H26" i="31"/>
  <c r="F27" i="31"/>
  <c r="F28" i="31"/>
  <c r="H29" i="31"/>
  <c r="H30" i="31"/>
  <c r="D51" i="31"/>
  <c r="I51" i="31" s="1"/>
  <c r="D52" i="31"/>
  <c r="H52" i="31" s="1"/>
  <c r="D22" i="31"/>
  <c r="D21" i="31"/>
  <c r="I21" i="31" s="1"/>
  <c r="D50" i="31"/>
  <c r="D20" i="31"/>
  <c r="F20" i="31" s="1"/>
  <c r="D19" i="31"/>
  <c r="H19" i="31" s="1"/>
  <c r="D18" i="31"/>
  <c r="K18" i="31" s="1"/>
  <c r="D14" i="31"/>
  <c r="F14" i="31" s="1"/>
  <c r="D15" i="31"/>
  <c r="I15" i="31" s="1"/>
  <c r="D16" i="31"/>
  <c r="F16" i="31" s="1"/>
  <c r="D17" i="31"/>
  <c r="I17" i="31" s="1"/>
  <c r="D13" i="31"/>
  <c r="I13" i="31" s="1"/>
  <c r="D12" i="31"/>
  <c r="H12" i="31" s="1"/>
  <c r="D8" i="31"/>
  <c r="K8" i="31" s="1"/>
  <c r="D9" i="31"/>
  <c r="K9" i="31" s="1"/>
  <c r="D10" i="31"/>
  <c r="K10" i="31" s="1"/>
  <c r="D11" i="31"/>
  <c r="K11" i="31" s="1"/>
  <c r="D6" i="31"/>
  <c r="F6" i="31" s="1"/>
  <c r="D7" i="31"/>
  <c r="K7" i="31" s="1"/>
  <c r="H13" i="30"/>
  <c r="I12" i="30"/>
  <c r="D56" i="31"/>
  <c r="K56" i="31" s="1"/>
  <c r="D49" i="31"/>
  <c r="C60" i="31"/>
  <c r="G60" i="31"/>
  <c r="G61" i="31" s="1"/>
  <c r="D45" i="31"/>
  <c r="B50" i="30"/>
  <c r="B34" i="30"/>
  <c r="C98" i="29"/>
  <c r="D27" i="30"/>
  <c r="K27" i="30" s="1"/>
  <c r="D46" i="30"/>
  <c r="H46" i="30" s="1"/>
  <c r="D24" i="30"/>
  <c r="K24" i="30" s="1"/>
  <c r="D25" i="30"/>
  <c r="K25" i="30" s="1"/>
  <c r="D26" i="30"/>
  <c r="K26" i="30" s="1"/>
  <c r="D45" i="30"/>
  <c r="K45" i="30" s="1"/>
  <c r="D44" i="30"/>
  <c r="K44" i="30" s="1"/>
  <c r="D41" i="30"/>
  <c r="K41" i="30" s="1"/>
  <c r="D42" i="30"/>
  <c r="K42" i="30" s="1"/>
  <c r="D43" i="30"/>
  <c r="K43" i="30" s="1"/>
  <c r="D23" i="30"/>
  <c r="K23" i="30" s="1"/>
  <c r="D22" i="30"/>
  <c r="K22" i="30" s="1"/>
  <c r="D17" i="30"/>
  <c r="K17" i="30" s="1"/>
  <c r="D18" i="30"/>
  <c r="K18" i="30" s="1"/>
  <c r="D16" i="30"/>
  <c r="K16" i="30" s="1"/>
  <c r="D20" i="30"/>
  <c r="K20" i="30" s="1"/>
  <c r="D21" i="30"/>
  <c r="K21" i="30" s="1"/>
  <c r="D19" i="30"/>
  <c r="K19" i="30" s="1"/>
  <c r="D14" i="30"/>
  <c r="K14" i="30" s="1"/>
  <c r="D15" i="30"/>
  <c r="K15" i="30" s="1"/>
  <c r="D12" i="30"/>
  <c r="K12" i="30" s="1"/>
  <c r="D13" i="30"/>
  <c r="K13" i="30" s="1"/>
  <c r="M127" i="34" l="1"/>
  <c r="L127" i="34" s="1"/>
  <c r="L125" i="34"/>
  <c r="I58" i="32"/>
  <c r="I59" i="32" s="1"/>
  <c r="L78" i="33"/>
  <c r="M79" i="33"/>
  <c r="L79" i="33" s="1"/>
  <c r="I77" i="33"/>
  <c r="G58" i="32"/>
  <c r="G59" i="32" s="1"/>
  <c r="K58" i="32"/>
  <c r="N59" i="32" s="1"/>
  <c r="F58" i="32"/>
  <c r="F59" i="32" s="1"/>
  <c r="H58" i="32"/>
  <c r="H59" i="32" s="1"/>
  <c r="K49" i="31"/>
  <c r="F49" i="31"/>
  <c r="K50" i="31"/>
  <c r="F50" i="31"/>
  <c r="K22" i="31"/>
  <c r="H22" i="31"/>
  <c r="K21" i="31"/>
  <c r="K52" i="31"/>
  <c r="K51" i="31"/>
  <c r="K20" i="31"/>
  <c r="K17" i="31"/>
  <c r="K16" i="31"/>
  <c r="K15" i="31"/>
  <c r="K19" i="31"/>
  <c r="K14" i="31"/>
  <c r="H18" i="31"/>
  <c r="K13" i="31"/>
  <c r="K12" i="31"/>
  <c r="I8" i="31"/>
  <c r="H9" i="31"/>
  <c r="H11" i="31"/>
  <c r="F10" i="31"/>
  <c r="F60" i="31" s="1"/>
  <c r="I7" i="31"/>
  <c r="D60" i="31"/>
  <c r="K6" i="31"/>
  <c r="K45" i="31"/>
  <c r="F25" i="30"/>
  <c r="F27" i="30"/>
  <c r="K46" i="30"/>
  <c r="I24" i="30"/>
  <c r="H26" i="30"/>
  <c r="H44" i="30"/>
  <c r="I45" i="30"/>
  <c r="I17" i="30"/>
  <c r="I18" i="30"/>
  <c r="H19" i="30"/>
  <c r="H20" i="30"/>
  <c r="I22" i="30"/>
  <c r="I23" i="30"/>
  <c r="F15" i="30"/>
  <c r="H16" i="30"/>
  <c r="F42" i="30"/>
  <c r="F43" i="30"/>
  <c r="H21" i="30"/>
  <c r="H41" i="30"/>
  <c r="F14" i="30"/>
  <c r="D40" i="30"/>
  <c r="D39" i="30"/>
  <c r="K39" i="30" s="1"/>
  <c r="D11" i="30"/>
  <c r="K11" i="30" s="1"/>
  <c r="D31" i="30"/>
  <c r="F31" i="30" s="1"/>
  <c r="D32" i="30"/>
  <c r="D33" i="30"/>
  <c r="D9" i="30"/>
  <c r="H9" i="30" s="1"/>
  <c r="D10" i="30"/>
  <c r="K10" i="30" s="1"/>
  <c r="D8" i="30"/>
  <c r="K8" i="30" s="1"/>
  <c r="D7" i="30"/>
  <c r="K7" i="30" s="1"/>
  <c r="D6" i="30"/>
  <c r="K6" i="30" s="1"/>
  <c r="C53" i="30"/>
  <c r="D49" i="30"/>
  <c r="F49" i="30" s="1"/>
  <c r="D38" i="30"/>
  <c r="K38" i="30" s="1"/>
  <c r="D30" i="30"/>
  <c r="K30" i="30" s="1"/>
  <c r="D95" i="29"/>
  <c r="D41" i="29"/>
  <c r="D76" i="29"/>
  <c r="D77" i="29"/>
  <c r="D75" i="29"/>
  <c r="D73" i="29"/>
  <c r="K73" i="29" s="1"/>
  <c r="D74" i="29"/>
  <c r="K74" i="29" s="1"/>
  <c r="D33" i="29"/>
  <c r="I33" i="29" s="1"/>
  <c r="D34" i="29"/>
  <c r="I34" i="29" s="1"/>
  <c r="D35" i="29"/>
  <c r="I35" i="29" s="1"/>
  <c r="D36" i="29"/>
  <c r="I36" i="29" s="1"/>
  <c r="D37" i="29"/>
  <c r="H37" i="29" s="1"/>
  <c r="D38" i="29"/>
  <c r="K38" i="29" s="1"/>
  <c r="D39" i="29"/>
  <c r="K39" i="29" s="1"/>
  <c r="D40" i="29"/>
  <c r="K40" i="29" s="1"/>
  <c r="D32" i="29"/>
  <c r="I32" i="29" s="1"/>
  <c r="D72" i="29"/>
  <c r="H72" i="29" s="1"/>
  <c r="D69" i="29"/>
  <c r="I69" i="29" s="1"/>
  <c r="D70" i="29"/>
  <c r="K70" i="29" s="1"/>
  <c r="D71" i="29"/>
  <c r="K71" i="29" s="1"/>
  <c r="D29" i="29"/>
  <c r="K29" i="29" s="1"/>
  <c r="D30" i="29"/>
  <c r="H30" i="29" s="1"/>
  <c r="D31" i="29"/>
  <c r="H31" i="29" s="1"/>
  <c r="D91" i="29"/>
  <c r="K91" i="29" s="1"/>
  <c r="D90" i="29"/>
  <c r="K90" i="29" s="1"/>
  <c r="D89" i="29"/>
  <c r="K89" i="29" s="1"/>
  <c r="D94" i="29"/>
  <c r="K94" i="29" s="1"/>
  <c r="D68" i="29"/>
  <c r="H68" i="29" s="1"/>
  <c r="D88" i="29"/>
  <c r="K88" i="29" s="1"/>
  <c r="D66" i="29"/>
  <c r="H66" i="29" s="1"/>
  <c r="D67" i="29"/>
  <c r="H67" i="29" s="1"/>
  <c r="D22" i="29"/>
  <c r="K22" i="29" s="1"/>
  <c r="D23" i="29"/>
  <c r="K23" i="29" s="1"/>
  <c r="D24" i="29"/>
  <c r="K24" i="29" s="1"/>
  <c r="D25" i="29"/>
  <c r="K25" i="29" s="1"/>
  <c r="D26" i="29"/>
  <c r="K26" i="29" s="1"/>
  <c r="D27" i="29"/>
  <c r="K27" i="29" s="1"/>
  <c r="D28" i="29"/>
  <c r="K28" i="29" s="1"/>
  <c r="D17" i="29"/>
  <c r="D18" i="29"/>
  <c r="F18" i="29" s="1"/>
  <c r="D19" i="29"/>
  <c r="K19" i="29" s="1"/>
  <c r="D21" i="29"/>
  <c r="I21" i="29" s="1"/>
  <c r="D20" i="29"/>
  <c r="H20" i="29" s="1"/>
  <c r="D51" i="29"/>
  <c r="I51" i="29" s="1"/>
  <c r="D52" i="29"/>
  <c r="K52" i="29" s="1"/>
  <c r="D53" i="29"/>
  <c r="K53" i="29" s="1"/>
  <c r="D54" i="29"/>
  <c r="F54" i="29" s="1"/>
  <c r="D55" i="29"/>
  <c r="F55" i="29" s="1"/>
  <c r="D56" i="29"/>
  <c r="K56" i="29" s="1"/>
  <c r="D57" i="29"/>
  <c r="F57" i="29" s="1"/>
  <c r="D58" i="29"/>
  <c r="I58" i="29" s="1"/>
  <c r="D59" i="29"/>
  <c r="K59" i="29" s="1"/>
  <c r="D60" i="29"/>
  <c r="K60" i="29" s="1"/>
  <c r="D61" i="29"/>
  <c r="K61" i="29" s="1"/>
  <c r="D62" i="29"/>
  <c r="K62" i="29" s="1"/>
  <c r="D63" i="29"/>
  <c r="K63" i="29" s="1"/>
  <c r="D64" i="29"/>
  <c r="K64" i="29" s="1"/>
  <c r="D65" i="29"/>
  <c r="I65" i="29" s="1"/>
  <c r="D46" i="29"/>
  <c r="K46" i="29" s="1"/>
  <c r="D47" i="29"/>
  <c r="K47" i="29" s="1"/>
  <c r="D48" i="29"/>
  <c r="K48" i="29" s="1"/>
  <c r="D49" i="29"/>
  <c r="K49" i="29" s="1"/>
  <c r="D50" i="29"/>
  <c r="K50" i="29" s="1"/>
  <c r="D45" i="29"/>
  <c r="H45" i="29" s="1"/>
  <c r="D87" i="29"/>
  <c r="F87" i="29" s="1"/>
  <c r="D12" i="29"/>
  <c r="K12" i="29" s="1"/>
  <c r="D13" i="29"/>
  <c r="H13" i="29" s="1"/>
  <c r="D14" i="29"/>
  <c r="H14" i="29" s="1"/>
  <c r="D15" i="29"/>
  <c r="I15" i="29" s="1"/>
  <c r="D16" i="29"/>
  <c r="K16" i="29" s="1"/>
  <c r="F7" i="28"/>
  <c r="D7" i="29"/>
  <c r="K7" i="29" s="1"/>
  <c r="D8" i="29"/>
  <c r="K8" i="29" s="1"/>
  <c r="D9" i="29"/>
  <c r="K9" i="29" s="1"/>
  <c r="D10" i="29"/>
  <c r="K10" i="29" s="1"/>
  <c r="D11" i="29"/>
  <c r="H11" i="29" s="1"/>
  <c r="D81" i="29"/>
  <c r="F81" i="29" s="1"/>
  <c r="D82" i="29"/>
  <c r="K82" i="29" s="1"/>
  <c r="D83" i="29"/>
  <c r="G83" i="29" s="1"/>
  <c r="D84" i="29"/>
  <c r="K84" i="29" s="1"/>
  <c r="D85" i="29"/>
  <c r="K85" i="29" s="1"/>
  <c r="D86" i="29"/>
  <c r="K86" i="29" s="1"/>
  <c r="D6" i="29"/>
  <c r="K6" i="29" s="1"/>
  <c r="L6" i="25"/>
  <c r="L7" i="25"/>
  <c r="L8" i="25"/>
  <c r="L9" i="25"/>
  <c r="G34" i="25"/>
  <c r="G30" i="25"/>
  <c r="G31" i="25"/>
  <c r="G32" i="25"/>
  <c r="F6" i="25"/>
  <c r="G8" i="25"/>
  <c r="F15" i="25"/>
  <c r="F14" i="25"/>
  <c r="G27" i="25"/>
  <c r="G28" i="25"/>
  <c r="G29" i="25"/>
  <c r="F42" i="25"/>
  <c r="I46" i="25"/>
  <c r="G21" i="25"/>
  <c r="D42" i="25"/>
  <c r="I42" i="25" s="1"/>
  <c r="D43" i="25"/>
  <c r="I43" i="25" s="1"/>
  <c r="G26" i="25"/>
  <c r="G9" i="25"/>
  <c r="G7" i="25"/>
  <c r="G24" i="25"/>
  <c r="G23" i="25"/>
  <c r="F35" i="25"/>
  <c r="C45" i="25"/>
  <c r="D16" i="25"/>
  <c r="I16" i="25" s="1"/>
  <c r="D33" i="25"/>
  <c r="I33" i="25" s="1"/>
  <c r="D34" i="25"/>
  <c r="I34" i="25" s="1"/>
  <c r="D35" i="25"/>
  <c r="I35" i="25" s="1"/>
  <c r="D36" i="25"/>
  <c r="I36" i="25" s="1"/>
  <c r="D37" i="25"/>
  <c r="I37" i="25" s="1"/>
  <c r="D38" i="25"/>
  <c r="I38" i="25" s="1"/>
  <c r="D39" i="25"/>
  <c r="I39" i="25" s="1"/>
  <c r="D40" i="25"/>
  <c r="I40" i="25" s="1"/>
  <c r="D41" i="25"/>
  <c r="I41" i="25" s="1"/>
  <c r="D30" i="25"/>
  <c r="I30" i="25" s="1"/>
  <c r="D31" i="25"/>
  <c r="I31" i="25" s="1"/>
  <c r="D32" i="25"/>
  <c r="I32" i="25" s="1"/>
  <c r="M14" i="21"/>
  <c r="M12" i="21"/>
  <c r="M13" i="21"/>
  <c r="N8" i="21"/>
  <c r="N6" i="21"/>
  <c r="K12" i="21"/>
  <c r="D17" i="25"/>
  <c r="I17" i="25" s="1"/>
  <c r="D18" i="25"/>
  <c r="I18" i="25" s="1"/>
  <c r="D19" i="25"/>
  <c r="I19" i="25" s="1"/>
  <c r="D20" i="25"/>
  <c r="I20" i="25" s="1"/>
  <c r="D21" i="25"/>
  <c r="I21" i="25" s="1"/>
  <c r="D22" i="25"/>
  <c r="I22" i="25" s="1"/>
  <c r="D23" i="25"/>
  <c r="I23" i="25" s="1"/>
  <c r="D24" i="25"/>
  <c r="I24" i="25" s="1"/>
  <c r="D25" i="25"/>
  <c r="I25" i="25" s="1"/>
  <c r="D26" i="25"/>
  <c r="I26" i="25" s="1"/>
  <c r="D29" i="25"/>
  <c r="I29" i="25" s="1"/>
  <c r="D28" i="25"/>
  <c r="I28" i="25" s="1"/>
  <c r="D27" i="25"/>
  <c r="I27" i="25" s="1"/>
  <c r="D15" i="25"/>
  <c r="I15" i="25" s="1"/>
  <c r="D14" i="25"/>
  <c r="I14" i="25" s="1"/>
  <c r="D13" i="25"/>
  <c r="I13" i="25" s="1"/>
  <c r="D12" i="25"/>
  <c r="I12" i="25" s="1"/>
  <c r="D11" i="25"/>
  <c r="F11" i="25" s="1"/>
  <c r="D10" i="25"/>
  <c r="F10" i="25" s="1"/>
  <c r="D9" i="25"/>
  <c r="I9" i="25" s="1"/>
  <c r="D8" i="25"/>
  <c r="I8" i="25" s="1"/>
  <c r="D7" i="25"/>
  <c r="D6" i="25"/>
  <c r="C18" i="24"/>
  <c r="D16" i="24"/>
  <c r="I16" i="24" s="1"/>
  <c r="D15" i="24"/>
  <c r="I15" i="24" s="1"/>
  <c r="D14" i="24"/>
  <c r="I14" i="24" s="1"/>
  <c r="D13" i="24"/>
  <c r="I13" i="24" s="1"/>
  <c r="D12" i="24"/>
  <c r="I12" i="24" s="1"/>
  <c r="D11" i="24"/>
  <c r="I11" i="24" s="1"/>
  <c r="D10" i="24"/>
  <c r="I10" i="24" s="1"/>
  <c r="D9" i="24"/>
  <c r="G9" i="24" s="1"/>
  <c r="D8" i="24"/>
  <c r="I8" i="24" s="1"/>
  <c r="D7" i="24"/>
  <c r="I7" i="24" s="1"/>
  <c r="D6" i="24"/>
  <c r="C61" i="21"/>
  <c r="M80" i="33" l="1"/>
  <c r="L80" i="33"/>
  <c r="K59" i="32"/>
  <c r="N60" i="32"/>
  <c r="M59" i="32"/>
  <c r="J58" i="32"/>
  <c r="I60" i="31"/>
  <c r="I61" i="31" s="1"/>
  <c r="H60" i="31"/>
  <c r="H61" i="31" s="1"/>
  <c r="F61" i="31"/>
  <c r="K60" i="31"/>
  <c r="K77" i="29"/>
  <c r="I77" i="29"/>
  <c r="K76" i="29"/>
  <c r="H76" i="29"/>
  <c r="K41" i="29"/>
  <c r="I41" i="29"/>
  <c r="K95" i="29"/>
  <c r="F95" i="29"/>
  <c r="F19" i="29"/>
  <c r="I17" i="29"/>
  <c r="K75" i="29"/>
  <c r="H75" i="29"/>
  <c r="D98" i="29"/>
  <c r="K33" i="30"/>
  <c r="G33" i="30"/>
  <c r="K32" i="30"/>
  <c r="G32" i="30"/>
  <c r="G53" i="30" s="1"/>
  <c r="G54" i="30" s="1"/>
  <c r="K40" i="30"/>
  <c r="H40" i="30"/>
  <c r="H11" i="30"/>
  <c r="I39" i="30"/>
  <c r="I6" i="30"/>
  <c r="H38" i="30"/>
  <c r="K9" i="30"/>
  <c r="K31" i="30"/>
  <c r="F30" i="30"/>
  <c r="H8" i="30"/>
  <c r="I10" i="30"/>
  <c r="I7" i="30"/>
  <c r="K49" i="30"/>
  <c r="D53" i="30"/>
  <c r="I73" i="29"/>
  <c r="H74" i="29"/>
  <c r="K36" i="29"/>
  <c r="K34" i="29"/>
  <c r="K33" i="29"/>
  <c r="K37" i="29"/>
  <c r="K35" i="29"/>
  <c r="K32" i="29"/>
  <c r="H40" i="29"/>
  <c r="H39" i="29"/>
  <c r="F38" i="29"/>
  <c r="G89" i="29"/>
  <c r="I70" i="29"/>
  <c r="H71" i="29"/>
  <c r="K72" i="29"/>
  <c r="K69" i="29"/>
  <c r="F89" i="29"/>
  <c r="F90" i="29"/>
  <c r="F91" i="29"/>
  <c r="K31" i="29"/>
  <c r="K30" i="29"/>
  <c r="F94" i="29"/>
  <c r="G94" i="29"/>
  <c r="K68" i="29"/>
  <c r="I26" i="29"/>
  <c r="K18" i="29"/>
  <c r="K17" i="29"/>
  <c r="F88" i="29"/>
  <c r="G88" i="29"/>
  <c r="I29" i="29"/>
  <c r="I28" i="29"/>
  <c r="I27" i="29"/>
  <c r="H22" i="29"/>
  <c r="H25" i="29"/>
  <c r="H24" i="29"/>
  <c r="K21" i="29"/>
  <c r="H23" i="29"/>
  <c r="K20" i="29"/>
  <c r="K45" i="29"/>
  <c r="K67" i="29"/>
  <c r="I19" i="29"/>
  <c r="I12" i="29"/>
  <c r="K58" i="29"/>
  <c r="K57" i="29"/>
  <c r="I64" i="29"/>
  <c r="I63" i="29"/>
  <c r="I62" i="29"/>
  <c r="I61" i="29"/>
  <c r="I59" i="29"/>
  <c r="I60" i="29"/>
  <c r="K66" i="29"/>
  <c r="F53" i="29"/>
  <c r="K55" i="29"/>
  <c r="F56" i="29"/>
  <c r="H46" i="29"/>
  <c r="F52" i="29"/>
  <c r="K51" i="29"/>
  <c r="H50" i="29"/>
  <c r="H49" i="29"/>
  <c r="H47" i="29"/>
  <c r="H9" i="29"/>
  <c r="K54" i="29"/>
  <c r="K65" i="29"/>
  <c r="H8" i="29"/>
  <c r="H48" i="29"/>
  <c r="H16" i="29"/>
  <c r="K87" i="29"/>
  <c r="K15" i="29"/>
  <c r="K14" i="29"/>
  <c r="K13" i="29"/>
  <c r="H15" i="29"/>
  <c r="I14" i="29"/>
  <c r="I13" i="29"/>
  <c r="F83" i="29"/>
  <c r="F82" i="29"/>
  <c r="G86" i="29"/>
  <c r="I6" i="29"/>
  <c r="I7" i="29"/>
  <c r="H6" i="29"/>
  <c r="F86" i="29"/>
  <c r="H7" i="29"/>
  <c r="F85" i="29"/>
  <c r="G85" i="29"/>
  <c r="H10" i="29"/>
  <c r="G84" i="29"/>
  <c r="F84" i="29"/>
  <c r="K81" i="29"/>
  <c r="K83" i="29"/>
  <c r="K11" i="29"/>
  <c r="D45" i="25"/>
  <c r="F40" i="25"/>
  <c r="G20" i="25"/>
  <c r="G22" i="25"/>
  <c r="G43" i="25"/>
  <c r="G25" i="25"/>
  <c r="F37" i="25"/>
  <c r="F39" i="25"/>
  <c r="F19" i="25"/>
  <c r="F18" i="25"/>
  <c r="F17" i="25"/>
  <c r="F12" i="25"/>
  <c r="F45" i="25" s="1"/>
  <c r="G45" i="25"/>
  <c r="G46" i="25" s="1"/>
  <c r="I6" i="25"/>
  <c r="I45" i="25" s="1"/>
  <c r="I7" i="25"/>
  <c r="D18" i="24"/>
  <c r="I9" i="24"/>
  <c r="I10" i="25"/>
  <c r="I11" i="25"/>
  <c r="G16" i="24"/>
  <c r="G11" i="24"/>
  <c r="I6" i="24"/>
  <c r="G12" i="24"/>
  <c r="F7" i="24"/>
  <c r="G10" i="24"/>
  <c r="F6" i="24"/>
  <c r="F15" i="24"/>
  <c r="F13" i="24"/>
  <c r="G8" i="24"/>
  <c r="F14" i="24"/>
  <c r="G61" i="21"/>
  <c r="D61" i="21"/>
  <c r="H61" i="21"/>
  <c r="C12" i="21"/>
  <c r="D10" i="21"/>
  <c r="K10" i="21" s="1"/>
  <c r="D9" i="21"/>
  <c r="K9" i="21" s="1"/>
  <c r="D8" i="21"/>
  <c r="K8" i="21" s="1"/>
  <c r="D7" i="21"/>
  <c r="G7" i="21" s="1"/>
  <c r="G12" i="21" s="1"/>
  <c r="D6" i="21"/>
  <c r="F6" i="21" s="1"/>
  <c r="N61" i="32" l="1"/>
  <c r="M61" i="32" s="1"/>
  <c r="J59" i="32"/>
  <c r="M60" i="32"/>
  <c r="J60" i="31"/>
  <c r="N63" i="31" s="1"/>
  <c r="M63" i="31" s="1"/>
  <c r="N61" i="31"/>
  <c r="K98" i="29"/>
  <c r="K99" i="29" s="1"/>
  <c r="K53" i="30"/>
  <c r="K54" i="30" s="1"/>
  <c r="F53" i="30"/>
  <c r="H53" i="30"/>
  <c r="I53" i="30"/>
  <c r="G98" i="29"/>
  <c r="I98" i="29"/>
  <c r="F98" i="29"/>
  <c r="H98" i="29"/>
  <c r="F46" i="25"/>
  <c r="H45" i="25"/>
  <c r="H46" i="25" s="1"/>
  <c r="K13" i="25"/>
  <c r="L13" i="25" s="1"/>
  <c r="M6" i="25"/>
  <c r="I18" i="24"/>
  <c r="L6" i="24" s="1"/>
  <c r="F18" i="24"/>
  <c r="K12" i="24" s="1"/>
  <c r="M12" i="24" s="1"/>
  <c r="M6" i="24"/>
  <c r="L7" i="24"/>
  <c r="G18" i="24"/>
  <c r="K13" i="24" s="1"/>
  <c r="M13" i="24" s="1"/>
  <c r="K61" i="21"/>
  <c r="J61" i="21"/>
  <c r="D12" i="21"/>
  <c r="F8" i="21"/>
  <c r="F12" i="21" s="1"/>
  <c r="K7" i="21"/>
  <c r="K6" i="21"/>
  <c r="H9" i="21"/>
  <c r="H10" i="21"/>
  <c r="N62" i="32" l="1"/>
  <c r="M62" i="32" s="1"/>
  <c r="J61" i="31"/>
  <c r="N62" i="31"/>
  <c r="M61" i="31"/>
  <c r="F54" i="30"/>
  <c r="J53" i="30"/>
  <c r="N56" i="30" s="1"/>
  <c r="N54" i="30"/>
  <c r="N55" i="30" s="1"/>
  <c r="N57" i="30" s="1"/>
  <c r="I54" i="30"/>
  <c r="H54" i="30"/>
  <c r="M12" i="29"/>
  <c r="J98" i="29"/>
  <c r="J99" i="29" s="1"/>
  <c r="H99" i="29"/>
  <c r="M13" i="29"/>
  <c r="N13" i="29" s="1"/>
  <c r="G99" i="29"/>
  <c r="M14" i="29"/>
  <c r="N14" i="29" s="1"/>
  <c r="I99" i="29"/>
  <c r="M15" i="29"/>
  <c r="N15" i="29" s="1"/>
  <c r="F99" i="29"/>
  <c r="O6" i="29"/>
  <c r="O7" i="29" s="1"/>
  <c r="N12" i="29"/>
  <c r="K12" i="25"/>
  <c r="L12" i="25" s="1"/>
  <c r="M8" i="25"/>
  <c r="H18" i="24"/>
  <c r="L8" i="24" s="1"/>
  <c r="M8" i="24" s="1"/>
  <c r="M7" i="25"/>
  <c r="M7" i="24"/>
  <c r="H12" i="21"/>
  <c r="N64" i="31" l="1"/>
  <c r="M64" i="31" s="1"/>
  <c r="M62" i="31"/>
  <c r="M54" i="30"/>
  <c r="J54" i="30"/>
  <c r="M56" i="30"/>
  <c r="M55" i="30"/>
  <c r="O8" i="29"/>
  <c r="O9" i="29" s="1"/>
  <c r="N6" i="29"/>
  <c r="N7" i="29"/>
  <c r="M9" i="25"/>
  <c r="L9" i="24"/>
  <c r="M9" i="24" s="1"/>
  <c r="O14" i="21"/>
  <c r="O13" i="21"/>
  <c r="O12" i="21"/>
  <c r="J12" i="21"/>
  <c r="O8" i="21" s="1"/>
  <c r="M57" i="30" l="1"/>
  <c r="N8" i="29"/>
  <c r="N9" i="29"/>
  <c r="N7" i="21"/>
  <c r="O6" i="21"/>
  <c r="O7" i="21" l="1"/>
  <c r="N9" i="21"/>
  <c r="O9" i="21" s="1"/>
  <c r="F42" i="41"/>
  <c r="J41" i="41"/>
  <c r="N44" i="41" s="1"/>
  <c r="J42" i="41" l="1"/>
  <c r="M44" i="41"/>
  <c r="N45" i="41"/>
  <c r="M45" i="41" s="1"/>
</calcChain>
</file>

<file path=xl/sharedStrings.xml><?xml version="1.0" encoding="utf-8"?>
<sst xmlns="http://schemas.openxmlformats.org/spreadsheetml/2006/main" count="1898" uniqueCount="1141">
  <si>
    <t>Настя</t>
  </si>
  <si>
    <t>USD</t>
  </si>
  <si>
    <t>UAH</t>
  </si>
  <si>
    <t>STUDIO (TAX)</t>
  </si>
  <si>
    <t>CLIENT IN</t>
  </si>
  <si>
    <t>EMPL</t>
  </si>
  <si>
    <t>D.LINE</t>
  </si>
  <si>
    <t>Сергій</t>
  </si>
  <si>
    <t>HOURS</t>
  </si>
  <si>
    <t>2024 PROJECT NAME</t>
  </si>
  <si>
    <t>EMPL 1</t>
  </si>
  <si>
    <t>PAID</t>
  </si>
  <si>
    <t>2PAY</t>
  </si>
  <si>
    <t>EMPL 2</t>
  </si>
  <si>
    <t>EMPL 3</t>
  </si>
  <si>
    <t>EMPL 4</t>
  </si>
  <si>
    <t>Total EMPL</t>
  </si>
  <si>
    <t>COST</t>
  </si>
  <si>
    <t>STUDIO</t>
  </si>
  <si>
    <t>Rates/h</t>
  </si>
  <si>
    <t>DD-B-087-001_AllOfThisKingdom</t>
  </si>
  <si>
    <t>DD-SPS-002-007_DiceThrowPeons_PurpleBanner</t>
  </si>
  <si>
    <t>DX-B-032-001_Skateboard + DX-B-032-002_Skateboard_RT</t>
  </si>
  <si>
    <t>DX-V-015-016_SimpleIntro_DX-H-009-002(PeonDominoThrow_WildDom)_EN_26s</t>
  </si>
  <si>
    <t>DX-V-028-005_ImpossibleLevel_DX-H-054-001(Pinata)_EN_24s</t>
  </si>
  <si>
    <t>2Dvideo</t>
  </si>
  <si>
    <t>Mary</t>
  </si>
  <si>
    <t>2Dbanner</t>
  </si>
  <si>
    <t>2Dpaint</t>
  </si>
  <si>
    <t>cat44cat22@gmail.com</t>
  </si>
  <si>
    <t>LISENBART FILM CREW</t>
  </si>
  <si>
    <t>name</t>
  </si>
  <si>
    <t>phone</t>
  </si>
  <si>
    <t>email</t>
  </si>
  <si>
    <t>name of bank</t>
  </si>
  <si>
    <t>bank card</t>
  </si>
  <si>
    <t>Monobank</t>
  </si>
  <si>
    <t>lashenko285@gmail.com</t>
  </si>
  <si>
    <t>4441114424460887</t>
  </si>
  <si>
    <t>DD-SS-001-002_PurpleRibbonOriginals_OneWord_LOC_DE+ES-SP, ES-LA+FR | design</t>
  </si>
  <si>
    <t>DX-B-011-006_TreasureTrail_Netherlands_PTE  |  Resizes:</t>
  </si>
  <si>
    <t>DX-V-031-001_PeonChest_EN 30s | LOC*1: NL | Comp &amp; Resizes</t>
  </si>
  <si>
    <t>DX-V-028-001_ImpossibleLevel | LOC*2: NL+ES-LA | Comp</t>
  </si>
  <si>
    <t>DX-V-022-001_BuildSequence_ASO | LOC*1: NL | Comp</t>
  </si>
  <si>
    <t>SHIFTS</t>
  </si>
  <si>
    <t>JUNE</t>
  </si>
  <si>
    <t>JULY</t>
  </si>
  <si>
    <t>DX-V-032-002_TinderSwipe_RenaissanceFair_20s</t>
  </si>
  <si>
    <t>DX-B-015-003_LeaningDominoDreams_PlayNow</t>
  </si>
  <si>
    <t>DX-B-026-002_BeachLife_RT | LOC*1 - NL | Design</t>
  </si>
  <si>
    <t>DX-B-012-001_BeachCastle | LOC*3: ES-LA+DE+NL | Design</t>
  </si>
  <si>
    <t>DX-B-019-001_PileofDominos LOC*1: ES-LA + DE | Design</t>
  </si>
  <si>
    <t>DD-V-229-Coins&amp;Coins_EN - 15,30,45 &amp; 60s</t>
  </si>
  <si>
    <t>August</t>
  </si>
  <si>
    <t>DX-V-032-008_TinderSwipe_DX-H-048-001</t>
  </si>
  <si>
    <t>DX-V-002-016_Worlds_NLVillage_NL_30s LOC to EN</t>
  </si>
  <si>
    <t>DX-V-060-001_MKTrail_Netherlands | LOC*1: NL</t>
  </si>
  <si>
    <t>DX-V-032-004_TinderSwipe_DX-V-026-001_EN_59s</t>
  </si>
  <si>
    <t xml:space="preserve">DX-V-060-002_MKTrail_Netherlands_DX-H-067-001 (NLClogs) </t>
  </si>
  <si>
    <t>DX-V-060-003_MKTrail_Netherlands_DX-H-066-001 (NLFlowerBlow)</t>
  </si>
  <si>
    <t>DX-V-060-005_MKTrail_HLWN_DD-H-170-001(FrankensteinTickle)</t>
  </si>
  <si>
    <t>DX-V-060-006_MKTrail_Netherlands_DX-H-045-003 (LeaningOnCloud_WIN-SFX)</t>
  </si>
  <si>
    <t>DX-V-060-007_MKTrail_Netherlands_DX-H-045-004 (LeaningOnCloud_FAIL-SFX)</t>
  </si>
  <si>
    <t>DX-V-032-005_TinderSwipe_NoCursor</t>
  </si>
  <si>
    <t>DD-V-079-001_GameplayPeoject_Blue_DE_30s</t>
  </si>
  <si>
    <t>DD-V-079-020_GameplayProject_Blue_DD-H-073-001(HookXmas2021_Snowball)_DE_00s</t>
  </si>
  <si>
    <t>DD-V-079-019_GameplayProject_Blue_DD-H-177-001(HookBeerFest)_DE_00s</t>
  </si>
  <si>
    <t>DD-V-126-030_PullThePin_DD-H-177-001(HookBeerFest)_DE_00s</t>
  </si>
  <si>
    <t>DD-V-123-002_BeerPong_DD-H-177-001(HookBeerFest)_DE_00s</t>
  </si>
  <si>
    <t>DD-V-116-023_Trail_Xmas_DE_DD-H-073-001(HookXmas2021_Snowball)_DE_00s</t>
  </si>
  <si>
    <t>DD-V-078-051_RoyalMatch_NoDiceTryYourself_DD-H-073-001(HookXmas2021_Snowball)_DE_00s</t>
  </si>
  <si>
    <t>DD-V-078-050_RoyalMatch_NoDiceTryYourself_DD-H-177-001(HookBeerFest)_DE_00s</t>
  </si>
  <si>
    <t>DD-V-122-002_LocalizedIntro_DD-H-177-001_DE-ASO</t>
  </si>
  <si>
    <t>DD-V-126-031_PullThePin_DD-H-073-001(HookXmas2021_Snowball)_DE_00</t>
  </si>
  <si>
    <t>Month</t>
  </si>
  <si>
    <t>Description</t>
  </si>
  <si>
    <t>Quantity</t>
  </si>
  <si>
    <t xml:space="preserve">Price, USD </t>
  </si>
  <si>
    <t>June</t>
  </si>
  <si>
    <t>July</t>
  </si>
  <si>
    <t>INVOICES</t>
  </si>
  <si>
    <t>DD</t>
  </si>
  <si>
    <t>DX</t>
  </si>
  <si>
    <t>DD/DX</t>
  </si>
  <si>
    <t>DD-V-223-002_FirstPlace_CTA_15s  |  comp</t>
  </si>
  <si>
    <t>DD-V-223-003_FirstPlace_DD-H-175-001_EN_45s  |  comp</t>
  </si>
  <si>
    <t>DD-V-223_004_FirstPlace_DD-V-049-001(Trail_Knight)_EN_60s | comp</t>
  </si>
  <si>
    <t>DD-V-049-025_Trail_KnightCoins_EN LOC to IT</t>
  </si>
  <si>
    <t>DD-V-229-001_Coins&amp;Coins_EN LOC to IT- 0.5 shift</t>
  </si>
  <si>
    <t>DD-V-212-001_FairytaleAttack_EN 30 LOC to IT- 0.5 shift </t>
  </si>
  <si>
    <t>DD-V-195-001_Stickers_LastSticker-Retro-1Left_RT_EN LOC to IT- 0.5 shift</t>
  </si>
  <si>
    <t>DD-V-226-001_StickerGameplay [by RHQ] LOC to IT- 0.5 shift</t>
  </si>
  <si>
    <t>DD-V-078-011_RoyalMatch_NoDiceDoBetter LOC to IT- 0.5 shift</t>
  </si>
  <si>
    <t>DD-V-144-001_SimpleStealBlast_Pirate LOC to IT- 0.5 shift</t>
  </si>
  <si>
    <t>DD-B-083-001_FreeFallSkyDive LOC to IT- 0.3 shift</t>
  </si>
  <si>
    <t>Total</t>
  </si>
  <si>
    <t>DX-V-033-008_BuildInPuzzle_DX-V-017-003 (WorldsIntro)_PTE</t>
  </si>
  <si>
    <t>DD-V-224-002_TeamChat_ShortVer_15s  |  comp</t>
  </si>
  <si>
    <t>DD-V-224-003_TeamChat_DD-H-175-001(80sIntro)_EN_45s  |  comp</t>
  </si>
  <si>
    <t>DD-V-224-004_TeamChat_DD-V-144-001(SimpleStealBlast)_EN_60s  |  comp</t>
  </si>
  <si>
    <t>DD-B-077-002_StPatrickSlide_PeonWaterSlide_RT  |  Design</t>
  </si>
  <si>
    <t>DX-V-032-008_TinderSwipe_DX-H-048-001_StackExplosion | Comp &amp; Resizes</t>
  </si>
  <si>
    <t>DD-V-221-001 LuckySpins [By RHQ] LOC to IT- 0.5 shift</t>
  </si>
  <si>
    <t>Every 20th day of Month</t>
  </si>
  <si>
    <t>September</t>
  </si>
  <si>
    <t>+380 99 550 5455</t>
  </si>
  <si>
    <t>+380 93 763 1347</t>
  </si>
  <si>
    <t>Ріта</t>
  </si>
  <si>
    <t>Андрій</t>
  </si>
  <si>
    <t>MGX DX</t>
  </si>
  <si>
    <t>MGX DD</t>
  </si>
  <si>
    <t>2D DX</t>
  </si>
  <si>
    <t>DD-V-049-032</t>
  </si>
  <si>
    <t>DD-V-181-033</t>
  </si>
  <si>
    <t>DD-V-181-034_US2023</t>
  </si>
  <si>
    <t>DD-V-211-001</t>
  </si>
  <si>
    <r>
      <t xml:space="preserve">DD-UGC-300-001 </t>
    </r>
    <r>
      <rPr>
        <b/>
        <sz val="12"/>
        <color rgb="FF000000"/>
        <rFont val="Helvetica"/>
        <family val="2"/>
      </rPr>
      <t>DD-V-162-012</t>
    </r>
  </si>
  <si>
    <r>
      <t xml:space="preserve">DD-UGC-300-001 </t>
    </r>
    <r>
      <rPr>
        <b/>
        <sz val="12"/>
        <color rgb="FF000000"/>
        <rFont val="Helvetica"/>
        <family val="2"/>
      </rPr>
      <t>DD-V-162-011</t>
    </r>
  </si>
  <si>
    <t>DD-V-221-001</t>
  </si>
  <si>
    <t>DX-V-028-009</t>
  </si>
  <si>
    <t>DX-V-031-003</t>
  </si>
  <si>
    <t>DX-V-033-009</t>
  </si>
  <si>
    <t>DX-V-075-005</t>
  </si>
  <si>
    <t>DX-V-075-007</t>
  </si>
  <si>
    <t>DX-V-002-020</t>
  </si>
  <si>
    <t>DX-V-028-010</t>
  </si>
  <si>
    <t>DX-V-028-011</t>
  </si>
  <si>
    <t>DX-V-028-012</t>
  </si>
  <si>
    <t>DX-V-032-013</t>
  </si>
  <si>
    <t>DX-V-032-014</t>
  </si>
  <si>
    <t>DX-V-032-015</t>
  </si>
  <si>
    <t>DX-V-033-010</t>
  </si>
  <si>
    <t>DX-B-034-001</t>
  </si>
  <si>
    <t>2D DD</t>
  </si>
  <si>
    <t>DX-V-060-009</t>
  </si>
  <si>
    <t>DX-V-060-010</t>
  </si>
  <si>
    <t>DX-B-054-001</t>
  </si>
  <si>
    <t>DX-LO-014-002</t>
  </si>
  <si>
    <t>DX-LO-014-003</t>
  </si>
  <si>
    <t>DD-V-126-032</t>
  </si>
  <si>
    <t>DD-V-144-032</t>
  </si>
  <si>
    <t>DD-V-049-031</t>
  </si>
  <si>
    <t>Dop Fix Yaron</t>
  </si>
  <si>
    <t>DD-V-242-002</t>
  </si>
  <si>
    <t>DX-V-050-005</t>
  </si>
  <si>
    <t>DX-V-015-018</t>
  </si>
  <si>
    <t>DX-V-015-019</t>
  </si>
  <si>
    <t>DX-V-015-020</t>
  </si>
  <si>
    <t>DX-V-015-021</t>
  </si>
  <si>
    <t>DX-V-051-004</t>
  </si>
  <si>
    <t>DX-V-015-022</t>
  </si>
  <si>
    <t>DX-V-051-005</t>
  </si>
  <si>
    <t>DX-V-032-016</t>
  </si>
  <si>
    <t>DD-V-078-056</t>
  </si>
  <si>
    <t>DD-V-221-002</t>
  </si>
  <si>
    <t>DX-V-043-001</t>
  </si>
  <si>
    <t>DX-V-060-005</t>
  </si>
  <si>
    <t>DX-V-060-013</t>
  </si>
  <si>
    <t>DX-V-060-011</t>
  </si>
  <si>
    <t>DX-V-041-004</t>
  </si>
  <si>
    <t>DX-V-041-003</t>
  </si>
  <si>
    <t>DX-V-042-002</t>
  </si>
  <si>
    <t>DX-V-050-003</t>
  </si>
  <si>
    <t>DX-V-050-004</t>
  </si>
  <si>
    <t>DX-V-026-007</t>
  </si>
  <si>
    <t>DX-V-026-001</t>
  </si>
  <si>
    <t>DD-V-181-028</t>
  </si>
  <si>
    <t>DD-V-181-035</t>
  </si>
  <si>
    <t>DD-V-181-036</t>
  </si>
  <si>
    <t>DD-V-181-029</t>
  </si>
  <si>
    <t>DD-V-181-037</t>
  </si>
  <si>
    <t>DD-V-181-038</t>
  </si>
  <si>
    <t>DD-V-181-030</t>
  </si>
  <si>
    <t>DD-V-181-039</t>
  </si>
  <si>
    <t>DD-V-181-040</t>
  </si>
  <si>
    <t>DD-V-181-031</t>
  </si>
  <si>
    <t>DD-V-181-041</t>
  </si>
  <si>
    <t>DD-V-181-042</t>
  </si>
  <si>
    <t>DD-V-181-043</t>
  </si>
  <si>
    <t>DD-V-181-044</t>
  </si>
  <si>
    <t>DD-V-235-002</t>
  </si>
  <si>
    <t>DD-V-078-055</t>
  </si>
  <si>
    <t>DD-V-181-005</t>
  </si>
  <si>
    <t>DX-B-015-001</t>
  </si>
  <si>
    <t>DX-SS-011-002</t>
  </si>
  <si>
    <t>DX-SS-011-001</t>
  </si>
  <si>
    <t>DX-B-011-008</t>
  </si>
  <si>
    <t>DX-B-015-003</t>
  </si>
  <si>
    <t>DX-SPS-004-006</t>
  </si>
  <si>
    <t>DX-FG-009-002</t>
  </si>
  <si>
    <t>DD-V-233-002</t>
  </si>
  <si>
    <t>DD-V-078-053</t>
  </si>
  <si>
    <t>DD-V-078-054</t>
  </si>
  <si>
    <t>DX-V-079-003</t>
  </si>
  <si>
    <t>DD-LO-021-002</t>
  </si>
  <si>
    <t>DD-B-092-002</t>
  </si>
  <si>
    <t>MGX</t>
  </si>
  <si>
    <t>2D</t>
  </si>
  <si>
    <t>October</t>
  </si>
  <si>
    <t>total</t>
  </si>
  <si>
    <t>DX-V-041-005</t>
  </si>
  <si>
    <t>DX-V-028-013</t>
  </si>
  <si>
    <t>DX-V-032-001</t>
  </si>
  <si>
    <t>DX-B-006-006</t>
  </si>
  <si>
    <t>DD-LO-038-001</t>
  </si>
  <si>
    <t>DD-V-247-001</t>
  </si>
  <si>
    <t>Маша</t>
  </si>
  <si>
    <t>DX-V-015-013</t>
  </si>
  <si>
    <t>DX-V-026-008</t>
  </si>
  <si>
    <t>DX-B-057-001</t>
  </si>
  <si>
    <t>DX-B-041-003</t>
  </si>
  <si>
    <t>DX-B-041-004</t>
  </si>
  <si>
    <t>DX-V-083-001</t>
  </si>
  <si>
    <t>DD-V-235-001</t>
  </si>
  <si>
    <t>DD-V-137-023</t>
  </si>
  <si>
    <t>DX-V-060-012</t>
  </si>
  <si>
    <t>DX-V-050-006</t>
  </si>
  <si>
    <t>DX-V-015-023</t>
  </si>
  <si>
    <t>DX-V-050-009</t>
  </si>
  <si>
    <t>DX-V-050-010</t>
  </si>
  <si>
    <t>DX-V-031-002</t>
  </si>
  <si>
    <t>DX-V-032-009</t>
  </si>
  <si>
    <t>DX-V-033-012</t>
  </si>
  <si>
    <t>DX-V-033-013</t>
  </si>
  <si>
    <t>DX-V-050-011</t>
  </si>
  <si>
    <t>DX-V-060-025</t>
  </si>
  <si>
    <t>DD-V-045-002</t>
  </si>
  <si>
    <t>DD-V-205-002</t>
  </si>
  <si>
    <t>DD-V-219-002</t>
  </si>
  <si>
    <t>DX-V-015-024</t>
  </si>
  <si>
    <t>DD-V-049-004</t>
  </si>
  <si>
    <t>DD-V-116-003</t>
  </si>
  <si>
    <t>DX-V-050-007</t>
  </si>
  <si>
    <t>DX-V-060-014</t>
  </si>
  <si>
    <t>DX-V-060-020</t>
  </si>
  <si>
    <t>DD-V-205-001</t>
  </si>
  <si>
    <t>DX-V-060-027</t>
  </si>
  <si>
    <t>plus 68</t>
  </si>
  <si>
    <t>plus 54</t>
  </si>
  <si>
    <t>DX-V-060-023</t>
  </si>
  <si>
    <t>DX-V-023-003</t>
  </si>
  <si>
    <t>DX-V-002-001</t>
  </si>
  <si>
    <t>DX-V-015-015</t>
  </si>
  <si>
    <t>DX-V-028-001</t>
  </si>
  <si>
    <t>DX-V-026-009</t>
  </si>
  <si>
    <t>DX-V-042-005</t>
  </si>
  <si>
    <t>DX-V-065-002</t>
  </si>
  <si>
    <t>DX-V-033-015</t>
  </si>
  <si>
    <t>DX-V-026-010</t>
  </si>
  <si>
    <t>DX-V-042-006</t>
  </si>
  <si>
    <t>DX-V-051-001</t>
  </si>
  <si>
    <t>DX-V-051-002</t>
  </si>
  <si>
    <t>DX-V-088-003</t>
  </si>
  <si>
    <t>DD-V-137-039</t>
  </si>
  <si>
    <t>DD-V-202-001</t>
  </si>
  <si>
    <t>DX-V-032-017</t>
  </si>
  <si>
    <t>DD-V-078-001</t>
  </si>
  <si>
    <t>DX-V-060-031</t>
  </si>
  <si>
    <t>DX-V-060-030</t>
  </si>
  <si>
    <t>DX-V-065-001</t>
  </si>
  <si>
    <t xml:space="preserve"> </t>
  </si>
  <si>
    <t/>
  </si>
  <si>
    <t>IBAN</t>
  </si>
  <si>
    <t>UA173220010000026202314266322</t>
  </si>
  <si>
    <t>ІПН</t>
  </si>
  <si>
    <t>DX-V-033-014</t>
  </si>
  <si>
    <t>DX-V-032-002</t>
  </si>
  <si>
    <t>DX-V-060-034</t>
  </si>
  <si>
    <t>DX-V-083-002</t>
  </si>
  <si>
    <t>DX-V-060-035</t>
  </si>
  <si>
    <t>DX-V-060-036</t>
  </si>
  <si>
    <t>DX-V-060-037</t>
  </si>
  <si>
    <t>DX-V-060-038</t>
  </si>
  <si>
    <t>DX-V-060-039</t>
  </si>
  <si>
    <t>DX-V-060-040</t>
  </si>
  <si>
    <t>DX-V-060-041</t>
  </si>
  <si>
    <t>DX-V-060-042</t>
  </si>
  <si>
    <t>DX-V-060-043</t>
  </si>
  <si>
    <t>DX-V-060-044</t>
  </si>
  <si>
    <t>DX-V-083-004</t>
  </si>
  <si>
    <t>DX-V-060-046</t>
  </si>
  <si>
    <t>DX-V-060-047</t>
  </si>
  <si>
    <t>DX-V-060-048</t>
  </si>
  <si>
    <t>DX-V-060-049</t>
  </si>
  <si>
    <t>DX-V-060-045</t>
  </si>
  <si>
    <t>DD-V-116-025</t>
  </si>
  <si>
    <t>DD-V-235-004</t>
  </si>
  <si>
    <t>DD-V-235-006</t>
  </si>
  <si>
    <t>DX-V-073-002</t>
  </si>
  <si>
    <t>DX-V-060-051</t>
  </si>
  <si>
    <t>DX-V-087-004</t>
  </si>
  <si>
    <t>DD-V-186-003</t>
  </si>
  <si>
    <t>DX-V-060-050</t>
  </si>
  <si>
    <t>DD-V-235-005</t>
  </si>
  <si>
    <t>DX-V-032-011</t>
  </si>
  <si>
    <t>DX-V-002-022</t>
  </si>
  <si>
    <t>DX-V-015-025</t>
  </si>
  <si>
    <t>DX-V-032-019</t>
  </si>
  <si>
    <t>DX-V-033-016</t>
  </si>
  <si>
    <t>DX-V-033-017</t>
  </si>
  <si>
    <t>DX-V-028-014</t>
  </si>
  <si>
    <t>DX-V-060-052</t>
  </si>
  <si>
    <t>DX-V-060-053</t>
  </si>
  <si>
    <t>DX-V-017-010</t>
  </si>
  <si>
    <t>$41</t>
  </si>
  <si>
    <t>4441111039612886</t>
  </si>
  <si>
    <t>Лащенко Сергій Олексійович</t>
  </si>
  <si>
    <t>UA433220010000026202353175173</t>
  </si>
  <si>
    <t>DX-V-050-014</t>
  </si>
  <si>
    <t>DX-V-079-005</t>
  </si>
  <si>
    <t>DX-V-017-011</t>
  </si>
  <si>
    <t>DX-V-017-012</t>
  </si>
  <si>
    <t>DX-V-017-013</t>
  </si>
  <si>
    <t>DX-V-017-014</t>
  </si>
  <si>
    <t>DX-V-017-015</t>
  </si>
  <si>
    <t>DX-V-058-002</t>
  </si>
  <si>
    <t>DX-V-002-023</t>
  </si>
  <si>
    <t>DX-V-028-015</t>
  </si>
  <si>
    <t>DX-V-031-004</t>
  </si>
  <si>
    <t>DX-V-033-018</t>
  </si>
  <si>
    <t>DD-V-034-030</t>
  </si>
  <si>
    <t>DD-V-034-031</t>
  </si>
  <si>
    <t>DD-V-034-032</t>
  </si>
  <si>
    <t>DD-V-034-033</t>
  </si>
  <si>
    <t>DD-V-049-039</t>
  </si>
  <si>
    <t>DD-V-049-040</t>
  </si>
  <si>
    <t>DD-V-049-041</t>
  </si>
  <si>
    <t>DD-V-049-042</t>
  </si>
  <si>
    <t>DX-V-060-054</t>
  </si>
  <si>
    <t>DX-V-060-055</t>
  </si>
  <si>
    <t>DX-V-026-011</t>
  </si>
  <si>
    <t>DX-V-015-027</t>
  </si>
  <si>
    <t>DX-V-084-001</t>
  </si>
  <si>
    <t>DX-V-088-004</t>
  </si>
  <si>
    <t>DX-V-002-025</t>
  </si>
  <si>
    <t>DX-V-032-020</t>
  </si>
  <si>
    <t>DX-V-060-056</t>
  </si>
  <si>
    <t>DX-V-033-019</t>
  </si>
  <si>
    <t>DD-V-247-002</t>
  </si>
  <si>
    <t>DD-V-079-023</t>
  </si>
  <si>
    <t>DD-V-162-013</t>
  </si>
  <si>
    <t>DD-V-162-014</t>
  </si>
  <si>
    <t>DD-V-126-033</t>
  </si>
  <si>
    <t>DD-V-045-009</t>
  </si>
  <si>
    <t>DD-V-229-005</t>
  </si>
  <si>
    <t>DD-V-229-006</t>
  </si>
  <si>
    <t>DD-V-235-011 FR</t>
  </si>
  <si>
    <t>DD-V-235-011 DE</t>
  </si>
  <si>
    <t>DD-V-255-002</t>
  </si>
  <si>
    <t>DD-V-049-043</t>
  </si>
  <si>
    <t>DD-V-144-034</t>
  </si>
  <si>
    <t>DD-V-209-003</t>
  </si>
  <si>
    <t>DD-V-049-044</t>
  </si>
  <si>
    <t>DD-V-049-045</t>
  </si>
  <si>
    <t>DD-V-056-009</t>
  </si>
  <si>
    <t>DD-V-056-010</t>
  </si>
  <si>
    <t>DD-V-126-034</t>
  </si>
  <si>
    <t>DD-V-223-012</t>
  </si>
  <si>
    <t>DD-V-223-013</t>
  </si>
  <si>
    <t>DD-V-229-007</t>
  </si>
  <si>
    <t>DX-V-031-005</t>
  </si>
  <si>
    <t>DX-V-033-020</t>
  </si>
  <si>
    <t>DX-V-087-005</t>
  </si>
  <si>
    <t>DX-V-060-060</t>
  </si>
  <si>
    <t>DX-V-081-005</t>
  </si>
  <si>
    <t>DX-V-017-016</t>
  </si>
  <si>
    <t>DD-V-126-035</t>
  </si>
  <si>
    <t>DD-V-223-014</t>
  </si>
  <si>
    <t>DD-V-223-015</t>
  </si>
  <si>
    <t>DX-V-007-002</t>
  </si>
  <si>
    <t>DX-V-088-005</t>
  </si>
  <si>
    <t>DX-V-088-006</t>
  </si>
  <si>
    <t>DX-V-088-007</t>
  </si>
  <si>
    <t>DX-V-084-002</t>
  </si>
  <si>
    <t>DX-V-084-003</t>
  </si>
  <si>
    <t>DX-V-084-004</t>
  </si>
  <si>
    <t>DX-V-084-005</t>
  </si>
  <si>
    <t>DX-V-073-003</t>
  </si>
  <si>
    <t>DX-V-038-004</t>
  </si>
  <si>
    <t>DD-V-257-002</t>
  </si>
  <si>
    <t>DX-V-087-002</t>
  </si>
  <si>
    <t>DX-V-051-008</t>
  </si>
  <si>
    <t>DX-V-087-006</t>
  </si>
  <si>
    <t>DX-V-074-001</t>
  </si>
  <si>
    <t>DD-V-049-050</t>
  </si>
  <si>
    <t>DD-V-049-051</t>
  </si>
  <si>
    <t>DD-V-049-053</t>
  </si>
  <si>
    <t>DD-V-134-003</t>
  </si>
  <si>
    <t>DD-V-188-002</t>
  </si>
  <si>
    <t>DD-V-194-002</t>
  </si>
  <si>
    <t>DX-B-011-010</t>
  </si>
  <si>
    <t>DX-B-015-010</t>
  </si>
  <si>
    <t>DX-B-020-002</t>
  </si>
  <si>
    <t>DX-H-085-030_DE2024_Valentines+ DX-V-098-001_Hearts_DE_60s Length 30s | Hook Combo</t>
  </si>
  <si>
    <t>DX-V-098-001_Hearts_CupidBlow_DX-H-099-001_EN_60s  |  Hook Combo</t>
  </si>
  <si>
    <t>DX-V-098-001_Hearts_EN_60s Length ITR  |  Comp</t>
  </si>
  <si>
    <t>DX-V-098-001_Hearts_VdayRoses_DX-H-097-001_EN_30s  |  Hook Combo</t>
  </si>
  <si>
    <t>DX-V-098-001_Hearts_VDayRoses_DX-H-097-001_EN_60s  |  Hook Combo</t>
  </si>
  <si>
    <t>DX-V-098-002_Hearts_RT Length ITR  |  Comp</t>
  </si>
  <si>
    <t>DX-V-098-004_Hearts_DE2024_Valentines_DX-H-085-030_DE_60s  |  Hook Combo</t>
  </si>
  <si>
    <t>DD-V-250-031</t>
  </si>
  <si>
    <t>DD-V-049-049</t>
  </si>
  <si>
    <t>DD-V-229-008</t>
  </si>
  <si>
    <t>DD-V-223-017</t>
  </si>
  <si>
    <t>DD-V-223-018</t>
  </si>
  <si>
    <t>DD-V-034-034</t>
  </si>
  <si>
    <t>DD-V-034-035</t>
  </si>
  <si>
    <t>DX-B-020-002 dop resizes</t>
  </si>
  <si>
    <t>DX-V-107-002_RollBack_CupidBlow_DX-H-099-001_EN_60s  |  Hook Combo</t>
  </si>
  <si>
    <t>DX-V-106-003_BaseTrail_VDayRoses_DX-H-097-001_EN_30s  |  Hook Combo</t>
  </si>
  <si>
    <t>UA683220010000026202353816766</t>
  </si>
  <si>
    <t>Терлецька Марія Максимівна</t>
  </si>
  <si>
    <t>November</t>
  </si>
  <si>
    <t>December</t>
  </si>
  <si>
    <t>Jabuary</t>
  </si>
  <si>
    <t>Febraury</t>
  </si>
  <si>
    <t>DD-V-250-024</t>
  </si>
  <si>
    <t>DD-V-143-003</t>
  </si>
  <si>
    <t>DX-B-052-003</t>
  </si>
  <si>
    <t>DX-V-098-010</t>
  </si>
  <si>
    <t>DX-V-106-002</t>
  </si>
  <si>
    <t>DX-V-087-003</t>
  </si>
  <si>
    <t>DX-V-032-005</t>
  </si>
  <si>
    <t>DX-V-032-007</t>
  </si>
  <si>
    <t>DX-B-011-003 01</t>
  </si>
  <si>
    <t>DX-B-011-003 02</t>
  </si>
  <si>
    <t>DX-B-015-004 01</t>
  </si>
  <si>
    <t>DX-B-015-004 02</t>
  </si>
  <si>
    <t>DX-V-002-031</t>
  </si>
  <si>
    <t>DX-V-022-005_02</t>
  </si>
  <si>
    <t>DX-V-022-005_01</t>
  </si>
  <si>
    <t>DX-V-106-001</t>
  </si>
  <si>
    <t>DD-V-049-054</t>
  </si>
  <si>
    <t>DD-V-105-008</t>
  </si>
  <si>
    <t>DD-V-105-009</t>
  </si>
  <si>
    <t>DD-V-209-004</t>
  </si>
  <si>
    <t>DD-V-229-009</t>
  </si>
  <si>
    <t>DD-V-223-019</t>
  </si>
  <si>
    <t>DD-V-144-035</t>
  </si>
  <si>
    <t>DX-V-002-030_60s</t>
  </si>
  <si>
    <t>DX-V-002-030_30s</t>
  </si>
  <si>
    <t>DD-V-250-032</t>
  </si>
  <si>
    <t>DD-V-250-033</t>
  </si>
  <si>
    <t>DD-V-250-034</t>
  </si>
  <si>
    <t>DD-V-250-035</t>
  </si>
  <si>
    <t>DX-V-032-008</t>
  </si>
  <si>
    <t>DX-V-107-002_30s</t>
  </si>
  <si>
    <t>DX-V-107-002_60s</t>
  </si>
  <si>
    <t>DD-V-034-036</t>
  </si>
  <si>
    <t>DD-V-034-037</t>
  </si>
  <si>
    <t>DD-V-034-038</t>
  </si>
  <si>
    <t>DD-V-056-011</t>
  </si>
  <si>
    <t>DD-V-056-012</t>
  </si>
  <si>
    <t>DD-V-056-013</t>
  </si>
  <si>
    <t>DD-V-093-004</t>
  </si>
  <si>
    <t>DD-V-144-036</t>
  </si>
  <si>
    <t>DD-V-144-037</t>
  </si>
  <si>
    <t>DD-V-223-020</t>
  </si>
  <si>
    <t>DD-V-223-021</t>
  </si>
  <si>
    <t>DD-V-223-022</t>
  </si>
  <si>
    <t>DD-V-229-010</t>
  </si>
  <si>
    <t>DD-V-229-011</t>
  </si>
  <si>
    <t>DD-V-229-012</t>
  </si>
  <si>
    <t>DD-V-229-013</t>
  </si>
  <si>
    <t>DX-B-011-011</t>
  </si>
  <si>
    <t>DX-B-011-012</t>
  </si>
  <si>
    <t>DX-V-015-004_15s</t>
  </si>
  <si>
    <t>DX-V-015-028</t>
  </si>
  <si>
    <t>DX-V-022-005</t>
  </si>
  <si>
    <t>DX-V-087-008</t>
  </si>
  <si>
    <t>DX-V-087-001</t>
  </si>
  <si>
    <t>DX-V-085-013</t>
  </si>
  <si>
    <t>DX-V-085-012</t>
  </si>
  <si>
    <t>DX-V-042-008</t>
  </si>
  <si>
    <t>DX-V-032-023</t>
  </si>
  <si>
    <t>DX-V-026-012</t>
  </si>
  <si>
    <t>DD-V-049-055</t>
  </si>
  <si>
    <t>DD-V-049-056</t>
  </si>
  <si>
    <t>DD-V-105-010</t>
  </si>
  <si>
    <t>DD-V-105-011</t>
  </si>
  <si>
    <t>DD-V-116-028</t>
  </si>
  <si>
    <t>DD-V-137-047</t>
  </si>
  <si>
    <t>DD-V-223-023</t>
  </si>
  <si>
    <t>DD-V-257-003</t>
  </si>
  <si>
    <t>DX-V-002-029_Worlds_CupidBlow_DX-H-099-001_DE_30s  |  Hook Combo</t>
  </si>
  <si>
    <t>DX-V-085-038</t>
  </si>
  <si>
    <t>DX-V-028-016</t>
  </si>
  <si>
    <t>DX-V-002-032</t>
  </si>
  <si>
    <t>DX-V-015-029</t>
  </si>
  <si>
    <t>DX-V-033-021</t>
  </si>
  <si>
    <t>DX-V-002-033</t>
  </si>
  <si>
    <t>DD-V-049-057</t>
  </si>
  <si>
    <t>DD-V-049-058</t>
  </si>
  <si>
    <t>DD-V-078-057</t>
  </si>
  <si>
    <t>DD-V-034-039</t>
  </si>
  <si>
    <t>DD-V-223-025</t>
  </si>
  <si>
    <t>DD-V-223-026</t>
  </si>
  <si>
    <t>DD-H-155-001</t>
  </si>
  <si>
    <t>DD-V-137-048</t>
  </si>
  <si>
    <t>DD-V-223-001</t>
  </si>
  <si>
    <t>DD-V-116-001</t>
  </si>
  <si>
    <t>DD-V-137-001</t>
  </si>
  <si>
    <t>DD-V-126-001</t>
  </si>
  <si>
    <t>DX-V-106-009</t>
  </si>
  <si>
    <t>DX-V-106-008</t>
  </si>
  <si>
    <t>DX-V-106-007</t>
  </si>
  <si>
    <t>DX-V-106-006</t>
  </si>
  <si>
    <t>DD-V-084-007</t>
  </si>
  <si>
    <t>DS</t>
  </si>
  <si>
    <t>DS-V-001-011</t>
  </si>
  <si>
    <t>DS-V-001-012</t>
  </si>
  <si>
    <t>DS-V-002-019</t>
  </si>
  <si>
    <t>DS-V-002-021</t>
  </si>
  <si>
    <t>DX-V-107-004</t>
  </si>
  <si>
    <t>DX-V-023-001</t>
  </si>
  <si>
    <t>DX-V-033-006</t>
  </si>
  <si>
    <t>DX-V-112-002</t>
  </si>
  <si>
    <t>DX-V-002-035</t>
  </si>
  <si>
    <t>DX-V-107-005</t>
  </si>
  <si>
    <t>DD-V-204-002</t>
  </si>
  <si>
    <t>DD-H-002</t>
  </si>
  <si>
    <t>DD-H-001</t>
  </si>
  <si>
    <t>DX-H-001</t>
  </si>
  <si>
    <t>DS-V-002-027</t>
  </si>
  <si>
    <t>DS-V-002-011</t>
  </si>
  <si>
    <t>DS-V-002-024</t>
  </si>
  <si>
    <t>DS-V-004-006</t>
  </si>
  <si>
    <t>DS-V-001-009_IT</t>
  </si>
  <si>
    <t>DS-V-001-007_IT</t>
  </si>
  <si>
    <t>DS-V-001-007_FE</t>
  </si>
  <si>
    <t>DS-V-001-009_FE</t>
  </si>
  <si>
    <t>DS-V-002-017_DE</t>
  </si>
  <si>
    <t>DS-V-002-017_IT</t>
  </si>
  <si>
    <t>DS-V-002-009_DE</t>
  </si>
  <si>
    <t>DS-V-002-009_IT</t>
  </si>
  <si>
    <t>DS-V-002-015_DE</t>
  </si>
  <si>
    <t>DS-V-002-015_IT</t>
  </si>
  <si>
    <t>DS-V-002-007_DE</t>
  </si>
  <si>
    <t>DS-V-002-007_IT</t>
  </si>
  <si>
    <t>DD-V-126-036</t>
  </si>
  <si>
    <t>DS-V-002-013_IT</t>
  </si>
  <si>
    <t>DS-V-002-007_ES</t>
  </si>
  <si>
    <t>DS-V-002-009_ES</t>
  </si>
  <si>
    <t>DS-V-002-013_ES</t>
  </si>
  <si>
    <t>DS-V-002-015_ES</t>
  </si>
  <si>
    <t>DS-V-002-017_ES</t>
  </si>
  <si>
    <t>DS-V-001-007_ES</t>
  </si>
  <si>
    <t>DS-V-001-009_ES</t>
  </si>
  <si>
    <t>DX-V-022-007</t>
  </si>
  <si>
    <t>DS-V-001-017</t>
  </si>
  <si>
    <t>DS-V-001-018</t>
  </si>
  <si>
    <t>DD-V-223-028</t>
  </si>
  <si>
    <t>DD_260_003</t>
  </si>
  <si>
    <t>DX-UGC-300-004</t>
  </si>
  <si>
    <t>DX-V-088-010</t>
  </si>
  <si>
    <t>DX-V-106-010</t>
  </si>
  <si>
    <t>DD-H-266-001</t>
  </si>
  <si>
    <t>DD-V-241-005</t>
  </si>
  <si>
    <t>DS-V-002-018</t>
  </si>
  <si>
    <t>DS-V-002-009</t>
  </si>
  <si>
    <t>DS-V-002-010</t>
  </si>
  <si>
    <t>DD-V-105-003</t>
  </si>
  <si>
    <t>DD-V-049-001</t>
  </si>
  <si>
    <t>DD-V-229-001</t>
  </si>
  <si>
    <t>DX-V-107-007</t>
  </si>
  <si>
    <t>DX-V-106-012</t>
  </si>
  <si>
    <t>DX-V-102-001</t>
  </si>
  <si>
    <t>DX-V-051-010</t>
  </si>
  <si>
    <t>DX-V-002-003</t>
  </si>
  <si>
    <t>DX-V-017-006</t>
  </si>
  <si>
    <t>DX-V-106-013</t>
  </si>
  <si>
    <t>DD-V-260-011</t>
  </si>
  <si>
    <t>DD-V-260-012</t>
  </si>
  <si>
    <t>DD-V-260-013</t>
  </si>
  <si>
    <t>DD-V-223-031</t>
  </si>
  <si>
    <t>DD-V-229-014</t>
  </si>
  <si>
    <t>DD-V-137-049</t>
  </si>
  <si>
    <t>DD-V-260-014</t>
  </si>
  <si>
    <t>DD-V-260-015</t>
  </si>
  <si>
    <t>DD-V-137-050</t>
  </si>
  <si>
    <t>DD-V-223-032</t>
  </si>
  <si>
    <t>DD-V-260-016</t>
  </si>
  <si>
    <t>DD-V-229-015</t>
  </si>
  <si>
    <t>DD-H-260-017</t>
  </si>
  <si>
    <t>DX-V-106-014</t>
  </si>
  <si>
    <t>DX-V-042-001</t>
  </si>
  <si>
    <t>DD-V-116-029</t>
  </si>
  <si>
    <t>DD-V-137-053</t>
  </si>
  <si>
    <t>DD-H-260-018</t>
  </si>
  <si>
    <t>DD-V-049-060</t>
  </si>
  <si>
    <t>DD-UGC-300-004</t>
  </si>
  <si>
    <t>DD-UGC-300-005_CandyLand_CherryPick</t>
  </si>
  <si>
    <t>DD-UGC-300-005_CandyLand_StreetQuiz</t>
  </si>
  <si>
    <t>DD-V-260-021</t>
  </si>
  <si>
    <t>DD-V-260-022</t>
  </si>
  <si>
    <t>DD-V-260-023</t>
  </si>
  <si>
    <t>DD-V-260-024</t>
  </si>
  <si>
    <t>DD-V-260-025</t>
  </si>
  <si>
    <t>DD-V-260-026</t>
  </si>
  <si>
    <t>DD-V-260-027</t>
  </si>
  <si>
    <t>DD-V-260-028</t>
  </si>
  <si>
    <t>DD-V-260-029</t>
  </si>
  <si>
    <t>DD-V-260-030</t>
  </si>
  <si>
    <t>DD-V-260-031</t>
  </si>
  <si>
    <t>DD-V-260-032</t>
  </si>
  <si>
    <t>Настя менеджер</t>
  </si>
  <si>
    <t>DD-V-260_CandyLand_SpecialOffer_EN</t>
  </si>
  <si>
    <t>DD-V-273_CoinDozer_CandyLand</t>
  </si>
  <si>
    <t>DD-V-260-039</t>
  </si>
  <si>
    <t>DD-V-260-040</t>
  </si>
  <si>
    <t>DD-V-260-041</t>
  </si>
  <si>
    <t>DD-V-260-042</t>
  </si>
  <si>
    <t>DD-V-260-043</t>
  </si>
  <si>
    <t>DX-V-112-005</t>
  </si>
  <si>
    <t>DX-V-084-008</t>
  </si>
  <si>
    <t>DX-V-112-007</t>
  </si>
  <si>
    <t>DX-V-113-002</t>
  </si>
  <si>
    <t>DD-V-241-001</t>
  </si>
  <si>
    <t>DD-V-255-003</t>
  </si>
  <si>
    <t>ADMIN</t>
  </si>
  <si>
    <t>DX-V-090-001</t>
  </si>
  <si>
    <t>DX-V-112-008</t>
  </si>
  <si>
    <t>DX-V-119-002</t>
  </si>
  <si>
    <t>DD-H-277-001</t>
  </si>
  <si>
    <t>DD-V-229-018</t>
  </si>
  <si>
    <t>DD-V-126-037</t>
  </si>
  <si>
    <t>DD-AIV-114-002</t>
  </si>
  <si>
    <t>DD-V-049-061</t>
  </si>
  <si>
    <t>DD-H-178-002</t>
  </si>
  <si>
    <t>DD-V-195-004</t>
  </si>
  <si>
    <t>DD-V-223-036</t>
  </si>
  <si>
    <t>DD-V-273-003</t>
  </si>
  <si>
    <t>DX-V-002-037</t>
  </si>
  <si>
    <t>DX-V-107-009</t>
  </si>
  <si>
    <t>DX-V-114-004</t>
  </si>
  <si>
    <t>DX-V-106-016</t>
  </si>
  <si>
    <t>DX-V-119-001</t>
  </si>
  <si>
    <t>DX-V-113-001</t>
  </si>
  <si>
    <t>DD-V-229-023</t>
  </si>
  <si>
    <t>DD-AIV-114-006</t>
  </si>
  <si>
    <t>DD-V-126-040</t>
  </si>
  <si>
    <t>DD-V-049-066</t>
  </si>
  <si>
    <t>DD-V-137-054</t>
  </si>
  <si>
    <t>DD-V-229-028</t>
  </si>
  <si>
    <t>DD-V-229-029</t>
  </si>
  <si>
    <t>DD-V-223-038</t>
  </si>
  <si>
    <t>DD-V-223-039</t>
  </si>
  <si>
    <t>DD-V-137-055</t>
  </si>
  <si>
    <t>DD-V-137-056</t>
  </si>
  <si>
    <t>DD-V-137-057</t>
  </si>
  <si>
    <t>DD-V-223-044</t>
  </si>
  <si>
    <t>Анастасія</t>
  </si>
  <si>
    <t>DX-H-128-001</t>
  </si>
  <si>
    <t>DD-V-241-002</t>
  </si>
  <si>
    <t>DD-V-049-071</t>
  </si>
  <si>
    <t>DD-V-229-031</t>
  </si>
  <si>
    <t>DD-V-223-045</t>
  </si>
  <si>
    <t>DD-V-049-072</t>
  </si>
  <si>
    <t>DX-V-122-002</t>
  </si>
  <si>
    <t>DX-V-122-001</t>
  </si>
  <si>
    <t>DX-V-116-002</t>
  </si>
  <si>
    <t>DX-V-113-003</t>
  </si>
  <si>
    <t>DX-V-107-012</t>
  </si>
  <si>
    <t>DD-V-273-005</t>
  </si>
  <si>
    <t>DD-V-195-007</t>
  </si>
  <si>
    <t>DD-V-281-005</t>
  </si>
  <si>
    <t>DD-V-137-058</t>
  </si>
  <si>
    <t>DD-V-223-046</t>
  </si>
  <si>
    <t>DD-V-223-047</t>
  </si>
  <si>
    <t>DD-V-229-032</t>
  </si>
  <si>
    <t>DD-V-229-033</t>
  </si>
  <si>
    <t>2025 PROJECT NAME</t>
  </si>
  <si>
    <t>DX-V-113-004</t>
  </si>
  <si>
    <t>DX-VEO-001-001</t>
  </si>
  <si>
    <t>DX-VEO-002-001</t>
  </si>
  <si>
    <t>DX-VEO-003-001</t>
  </si>
  <si>
    <t>DD-V-049-073</t>
  </si>
  <si>
    <t>DD-V-137-059</t>
  </si>
  <si>
    <t>DD-V-212-002</t>
  </si>
  <si>
    <t>DD-P-021</t>
  </si>
  <si>
    <t>DD-V-289-002</t>
  </si>
  <si>
    <t>DD-V-195-008</t>
  </si>
  <si>
    <t>DD-AIV-202-002</t>
  </si>
  <si>
    <t>DD-G-287-002</t>
  </si>
  <si>
    <t>DD-V-195-009</t>
  </si>
  <si>
    <t>DD-AIV-207-002</t>
  </si>
  <si>
    <t>DD-V-137-060</t>
  </si>
  <si>
    <t>DD-V-293_001</t>
  </si>
  <si>
    <t>DD-V-229-034</t>
  </si>
  <si>
    <t>DX-V-083-011</t>
  </si>
  <si>
    <t>DX-V-119-008</t>
  </si>
  <si>
    <t>DX-V-119-009</t>
  </si>
  <si>
    <t>DX-V-083-012</t>
  </si>
  <si>
    <t>DX-AIV-0197-004</t>
  </si>
  <si>
    <t>DX-V-092-003</t>
  </si>
  <si>
    <t>DX-V-115-002</t>
  </si>
  <si>
    <t>DX-V-119-006</t>
  </si>
  <si>
    <t>DX-AIV-139-001</t>
  </si>
  <si>
    <t>DX-V-083-013</t>
  </si>
  <si>
    <t>DX-AIV-139-002</t>
  </si>
  <si>
    <t>DX-V-115-003</t>
  </si>
  <si>
    <t>DX-V-115-004</t>
  </si>
  <si>
    <t>DX-V-116-003</t>
  </si>
  <si>
    <t>DX-V-116-004</t>
  </si>
  <si>
    <t>DX-V-127-002</t>
  </si>
  <si>
    <t>DX-V-110-002</t>
  </si>
  <si>
    <t>DX-V-107-013</t>
  </si>
  <si>
    <t>DX-V-002-038</t>
  </si>
  <si>
    <t>DX-V-060-026</t>
  </si>
  <si>
    <t>DX-V-119-010</t>
  </si>
  <si>
    <t>DX-V-112-010</t>
  </si>
  <si>
    <t>DX-V-136-002</t>
  </si>
  <si>
    <t>DX-AIV-0213-004</t>
  </si>
  <si>
    <t>DX-VEO-004-001</t>
  </si>
  <si>
    <t>DX-V-136-003</t>
  </si>
  <si>
    <t>DX-V-050-016</t>
  </si>
  <si>
    <t>DD-VEO-004_Gingerbread_EN_08s | HC</t>
  </si>
  <si>
    <t>DD-VEO-004_Gingerbread_EN_08s | HC2</t>
  </si>
  <si>
    <t>DD-VEO-004_Gingerbread_EN_08s | HC3</t>
  </si>
  <si>
    <t>DD-V-257-004</t>
  </si>
  <si>
    <t>DD-V-137</t>
  </si>
  <si>
    <t>DD-VEO-008-001</t>
  </si>
  <si>
    <t>DD-VEO-007-002</t>
  </si>
  <si>
    <t>DD-V-211-006</t>
  </si>
  <si>
    <t>DX-VEO-005-001</t>
  </si>
  <si>
    <t>DX-VEO-006-001</t>
  </si>
  <si>
    <t>DX-VEO-007-001</t>
  </si>
  <si>
    <t>DX-B-087-003</t>
  </si>
  <si>
    <t>DX-V-107-014</t>
  </si>
  <si>
    <t>DX-V-127-003</t>
  </si>
  <si>
    <t>DX-V-128-002</t>
  </si>
  <si>
    <t>DX-V-128-001</t>
  </si>
  <si>
    <t>DX-SS-019-002</t>
  </si>
  <si>
    <t>DX-V-135-002</t>
  </si>
  <si>
    <t>Cameo UGC | NEW  |  Video ITR</t>
  </si>
  <si>
    <t xml:space="preserve">DD-V-078_FirePhoneSwipe </t>
  </si>
  <si>
    <t>DD-V-078__NoDiceTryItYourself</t>
  </si>
  <si>
    <t>DD-UGC-300</t>
  </si>
  <si>
    <t>DD-V-292</t>
  </si>
  <si>
    <t>DD-V-049</t>
  </si>
  <si>
    <t>DD-V-292-007</t>
  </si>
  <si>
    <t>DD-UGC-300-009</t>
  </si>
  <si>
    <t>DD-V-292-010</t>
  </si>
  <si>
    <t>DD-V-279-002</t>
  </si>
  <si>
    <t>DD-V-195-010</t>
  </si>
  <si>
    <t>DD-AIV-107-002</t>
  </si>
  <si>
    <t>DD-V-211-007</t>
  </si>
  <si>
    <t>DD-VEO-009</t>
  </si>
  <si>
    <t>DD-V-292-013</t>
  </si>
  <si>
    <t>DD-V-292-015</t>
  </si>
  <si>
    <t>DD-V-292-017</t>
  </si>
  <si>
    <t>DD-V-292-005</t>
  </si>
  <si>
    <t>DD-VEO-006</t>
  </si>
  <si>
    <t>DD-UGC-300-012</t>
  </si>
  <si>
    <t>DD-VEO-010-001</t>
  </si>
  <si>
    <t>DD-VEO-010+011-001</t>
  </si>
  <si>
    <t>DD-V-295-001</t>
  </si>
  <si>
    <t>DD-V-292-019</t>
  </si>
  <si>
    <t>Аліна</t>
  </si>
  <si>
    <t>Олекса</t>
  </si>
  <si>
    <t>EMPL 6</t>
  </si>
  <si>
    <t>EMPL 7</t>
  </si>
  <si>
    <t>DX-V-119-012</t>
  </si>
  <si>
    <t>DX-V-119-003</t>
  </si>
  <si>
    <t>DX-V-134-001</t>
  </si>
  <si>
    <t>DX-V-134-002</t>
  </si>
  <si>
    <t>DX-VEO-012-001</t>
  </si>
  <si>
    <t>DX-VEO-013-001</t>
  </si>
  <si>
    <t>DX-VEO-015-001</t>
  </si>
  <si>
    <t>DX-V-118-005</t>
  </si>
  <si>
    <t>DX-V-115-006</t>
  </si>
  <si>
    <t>DX-V-135-004</t>
  </si>
  <si>
    <t>DX-V-002-034</t>
  </si>
  <si>
    <t>DX-V-107-001</t>
  </si>
  <si>
    <t>DX-V-115-001</t>
  </si>
  <si>
    <t>DX-VEO-014-001</t>
  </si>
  <si>
    <t>DX-V-116-001</t>
  </si>
  <si>
    <t>DX-V-128-001_RopeRivals_FR_30s  |  LOC</t>
  </si>
  <si>
    <t>DX-V-002-036</t>
  </si>
  <si>
    <t>DX-V-083-005</t>
  </si>
  <si>
    <t>DX-V-135-003</t>
  </si>
  <si>
    <t>DX-V-135-004_ASODreams_DX-AIV-0244-003_EN</t>
  </si>
  <si>
    <t>DX-V-113-003_Boring_DX-V-119-001_FR</t>
  </si>
  <si>
    <t>DX-V-116-003_Scuba_DX-AIV-0071-001_FR</t>
  </si>
  <si>
    <t>on hold</t>
  </si>
  <si>
    <t>DD-V-291-001_ChefCollections</t>
  </si>
  <si>
    <t>DD-V-294-001_LavaQuest</t>
  </si>
  <si>
    <t>DD-V-292-021</t>
  </si>
  <si>
    <t>DD-P-021-001</t>
  </si>
  <si>
    <t>DD IT - 3 VEO Hooks  |  VEO Cake</t>
  </si>
  <si>
    <t>DD IT - 3 VEO Hooks  |  VEO Football</t>
  </si>
  <si>
    <t>DD-V-294-001_LavaQuest_EN_30s JA</t>
  </si>
  <si>
    <t>DD-V-298-001_Disco_EN_60s - JA</t>
  </si>
  <si>
    <t>DD-VEO-016-001</t>
  </si>
  <si>
    <t>DD-H-251-002</t>
  </si>
  <si>
    <t>DD-V-305_AndreasSeppi</t>
  </si>
  <si>
    <t>DD-V-306-001</t>
  </si>
  <si>
    <t>DD-V-307</t>
  </si>
  <si>
    <t>DD-VEO-011</t>
  </si>
  <si>
    <t>DD-V-223</t>
  </si>
  <si>
    <t>DD-V-298_Disco_DD-H-251-001</t>
  </si>
  <si>
    <t>DD-V-078</t>
  </si>
  <si>
    <t>DD-V-045</t>
  </si>
  <si>
    <t>DD-V-223-050</t>
  </si>
  <si>
    <t>DD-V-223-051</t>
  </si>
  <si>
    <t>DD-V-292-014</t>
  </si>
  <si>
    <t>Іра</t>
  </si>
  <si>
    <t>EMPL 5</t>
  </si>
  <si>
    <t>Аліна Колесник</t>
  </si>
  <si>
    <t>UA193220010000026205327095598</t>
  </si>
  <si>
    <t>Злотко Олексій</t>
  </si>
  <si>
    <t>DX-VEO-004-002</t>
  </si>
  <si>
    <t>DX-VEO-008-001</t>
  </si>
  <si>
    <t>DX-VEO-009-001</t>
  </si>
  <si>
    <t>DX-VEO-010-001</t>
  </si>
  <si>
    <t>DX-VEO-011-001</t>
  </si>
  <si>
    <t>DX-B-098-002</t>
  </si>
  <si>
    <t>DX-V-118-004_Chef_Smoothie</t>
  </si>
  <si>
    <t>DX-V-119-011_Trails_DX-V-106-009</t>
  </si>
  <si>
    <t>DX-V-122-004</t>
  </si>
  <si>
    <t>DX-V-128-003</t>
  </si>
  <si>
    <t>DX-V-141-003</t>
  </si>
  <si>
    <t>DD-V-137-065</t>
  </si>
  <si>
    <t>DD-V-292-022</t>
  </si>
  <si>
    <t xml:space="preserve">DD XMAS Resize </t>
  </si>
  <si>
    <t>DD-V-292-023</t>
  </si>
  <si>
    <t>DD-SS-003-008</t>
  </si>
  <si>
    <t>DD - Translate To IT - DD-V-292-022</t>
  </si>
  <si>
    <t>DD IT Translation - DD-V-295-001_FindPeon</t>
  </si>
  <si>
    <t>DD IT Translate - DD-V-137-065_FakeTrail</t>
  </si>
  <si>
    <t>DD IT Translate - DD-V-049-001_Trail_Knight</t>
  </si>
  <si>
    <t>DD-H-265-001_DailyGift</t>
  </si>
  <si>
    <t>DD-V-254-004</t>
  </si>
  <si>
    <t>DD IT - 3 VEO Hooks  |  VEO Emily</t>
  </si>
  <si>
    <t>DD IT Translate - DD-V-292-005_WheelOfFortune</t>
  </si>
  <si>
    <t>Верлинська</t>
  </si>
  <si>
    <t>Cіченко</t>
  </si>
  <si>
    <t>Cічень</t>
  </si>
  <si>
    <t>Грудень</t>
  </si>
  <si>
    <t>Сьогодні</t>
  </si>
  <si>
    <t>результат</t>
  </si>
  <si>
    <t>Cергій</t>
  </si>
  <si>
    <t>02,02,2026</t>
  </si>
  <si>
    <t>СІЧЕНЬ!</t>
  </si>
  <si>
    <t>4874070053093694</t>
  </si>
  <si>
    <t>DX-V-098-002</t>
  </si>
  <si>
    <t>DD-V-255-004</t>
  </si>
  <si>
    <t>DD-V-223-052_FirstPlace_TPIR_EN</t>
  </si>
  <si>
    <t>DD-H-256-003</t>
  </si>
  <si>
    <t>DD-P-028-001</t>
  </si>
  <si>
    <t>DD-VEO-017-001</t>
  </si>
  <si>
    <t>DD-VEO-018-001</t>
  </si>
  <si>
    <t>DD-VEO-019-001</t>
  </si>
  <si>
    <t>DD-VEO-020-001</t>
  </si>
  <si>
    <t>DD-V-292_WheelOfFortune_Bombs</t>
  </si>
  <si>
    <t xml:space="preserve">DD PT-BR CTA Change </t>
  </si>
  <si>
    <t>DX-V-083-017_CoinExplosion</t>
  </si>
  <si>
    <t>DX-V-134-006_WorldTour</t>
  </si>
  <si>
    <t>DX-VEO-023-001</t>
  </si>
  <si>
    <t>DX-VEO-024-001</t>
  </si>
  <si>
    <t>DX-V-145-005</t>
  </si>
  <si>
    <t>DX-V-145-006</t>
  </si>
  <si>
    <t>DX-V-135-008</t>
  </si>
  <si>
    <t>DX-V-135-009</t>
  </si>
  <si>
    <t>DX-V-145-007</t>
  </si>
  <si>
    <t>DX-V-145-008</t>
  </si>
  <si>
    <t>DX-V-135-010</t>
  </si>
  <si>
    <t>DX-V-135-011</t>
  </si>
  <si>
    <t>DX-V-145-009</t>
  </si>
  <si>
    <t>DX-V-145-010</t>
  </si>
  <si>
    <t>DX-V-135-012</t>
  </si>
  <si>
    <t>DX-V-135-013</t>
  </si>
  <si>
    <t>DD-V-049-080_TrailKnight_DD-VEO-017-001_PT-BR_30s |  HC</t>
  </si>
  <si>
    <t xml:space="preserve">DD-V-137-066_FakeTrail_DD-VEO-017-001_PT-BR_30s  |  HC </t>
  </si>
  <si>
    <t>DD-V-257-005_AlbumSticker_DD-VEO-017-001_PT-BR_30s  |  HC</t>
  </si>
  <si>
    <t>DD-V-291-002_ChefCollections_DD-VEO-017-001_PT-BR_30s  |  HC</t>
  </si>
  <si>
    <t>DD-V-292-031_WheelOfFortune_DD-VEO-017-001_PT-BR_30s  |  HC</t>
  </si>
  <si>
    <t>DD-V-126-043_PullThePin</t>
  </si>
  <si>
    <t>DD-V-126-044_PullThePin</t>
  </si>
  <si>
    <t>DD-VEO-021-001_HoneyDog</t>
  </si>
  <si>
    <t>DD-VEO-022-001_MapleDog</t>
  </si>
  <si>
    <t>DD-UGC-300-005</t>
  </si>
  <si>
    <t>DD-UGC-300-006</t>
  </si>
  <si>
    <t>DD-UGC-300-007</t>
  </si>
  <si>
    <t>DD-V-137-067</t>
  </si>
  <si>
    <t>DD-V-137-068</t>
  </si>
  <si>
    <t>DD-V-311-001+002</t>
  </si>
  <si>
    <t>DD-VEO-023-001</t>
  </si>
  <si>
    <t>DD-VEO-024-001</t>
  </si>
  <si>
    <t>DD-V-311-003_Nippon</t>
  </si>
  <si>
    <t>DD-V-311-004_Nippon</t>
  </si>
  <si>
    <t>DD-VEO-025-001</t>
  </si>
  <si>
    <t>DD-V-292-032</t>
  </si>
  <si>
    <t>DD-V-292-033</t>
  </si>
  <si>
    <t>DD-V-126-045</t>
  </si>
  <si>
    <t>DD-V-126-046</t>
  </si>
  <si>
    <t>DD-VEO-026-001</t>
  </si>
  <si>
    <t>DD-V-292-034</t>
  </si>
  <si>
    <t>UA943077700000026208713943056</t>
  </si>
  <si>
    <t>4323345037851582</t>
  </si>
  <si>
    <t>DX-V-135-012_ES-LA</t>
  </si>
  <si>
    <t>DX-V-135-013_ES-LA</t>
  </si>
  <si>
    <t>DX-V-135-014</t>
  </si>
  <si>
    <t>DX-V-135-015</t>
  </si>
  <si>
    <t>DX-V-135-016</t>
  </si>
  <si>
    <t>DX-AIV-0267-002</t>
  </si>
  <si>
    <t>DX-AIV-0267-003</t>
  </si>
  <si>
    <t>DX-V-051-011</t>
  </si>
  <si>
    <t>DX-V-051-012</t>
  </si>
  <si>
    <t>DX-V-145-011</t>
  </si>
  <si>
    <t>DX-V-145-012</t>
  </si>
  <si>
    <t>DX-VEO-026-001</t>
  </si>
  <si>
    <t>DX-VEO-027-001</t>
  </si>
  <si>
    <t>DD-V-126-047</t>
  </si>
  <si>
    <t>DD-V-137-069</t>
  </si>
  <si>
    <t>DD-V-249-004</t>
  </si>
  <si>
    <t>DD-VEO-027-001</t>
  </si>
  <si>
    <t>DD-VEO-028-001</t>
  </si>
  <si>
    <t>DD-VEO-027-002</t>
  </si>
  <si>
    <t>DD-V-311</t>
  </si>
  <si>
    <t>DD-V-298</t>
  </si>
  <si>
    <t>DD-V-294</t>
  </si>
  <si>
    <t>DD-V-211</t>
  </si>
  <si>
    <t>DD-V-126</t>
  </si>
  <si>
    <t>DD-VEO-029-001</t>
  </si>
  <si>
    <t>DD-V-Record - REFERENCE_DD-P-031-002</t>
  </si>
  <si>
    <t>DD-V-Record - REFERENCE_DD-P-032</t>
  </si>
  <si>
    <t>DD-V-Record - REFERENCE_DD-P-034-001</t>
  </si>
  <si>
    <t>DD-V-Record - REFERENCE_DD-P-035-001</t>
  </si>
  <si>
    <t>DD-V-Record - REFERENCE_DD-P-036-001</t>
  </si>
  <si>
    <t>DD-V-Record - DD-P-037-001</t>
  </si>
  <si>
    <t>DD-V-Record - REFERENCE_DD-P-040-001</t>
  </si>
  <si>
    <t>DD-V-292-037</t>
  </si>
  <si>
    <t>DD-V-292-038</t>
  </si>
  <si>
    <t>DD-V-271-002</t>
  </si>
  <si>
    <t>DD-UGC-300-005_Classic_Auntie</t>
  </si>
  <si>
    <t>DD-UGC-300-006_Classic_Auntie</t>
  </si>
  <si>
    <t>DD-UGC-300-005_SpecificActrees</t>
  </si>
  <si>
    <t>DD-UGC-300-006_SpecificActrees</t>
  </si>
  <si>
    <t>DD-UGC-300-005_HardcoreDiceDreamer</t>
  </si>
  <si>
    <t>DD-UGC-300-006_HardcoreDiceDreamer</t>
  </si>
  <si>
    <t>DD-V-300-007_SpecificActress</t>
  </si>
  <si>
    <t>DD-V-300-007_HardcoreDiceDreamer</t>
  </si>
  <si>
    <t>DD-V-300-005_Classic_SilverFox</t>
  </si>
  <si>
    <t>DD-V-300-005_SpecificActress_RippingSign</t>
  </si>
  <si>
    <t>DD-V-300-005_SpecificActress_PlayingWithaFriend</t>
  </si>
  <si>
    <t>DD-V-039-007_GoogleFairy</t>
  </si>
  <si>
    <t>DD-V-079-028_GameplayProject</t>
  </si>
  <si>
    <t>DD-V-034-041_AttackFeature</t>
  </si>
  <si>
    <t>DD-V-236-002_MergeDreams</t>
  </si>
  <si>
    <t>DD-VEO-030-001_DuoStickers</t>
  </si>
  <si>
    <t>DD-V-292-039_WheelOfFortune</t>
  </si>
  <si>
    <t>DD-V-049-080_TrailKnight</t>
  </si>
  <si>
    <t>DD-V-281-008_MegaTrail</t>
  </si>
  <si>
    <t>DD-UGC-300-007_HardcoreDiceDreamer</t>
  </si>
  <si>
    <t>DD-UGC-300-005_SpecificActrees_RippingSign</t>
  </si>
  <si>
    <t>DD-V-034-042_AttackFeature</t>
  </si>
  <si>
    <t>DD-V-079-029_GameplayProject</t>
  </si>
  <si>
    <t>DD-V-079-030_GameplayProject</t>
  </si>
  <si>
    <t>DD-UGC-300-006_SpecificActrees_RippingSign</t>
  </si>
  <si>
    <t>DD-UGC-300-005_Calssic_SilverFox</t>
  </si>
  <si>
    <t>DD-UGC-300-008_HardcoreDiceDreamer</t>
  </si>
  <si>
    <t>DD-UGC-300-007_SpecificActrees</t>
  </si>
  <si>
    <t>DD-VEO-031-001_DiceCreamBite</t>
  </si>
  <si>
    <t>DD-V-049-082_TrailKnight_Bombs</t>
  </si>
  <si>
    <t>DD-V-079-031_GameplayProject</t>
  </si>
  <si>
    <t>DD-V-079-032_GameplayProject</t>
  </si>
  <si>
    <t>DD-V-079-033_GameplayProject</t>
  </si>
  <si>
    <t>DD-V-079-034_GameplayProject</t>
  </si>
  <si>
    <t>DD-VEO-032-001</t>
  </si>
  <si>
    <t>DD-VEO-033-001</t>
  </si>
  <si>
    <t>DD-H-274-002</t>
  </si>
  <si>
    <t>DD-VEO-034-001</t>
  </si>
  <si>
    <t>DD-V-331-003</t>
  </si>
  <si>
    <t>DD-P-045-001</t>
  </si>
  <si>
    <t>DD-VEO-035-001</t>
  </si>
  <si>
    <t>DD-VEO-036-001</t>
  </si>
  <si>
    <t>DD-V-271-003</t>
  </si>
  <si>
    <t>DD-V-297-002</t>
  </si>
  <si>
    <t>DD-VEO-037-001</t>
  </si>
  <si>
    <t>DD-VEO-038-001</t>
  </si>
  <si>
    <t>DD-VEO-039-001</t>
  </si>
  <si>
    <t>DD-V-323-001_MissU</t>
  </si>
  <si>
    <t>DD-VEO-040-001</t>
  </si>
  <si>
    <t>DD-V-324-001</t>
  </si>
  <si>
    <t>DD-VEO-041-001</t>
  </si>
  <si>
    <t>DD-VEO-042-001</t>
  </si>
  <si>
    <t>DD-V-297-003</t>
  </si>
  <si>
    <t>DD-V-297-004</t>
  </si>
  <si>
    <t>DD-V-297-005</t>
  </si>
  <si>
    <t>DD-V-156-003</t>
  </si>
  <si>
    <t>DD-V-156-004</t>
  </si>
  <si>
    <t>DD-V-156-005</t>
  </si>
  <si>
    <t>DD-V-156-006</t>
  </si>
  <si>
    <t>DD-UGC-300-005_RoyalMatch</t>
  </si>
  <si>
    <t>DD-UGC-300-006_RoyalMatch</t>
  </si>
  <si>
    <t>DD-UGC-300-007_Specific_Ripping</t>
  </si>
  <si>
    <t>DD-UGC-300-008_Specific_Ripping</t>
  </si>
  <si>
    <t>DD-UGC-300-005_AccidentalCollision</t>
  </si>
  <si>
    <t>DD-UGC-300-006_AccidentalCollision</t>
  </si>
  <si>
    <t>DD-VEO-043-001</t>
  </si>
  <si>
    <t>DD-VEO-044-001</t>
  </si>
  <si>
    <t>DD-VEO-045-001</t>
  </si>
  <si>
    <t>DX-VEO-028-001</t>
  </si>
  <si>
    <t>DX-VEO-029-001</t>
  </si>
  <si>
    <t>DX-VEO-030-001</t>
  </si>
  <si>
    <t>DX-VEO-031-001</t>
  </si>
  <si>
    <t>DX-VEO-032-001</t>
  </si>
  <si>
    <t>DX-VEO-033-001</t>
  </si>
  <si>
    <t>DX-V-162-001</t>
  </si>
  <si>
    <t>DX-V-154-002</t>
  </si>
  <si>
    <t>DX-VEO-034-001</t>
  </si>
  <si>
    <t>DX-VEO-034-002</t>
  </si>
  <si>
    <t>DX-VEO-035-001</t>
  </si>
  <si>
    <t>DX-VEO-036-001</t>
  </si>
  <si>
    <t>DX-VEO-037-001</t>
  </si>
  <si>
    <t>DX-VEO-038-001</t>
  </si>
  <si>
    <t>DX-B-007-006</t>
  </si>
  <si>
    <t>DX-VEO-039-001</t>
  </si>
  <si>
    <t>DX-VEO-040-001</t>
  </si>
  <si>
    <t>DX-V-135-019</t>
  </si>
  <si>
    <t>DX-V-135-020</t>
  </si>
  <si>
    <t>DX-V-151-002</t>
  </si>
  <si>
    <t>DX-V-151-003</t>
  </si>
  <si>
    <t>DX-UGC-100-004_TheOnlyGame</t>
  </si>
  <si>
    <t>DX-UGC-100-005_TheOnlyGame</t>
  </si>
  <si>
    <t>DX-V-051-013</t>
  </si>
  <si>
    <t>DX-V-051-014</t>
  </si>
  <si>
    <t>DX-V-135-021</t>
  </si>
  <si>
    <t>DX-V-135-022</t>
  </si>
  <si>
    <t>DX-VEO-041-001</t>
  </si>
  <si>
    <t>DX-VEO-042-001</t>
  </si>
  <si>
    <t>DX-VEO-043-001</t>
  </si>
  <si>
    <t>DX-V-112-011</t>
  </si>
  <si>
    <t>DX-V-112-012</t>
  </si>
  <si>
    <t>DX-V-112-013</t>
  </si>
  <si>
    <t>DX-V-LOC - 152-001</t>
  </si>
  <si>
    <t>DX-VEO-044-001</t>
  </si>
  <si>
    <t>DX-V-119-016</t>
  </si>
  <si>
    <t>DX-V-118-010</t>
  </si>
  <si>
    <t>DX-V-145-014</t>
  </si>
  <si>
    <t>DX-V-153-002</t>
  </si>
  <si>
    <t>DX-HC EN 30s - DX-VEO-035-001_DeepFried</t>
  </si>
  <si>
    <t xml:space="preserve">DX VEO3 General Request #1 </t>
  </si>
  <si>
    <t>DX-VEO-045-001</t>
  </si>
  <si>
    <t>DD-V-034-043</t>
  </si>
  <si>
    <t>DD-V-034-044</t>
  </si>
  <si>
    <t>DD-V-034-045</t>
  </si>
  <si>
    <t>DD-V-241-005_2024StoreVid</t>
  </si>
  <si>
    <t>DD-VEO-046-001_Payback</t>
  </si>
  <si>
    <t>DD-VEO-047-001</t>
  </si>
  <si>
    <t>DD-V-292-036</t>
  </si>
  <si>
    <t>DD-V-229-038</t>
  </si>
  <si>
    <t>DD-V-229-039</t>
  </si>
  <si>
    <t>DD-V-229-040</t>
  </si>
  <si>
    <t>DD-VEO-048-001</t>
  </si>
  <si>
    <t>DD-V-144-040</t>
  </si>
  <si>
    <t>DD-V-157-002</t>
  </si>
  <si>
    <t>DD-V-186-004</t>
  </si>
  <si>
    <t>DD-V-211-008</t>
  </si>
  <si>
    <t>DD-V-337-001</t>
  </si>
  <si>
    <t>DD-VEO-049-001</t>
  </si>
  <si>
    <t>DD-V-093-006</t>
  </si>
  <si>
    <t>DD-V-102-002</t>
  </si>
  <si>
    <t>DD-HC EN 30s - DD-VEO-029-001_ToiletSteal</t>
  </si>
  <si>
    <t>DD-V-310-005</t>
  </si>
  <si>
    <t>DD-V-310-006</t>
  </si>
  <si>
    <t>DD-V-281-011</t>
  </si>
  <si>
    <t>DD-V-079-035</t>
  </si>
  <si>
    <t>DD-VEO-050-001</t>
  </si>
  <si>
    <t>DD-VEO-051-001</t>
  </si>
  <si>
    <t>DD-HC-New EN DD-VEO-043-001 DD-V-144-042</t>
  </si>
  <si>
    <t>DD-HC-New EN DD-VEO-035-001 DD-V-034-050</t>
  </si>
  <si>
    <t>DD-HC-New EN DD-VEO-047-001 DD-V-049-084</t>
  </si>
  <si>
    <t>DD-V-034-048</t>
  </si>
  <si>
    <t>DD-V-034-049</t>
  </si>
  <si>
    <t>DD-V-034-051</t>
  </si>
  <si>
    <t>DD-V-034-052</t>
  </si>
  <si>
    <t>DD-V-034-053</t>
  </si>
  <si>
    <t>DD-V-034-054</t>
  </si>
  <si>
    <t>DD-V-144-043</t>
  </si>
  <si>
    <t>DD-V-229-041</t>
  </si>
  <si>
    <t>DD-V-281-012</t>
  </si>
  <si>
    <t>DD-V-281-013</t>
  </si>
  <si>
    <t>DD-V-281-014</t>
  </si>
  <si>
    <t>DD-V-281-015</t>
  </si>
  <si>
    <t>DD-V-310-007</t>
  </si>
  <si>
    <t>DD-V-316-002</t>
  </si>
  <si>
    <t>DD-HC-New EN DD-H-274-001 DD-V-319-003</t>
  </si>
  <si>
    <t>DD-V-319-004</t>
  </si>
  <si>
    <t>DD-V-325-002</t>
  </si>
  <si>
    <t>DD-V-ITR EN - DD-V-325-001 DD-V-325-003</t>
  </si>
  <si>
    <t>DD-V-034-055_AttackFeature_D-H-052-001_EN_30s</t>
  </si>
  <si>
    <t>DD-V-034-056_AttackFeature_D-H-052-002_EN_06s</t>
  </si>
  <si>
    <t>DD-V-034-057_AttackFeature_D-H-052-003_EN_30s</t>
  </si>
  <si>
    <t>DD-V-034-058_AttackFeature_D-H-052-004_EN_30s</t>
  </si>
  <si>
    <t>DD-V-034-059_AttackFeature_D-H-052-005_EN_30s</t>
  </si>
  <si>
    <t>DD-V-034-060_AttackFeature_D-H-052-006_EN_30s</t>
  </si>
  <si>
    <t>DX-V-168-001-TreasureTrail_Gifts_RT_EN_20s</t>
  </si>
  <si>
    <t>DX-V-151-005_MajhongDreams_DX-VEO-042-001_EN_45s</t>
  </si>
  <si>
    <t>DX-V-151-006_MajhongDreams_DX-VEO-042-001_EN_30s</t>
  </si>
  <si>
    <t>DX-VEO-047-001_Shinjuku_EN_5s  |  mgx</t>
  </si>
  <si>
    <t>DX-VEO-048-001_PetJump_EN_6s  |  mgx</t>
  </si>
  <si>
    <t>DX-V-087-009_Restaurant_DX-VEO-036-001_EN_45s</t>
  </si>
  <si>
    <t>DX-V-087-010_Restaurant_DX-VEO-033-001_EN_45s</t>
  </si>
  <si>
    <t>DX-V-112-014_Endless_DX-VEO-037-001_EN_45s</t>
  </si>
  <si>
    <t>DX-V-112-015_Endless_DX-VEO-028-001_EN_45s</t>
  </si>
  <si>
    <t>DX-V-135-023_ASODreams_DX-VEO-041-001_EN_45s</t>
  </si>
  <si>
    <t xml:space="preserve">DX-V-135-024_ASODreams_DX-VEO-035-001_EN_45s </t>
  </si>
  <si>
    <t>DX-V-135-025_ASODreams_DX-VEO-030-001_EN_45s</t>
  </si>
  <si>
    <t>DX-V-135-026_ASODreams_DX-VEO-027-001_EN_45s</t>
  </si>
  <si>
    <t>DX-V-135-027_ASODreams_DX-VEO-031-001_EN_45s</t>
  </si>
  <si>
    <t>DX-V-144-005_Split_Rally_DX-VEO-038-001_EN_45s</t>
  </si>
  <si>
    <t>DX-V-165-001 - VideoStore2026 EN 30s ASO - Resize (Add 1080x1920)</t>
  </si>
  <si>
    <t xml:space="preserve">DX-V-165-002 - VideoStore2026 EN 20s ASO - Resize (Add 1080x1920)  </t>
  </si>
  <si>
    <t xml:space="preserve">DX-VEO-049-001_SkyPile_EN_4s </t>
  </si>
  <si>
    <t>DX-VEO-050-001_EnterTheDomino_EN_10s</t>
  </si>
  <si>
    <t>DX-VEO-051-001_DollsDomino_EN_5s</t>
  </si>
  <si>
    <t>DX-V-115-011_Genie_DX-VEO-046-001_EN_34s</t>
  </si>
  <si>
    <t xml:space="preserve">DX-V-152-002_TokyoDreams_DX-VEO-047-001_EN_35s </t>
  </si>
  <si>
    <t>DX-V-152-002_TokyoDreams_DX-VEO-047-001_JA_35s</t>
  </si>
  <si>
    <t>DD-V-034-061_AttackFeature_TrailKnight_DD-VEO-045-001_EN_45s</t>
  </si>
  <si>
    <t>DD-V-034-062_AttackFeature_TrailKnight_DD-VEO-050-001_EN_45s</t>
  </si>
  <si>
    <t>DD-V-316-003_ShoppingBlast_DD-VEO-053-001_EN_30s</t>
  </si>
  <si>
    <t>DD-V-329-002_BeachRobbery_DD-VEO-039-001_EN_37s</t>
  </si>
  <si>
    <t>DD-V-319-005_EscapeTrain_DD-VEO-039-001_EN_45s</t>
  </si>
  <si>
    <t>DD-V-310-008_OneWinAfterAnother_DD-VEO-044-001_EN_40s</t>
  </si>
  <si>
    <t>DD-V-312-002_YarnFever_EN_60s</t>
  </si>
  <si>
    <t>DD-V-312-003_YarnFever_EN_30s</t>
  </si>
  <si>
    <t>DD-V-034-063_AttackFeature_TrailKnight_DD-VEO-050-001_EN_45s</t>
  </si>
  <si>
    <t>DD-VEO-006-002_Jelly_Chop_EN_06s</t>
  </si>
  <si>
    <t>DD-VEO-006-003_Jelly_Beach_EN_06s</t>
  </si>
  <si>
    <t>DD-VEO-006-004_Jelly_Jungle_EN_06s</t>
  </si>
  <si>
    <t>DD-VEO-006-005_Jelly_Moon_EN_06s</t>
  </si>
  <si>
    <t xml:space="preserve">DD-VEO-054-001_DollsClaw_EN_05s </t>
  </si>
  <si>
    <t>DD-V-034-043_AttackFeature_DD-VEO-026-001_EN_30s - Add size 1200X628</t>
  </si>
  <si>
    <t xml:space="preserve">DD-V-229-032_Coins&amp;Coins_DD-H-288-001_EN_30s - Add size 1200X628  </t>
  </si>
  <si>
    <t xml:space="preserve">DD-V-315-002_BossWheel_EN_60s - Add size 1200X628  </t>
  </si>
  <si>
    <t xml:space="preserve">DD-VEO-051-001_MyCoins_EN_30s - Add size 1200X628  </t>
  </si>
  <si>
    <t>Анастасі Верлинська - менеджер</t>
  </si>
  <si>
    <t>Анастасія Сиченко - тімлід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</si>
</sst>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₴-422]"/>
    <numFmt numFmtId="165" formatCode="[$$-409]#,##0"/>
    <numFmt numFmtId="166" formatCode="#,##0.00\ [$USD]"/>
  </numFmts>
  <fonts count="84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sz val="12"/>
      <color rgb="FFF2F2F2"/>
      <name val="Calibri"/>
      <family val="2"/>
    </font>
    <font>
      <sz val="12"/>
      <color rgb="FFBFBFBF"/>
      <name val="Calibri"/>
      <family val="2"/>
    </font>
    <font>
      <sz val="12"/>
      <color rgb="FF000000"/>
      <name val="Helvetica"/>
      <family val="2"/>
    </font>
    <font>
      <sz val="10"/>
      <color theme="1"/>
      <name val="Arial"/>
      <family val="2"/>
    </font>
    <font>
      <b/>
      <sz val="12"/>
      <color rgb="FF000000"/>
      <name val="Helvetica"/>
      <family val="2"/>
    </font>
    <font>
      <sz val="12"/>
      <color theme="1"/>
      <name val="Helvetica"/>
      <family val="2"/>
    </font>
    <font>
      <b/>
      <sz val="16"/>
      <color rgb="FF000000"/>
      <name val="Helvetica"/>
      <family val="2"/>
    </font>
    <font>
      <sz val="12"/>
      <color rgb="FF000000"/>
      <name val="Helvetica Neue"/>
      <family val="2"/>
    </font>
    <font>
      <b/>
      <sz val="18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</font>
    <font>
      <sz val="11"/>
      <name val="Arial"/>
      <family val="1"/>
    </font>
    <font>
      <sz val="12"/>
      <color rgb="FF000000"/>
      <name val="Arial"/>
      <family val="2"/>
    </font>
    <font>
      <sz val="12"/>
      <color rgb="FF323338"/>
      <name val="Roboto"/>
    </font>
    <font>
      <sz val="12"/>
      <color theme="1"/>
      <name val="Helvetica Neue"/>
      <family val="2"/>
    </font>
    <font>
      <sz val="12"/>
      <color rgb="FF323338"/>
      <name val="Helvetica"/>
      <family val="2"/>
    </font>
    <font>
      <sz val="12"/>
      <color rgb="FF323338"/>
      <name val="Helvetica Neue"/>
      <family val="2"/>
    </font>
    <font>
      <sz val="12"/>
      <color rgb="FF222222"/>
      <name val="Arial"/>
      <family val="2"/>
    </font>
    <font>
      <sz val="12"/>
      <color rgb="FF222222"/>
      <name val="Helvetica Neue"/>
      <family val="2"/>
    </font>
    <font>
      <sz val="12"/>
      <color rgb="FF222222"/>
      <name val="Calibri"/>
      <family val="2"/>
    </font>
    <font>
      <sz val="12"/>
      <color rgb="FF32333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595959"/>
        <bgColor rgb="FF595959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theme="5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rgb="FFEFEFEF"/>
        <bgColor rgb="FFEFEFEF"/>
      </patternFill>
    </fill>
    <fill>
      <patternFill patternType="solid">
        <fgColor rgb="FF59BBFF"/>
        <bgColor rgb="FF59BBFF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4" fillId="0" borderId="0"/>
    <xf numFmtId="0" fontId="32" fillId="0" borderId="0"/>
  </cellStyleXfs>
  <cellXfs count="20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" fontId="58" fillId="0" borderId="0" xfId="0" applyNumberFormat="1" applyFont="1" applyAlignment="1">
      <alignment horizontal="right" vertical="center"/>
    </xf>
    <xf numFmtId="1" fontId="58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" fontId="56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55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54" fillId="0" borderId="0" xfId="0" applyNumberFormat="1" applyFont="1" applyAlignment="1">
      <alignment horizontal="center"/>
    </xf>
    <xf numFmtId="0" fontId="57" fillId="4" borderId="0" xfId="0" applyFont="1" applyFill="1" applyAlignment="1">
      <alignment horizontal="center" vertical="center"/>
    </xf>
    <xf numFmtId="0" fontId="57" fillId="5" borderId="0" xfId="0" applyFont="1" applyFill="1" applyAlignment="1">
      <alignment horizontal="center" vertical="center"/>
    </xf>
    <xf numFmtId="0" fontId="53" fillId="0" borderId="0" xfId="0" applyFont="1" applyAlignment="1">
      <alignment horizontal="left"/>
    </xf>
    <xf numFmtId="0" fontId="52" fillId="0" borderId="0" xfId="0" applyFont="1" applyAlignment="1">
      <alignment horizontal="left"/>
    </xf>
    <xf numFmtId="14" fontId="5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51" fillId="0" borderId="0" xfId="0" applyNumberFormat="1" applyFont="1" applyAlignment="1">
      <alignment horizontal="center" vertical="center"/>
    </xf>
    <xf numFmtId="1" fontId="60" fillId="3" borderId="0" xfId="0" applyNumberFormat="1" applyFont="1" applyFill="1" applyAlignment="1">
      <alignment horizontal="center"/>
    </xf>
    <xf numFmtId="1" fontId="51" fillId="3" borderId="0" xfId="0" applyNumberFormat="1" applyFont="1" applyFill="1" applyAlignment="1">
      <alignment horizontal="center"/>
    </xf>
    <xf numFmtId="1" fontId="51" fillId="3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left"/>
    </xf>
    <xf numFmtId="1" fontId="50" fillId="3" borderId="0" xfId="0" applyNumberFormat="1" applyFont="1" applyFill="1" applyAlignment="1">
      <alignment horizontal="center" vertical="center"/>
    </xf>
    <xf numFmtId="165" fontId="51" fillId="0" borderId="0" xfId="0" applyNumberFormat="1" applyFont="1" applyAlignment="1">
      <alignment horizontal="right" vertical="center"/>
    </xf>
    <xf numFmtId="1" fontId="58" fillId="7" borderId="0" xfId="0" applyNumberFormat="1" applyFont="1" applyFill="1" applyAlignment="1">
      <alignment horizontal="center" vertical="center"/>
    </xf>
    <xf numFmtId="0" fontId="49" fillId="0" borderId="0" xfId="0" applyFont="1" applyAlignment="1">
      <alignment horizontal="left"/>
    </xf>
    <xf numFmtId="0" fontId="48" fillId="3" borderId="0" xfId="0" applyFont="1" applyFill="1" applyAlignment="1">
      <alignment horizontal="center" vertical="center"/>
    </xf>
    <xf numFmtId="165" fontId="48" fillId="0" borderId="0" xfId="0" applyNumberFormat="1" applyFont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1" fontId="48" fillId="4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right" vertical="center"/>
    </xf>
    <xf numFmtId="1" fontId="48" fillId="0" borderId="0" xfId="0" applyNumberFormat="1" applyFont="1" applyAlignment="1">
      <alignment horizontal="right" vertical="center"/>
    </xf>
    <xf numFmtId="0" fontId="47" fillId="0" borderId="0" xfId="0" applyFont="1" applyAlignment="1">
      <alignment horizontal="center" vertical="center"/>
    </xf>
    <xf numFmtId="1" fontId="47" fillId="3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left"/>
    </xf>
    <xf numFmtId="0" fontId="45" fillId="0" borderId="0" xfId="0" applyFont="1" applyAlignment="1">
      <alignment horizontal="center" vertical="center"/>
    </xf>
    <xf numFmtId="0" fontId="44" fillId="0" borderId="0" xfId="1"/>
    <xf numFmtId="0" fontId="59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49" fontId="62" fillId="0" borderId="0" xfId="1" applyNumberFormat="1" applyFont="1" applyAlignment="1">
      <alignment horizontal="center" vertical="center"/>
    </xf>
    <xf numFmtId="0" fontId="62" fillId="0" borderId="0" xfId="1" applyFont="1"/>
    <xf numFmtId="49" fontId="62" fillId="0" borderId="0" xfId="1" applyNumberFormat="1" applyFont="1"/>
    <xf numFmtId="0" fontId="62" fillId="8" borderId="0" xfId="1" applyFont="1" applyFill="1" applyAlignment="1">
      <alignment horizontal="center" vertical="center"/>
    </xf>
    <xf numFmtId="0" fontId="62" fillId="9" borderId="0" xfId="1" applyFont="1" applyFill="1" applyAlignment="1">
      <alignment horizontal="center" vertical="center"/>
    </xf>
    <xf numFmtId="0" fontId="62" fillId="10" borderId="0" xfId="1" applyFont="1" applyFill="1" applyAlignment="1">
      <alignment horizontal="center" vertical="center"/>
    </xf>
    <xf numFmtId="0" fontId="63" fillId="11" borderId="0" xfId="1" applyFont="1" applyFill="1" applyAlignment="1">
      <alignment horizontal="center" vertical="center"/>
    </xf>
    <xf numFmtId="49" fontId="64" fillId="12" borderId="0" xfId="1" applyNumberFormat="1" applyFont="1" applyFill="1" applyAlignment="1">
      <alignment horizontal="center" vertical="center"/>
    </xf>
    <xf numFmtId="0" fontId="62" fillId="0" borderId="0" xfId="1" applyFont="1" applyAlignment="1">
      <alignment horizontal="right"/>
    </xf>
    <xf numFmtId="49" fontId="62" fillId="0" borderId="0" xfId="1" applyNumberFormat="1" applyFont="1" applyAlignment="1">
      <alignment horizontal="right"/>
    </xf>
    <xf numFmtId="1" fontId="43" fillId="0" borderId="0" xfId="0" applyNumberFormat="1" applyFont="1" applyAlignment="1">
      <alignment horizontal="left" vertical="center"/>
    </xf>
    <xf numFmtId="1" fontId="42" fillId="3" borderId="0" xfId="0" applyNumberFormat="1" applyFont="1" applyFill="1" applyAlignment="1">
      <alignment horizontal="center"/>
    </xf>
    <xf numFmtId="0" fontId="49" fillId="3" borderId="0" xfId="0" applyFont="1" applyFill="1" applyAlignment="1">
      <alignment horizontal="left"/>
    </xf>
    <xf numFmtId="14" fontId="55" fillId="3" borderId="0" xfId="0" applyNumberFormat="1" applyFont="1" applyFill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165" fontId="60" fillId="3" borderId="0" xfId="0" applyNumberFormat="1" applyFont="1" applyFill="1" applyAlignment="1">
      <alignment horizontal="center" vertical="center"/>
    </xf>
    <xf numFmtId="0" fontId="41" fillId="0" borderId="0" xfId="0" applyFont="1" applyAlignment="1">
      <alignment horizontal="left"/>
    </xf>
    <xf numFmtId="1" fontId="40" fillId="0" borderId="0" xfId="0" applyNumberFormat="1" applyFont="1" applyAlignment="1">
      <alignment horizontal="left" vertical="center"/>
    </xf>
    <xf numFmtId="1" fontId="39" fillId="0" borderId="0" xfId="0" applyNumberFormat="1" applyFont="1" applyAlignment="1">
      <alignment horizontal="left" vertical="center"/>
    </xf>
    <xf numFmtId="0" fontId="38" fillId="0" borderId="0" xfId="0" applyFont="1" applyAlignment="1">
      <alignment horizontal="center" vertical="center"/>
    </xf>
    <xf numFmtId="0" fontId="37" fillId="0" borderId="0" xfId="0" applyFont="1" applyAlignment="1">
      <alignment horizontal="left"/>
    </xf>
    <xf numFmtId="165" fontId="0" fillId="2" borderId="0" xfId="0" applyNumberFormat="1" applyFill="1" applyAlignment="1">
      <alignment horizontal="center" vertical="center"/>
    </xf>
    <xf numFmtId="1" fontId="60" fillId="2" borderId="0" xfId="0" applyNumberFormat="1" applyFont="1" applyFill="1" applyAlignment="1">
      <alignment horizontal="center"/>
    </xf>
    <xf numFmtId="1" fontId="50" fillId="2" borderId="0" xfId="0" applyNumberFormat="1" applyFont="1" applyFill="1" applyAlignment="1">
      <alignment horizontal="center" vertical="center"/>
    </xf>
    <xf numFmtId="1" fontId="42" fillId="2" borderId="0" xfId="0" applyNumberFormat="1" applyFont="1" applyFill="1" applyAlignment="1">
      <alignment horizontal="center"/>
    </xf>
    <xf numFmtId="1" fontId="51" fillId="2" borderId="0" xfId="0" applyNumberFormat="1" applyFont="1" applyFill="1" applyAlignment="1">
      <alignment horizontal="center"/>
    </xf>
    <xf numFmtId="1" fontId="51" fillId="2" borderId="0" xfId="0" applyNumberFormat="1" applyFont="1" applyFill="1" applyAlignment="1">
      <alignment horizontal="center" vertical="center"/>
    </xf>
    <xf numFmtId="1" fontId="48" fillId="2" borderId="0" xfId="0" applyNumberFormat="1" applyFont="1" applyFill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8" fillId="2" borderId="0" xfId="0" applyFont="1" applyFill="1" applyAlignment="1">
      <alignment horizontal="center"/>
    </xf>
    <xf numFmtId="1" fontId="47" fillId="2" borderId="0" xfId="0" applyNumberFormat="1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4" fillId="0" borderId="0" xfId="0" applyFont="1" applyAlignment="1">
      <alignment horizontal="left" vertical="center"/>
    </xf>
    <xf numFmtId="165" fontId="32" fillId="0" borderId="0" xfId="0" applyNumberFormat="1" applyFont="1" applyAlignment="1">
      <alignment horizontal="right" vertical="center"/>
    </xf>
    <xf numFmtId="0" fontId="32" fillId="0" borderId="0" xfId="2"/>
    <xf numFmtId="0" fontId="59" fillId="0" borderId="0" xfId="2" applyFont="1" applyAlignment="1">
      <alignment horizontal="center" vertical="center"/>
    </xf>
    <xf numFmtId="49" fontId="62" fillId="0" borderId="0" xfId="2" applyNumberFormat="1" applyFont="1" applyAlignment="1">
      <alignment horizontal="right"/>
    </xf>
    <xf numFmtId="0" fontId="62" fillId="0" borderId="0" xfId="2" applyFont="1" applyAlignment="1">
      <alignment horizontal="right"/>
    </xf>
    <xf numFmtId="0" fontId="62" fillId="0" borderId="0" xfId="2" applyFont="1" applyAlignment="1">
      <alignment horizontal="center"/>
    </xf>
    <xf numFmtId="0" fontId="62" fillId="0" borderId="0" xfId="2" applyFont="1"/>
    <xf numFmtId="49" fontId="62" fillId="0" borderId="0" xfId="2" applyNumberFormat="1" applyFont="1"/>
    <xf numFmtId="0" fontId="62" fillId="8" borderId="0" xfId="2" applyFont="1" applyFill="1" applyAlignment="1">
      <alignment horizontal="center" vertical="center"/>
    </xf>
    <xf numFmtId="0" fontId="62" fillId="0" borderId="0" xfId="2" applyFont="1" applyAlignment="1">
      <alignment horizontal="center" vertical="center"/>
    </xf>
    <xf numFmtId="0" fontId="0" fillId="13" borderId="0" xfId="0" applyFill="1" applyAlignment="1">
      <alignment horizontal="center" vertical="center"/>
    </xf>
    <xf numFmtId="166" fontId="62" fillId="0" borderId="0" xfId="2" applyNumberFormat="1" applyFont="1" applyAlignment="1">
      <alignment horizontal="right"/>
    </xf>
    <xf numFmtId="166" fontId="32" fillId="0" borderId="0" xfId="2" applyNumberFormat="1"/>
    <xf numFmtId="0" fontId="31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/>
    </xf>
    <xf numFmtId="0" fontId="0" fillId="14" borderId="0" xfId="0" applyFill="1" applyAlignment="1">
      <alignment horizontal="center" vertical="center"/>
    </xf>
    <xf numFmtId="0" fontId="0" fillId="3" borderId="0" xfId="0" applyFill="1" applyAlignment="1">
      <alignment horizontal="left"/>
    </xf>
    <xf numFmtId="0" fontId="29" fillId="3" borderId="0" xfId="0" applyFont="1" applyFill="1" applyAlignment="1">
      <alignment horizontal="center" vertical="center"/>
    </xf>
    <xf numFmtId="0" fontId="28" fillId="0" borderId="0" xfId="2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left" vertical="center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41" fillId="0" borderId="0" xfId="0" applyFont="1" applyAlignment="1">
      <alignment horizontal="center"/>
    </xf>
    <xf numFmtId="0" fontId="65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applyFont="1" applyAlignment="1">
      <alignment horizontal="left"/>
    </xf>
    <xf numFmtId="0" fontId="6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1" fontId="60" fillId="3" borderId="0" xfId="0" applyNumberFormat="1" applyFont="1" applyFill="1" applyAlignment="1">
      <alignment horizontal="center" vertical="center"/>
    </xf>
    <xf numFmtId="165" fontId="0" fillId="13" borderId="0" xfId="0" applyNumberFormat="1" applyFill="1" applyAlignment="1">
      <alignment horizontal="center" vertical="center"/>
    </xf>
    <xf numFmtId="0" fontId="68" fillId="0" borderId="0" xfId="0" applyFont="1"/>
    <xf numFmtId="0" fontId="24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69" fillId="0" borderId="0" xfId="0" applyFont="1" applyAlignment="1">
      <alignment horizontal="center"/>
    </xf>
    <xf numFmtId="1" fontId="60" fillId="3" borderId="0" xfId="0" applyNumberFormat="1" applyFont="1" applyFill="1" applyAlignment="1">
      <alignment horizontal="right" vertical="center"/>
    </xf>
    <xf numFmtId="0" fontId="60" fillId="3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65" fillId="13" borderId="0" xfId="0" applyFont="1" applyFill="1"/>
    <xf numFmtId="0" fontId="70" fillId="17" borderId="0" xfId="0" applyFont="1" applyFill="1"/>
    <xf numFmtId="0" fontId="59" fillId="17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" fontId="71" fillId="3" borderId="0" xfId="0" applyNumberFormat="1" applyFont="1" applyFill="1" applyAlignment="1">
      <alignment horizontal="center" vertical="center"/>
    </xf>
    <xf numFmtId="0" fontId="65" fillId="0" borderId="0" xfId="0" applyFont="1" applyAlignment="1">
      <alignment horizontal="center"/>
    </xf>
    <xf numFmtId="1" fontId="42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0" fillId="0" borderId="0" xfId="0" applyFont="1" applyAlignment="1">
      <alignment horizontal="center"/>
    </xf>
    <xf numFmtId="0" fontId="65" fillId="14" borderId="0" xfId="0" applyFont="1" applyFill="1" applyAlignment="1">
      <alignment horizontal="center"/>
    </xf>
    <xf numFmtId="0" fontId="18" fillId="0" borderId="0" xfId="0" applyFont="1" applyAlignment="1">
      <alignment horizontal="center" vertical="center"/>
    </xf>
    <xf numFmtId="0" fontId="72" fillId="18" borderId="0" xfId="0" applyFont="1" applyFill="1" applyAlignment="1">
      <alignment horizontal="center" vertical="center"/>
    </xf>
    <xf numFmtId="0" fontId="17" fillId="0" borderId="0" xfId="1" quotePrefix="1" applyFont="1"/>
    <xf numFmtId="0" fontId="59" fillId="0" borderId="0" xfId="0" applyFont="1" applyAlignment="1">
      <alignment horizontal="center" vertical="center"/>
    </xf>
    <xf numFmtId="165" fontId="72" fillId="0" borderId="0" xfId="0" applyNumberFormat="1" applyFont="1" applyAlignment="1">
      <alignment horizontal="center" vertical="center"/>
    </xf>
    <xf numFmtId="0" fontId="73" fillId="0" borderId="0" xfId="1" applyFont="1" applyAlignment="1">
      <alignment horizontal="right"/>
    </xf>
    <xf numFmtId="0" fontId="16" fillId="0" borderId="0" xfId="2" applyFont="1"/>
    <xf numFmtId="0" fontId="74" fillId="0" borderId="0" xfId="0" applyFont="1" applyAlignment="1">
      <alignment horizontal="left" vertical="center"/>
    </xf>
    <xf numFmtId="0" fontId="72" fillId="17" borderId="0" xfId="0" applyFont="1" applyFill="1" applyAlignment="1">
      <alignment horizontal="center" vertical="center"/>
    </xf>
    <xf numFmtId="0" fontId="59" fillId="19" borderId="0" xfId="0" applyFont="1" applyFill="1"/>
    <xf numFmtId="0" fontId="59" fillId="17" borderId="0" xfId="0" applyFont="1" applyFill="1"/>
    <xf numFmtId="164" fontId="0" fillId="13" borderId="0" xfId="0" applyNumberFormat="1" applyFill="1" applyAlignment="1">
      <alignment horizontal="right" vertical="center"/>
    </xf>
    <xf numFmtId="0" fontId="62" fillId="13" borderId="0" xfId="2" applyFont="1" applyFill="1" applyAlignment="1">
      <alignment horizontal="right"/>
    </xf>
    <xf numFmtId="0" fontId="70" fillId="0" borderId="0" xfId="0" applyFont="1"/>
    <xf numFmtId="0" fontId="75" fillId="0" borderId="0" xfId="0" applyFont="1"/>
    <xf numFmtId="0" fontId="59" fillId="19" borderId="0" xfId="0" applyFont="1" applyFill="1" applyAlignment="1">
      <alignment horizontal="center" vertical="center"/>
    </xf>
    <xf numFmtId="0" fontId="59" fillId="20" borderId="0" xfId="0" applyFont="1" applyFill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59" fillId="20" borderId="0" xfId="0" applyFont="1" applyFill="1"/>
    <xf numFmtId="0" fontId="14" fillId="0" borderId="0" xfId="0" applyFont="1" applyAlignment="1">
      <alignment horizontal="center" vertical="center"/>
    </xf>
    <xf numFmtId="0" fontId="72" fillId="17" borderId="0" xfId="0" applyFont="1" applyFill="1"/>
    <xf numFmtId="0" fontId="59" fillId="21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6" fillId="0" borderId="0" xfId="0" applyFont="1"/>
    <xf numFmtId="0" fontId="0" fillId="13" borderId="0" xfId="0" applyFill="1"/>
    <xf numFmtId="0" fontId="77" fillId="0" borderId="0" xfId="0" applyFont="1"/>
    <xf numFmtId="0" fontId="12" fillId="17" borderId="0" xfId="0" applyFont="1" applyFill="1"/>
    <xf numFmtId="0" fontId="78" fillId="0" borderId="0" xfId="0" applyFont="1"/>
    <xf numFmtId="0" fontId="12" fillId="19" borderId="0" xfId="0" applyFont="1" applyFill="1"/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/>
    <xf numFmtId="164" fontId="0" fillId="2" borderId="0" xfId="0" applyNumberFormat="1" applyFill="1" applyAlignment="1">
      <alignment horizontal="right" vertical="center"/>
    </xf>
    <xf numFmtId="1" fontId="8" fillId="3" borderId="0" xfId="0" applyNumberFormat="1" applyFont="1" applyFill="1" applyAlignment="1">
      <alignment horizontal="center" vertical="center"/>
    </xf>
    <xf numFmtId="0" fontId="70" fillId="0" borderId="0" xfId="0" applyFont="1" applyAlignment="1">
      <alignment horizontal="center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" fillId="0" borderId="0" xfId="0" applyFont="1" applyAlignment="1">
      <alignment horizontal="center" vertical="center"/>
    </xf>
    <xf numFmtId="0" fontId="81" fillId="0" borderId="0" xfId="0" applyFont="1" applyAlignment="1">
      <alignment horizontal="center"/>
    </xf>
    <xf numFmtId="0" fontId="77" fillId="0" borderId="0" xfId="0" applyFont="1" applyAlignment="1">
      <alignment horizontal="center" vertical="center"/>
    </xf>
    <xf numFmtId="0" fontId="59" fillId="0" borderId="0" xfId="0" applyFont="1"/>
    <xf numFmtId="0" fontId="72" fillId="0" borderId="0" xfId="0" applyFont="1"/>
    <xf numFmtId="0" fontId="6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9" fillId="17" borderId="0" xfId="0" applyFont="1" applyFill="1" applyAlignment="1">
      <alignment horizontal="center"/>
    </xf>
    <xf numFmtId="0" fontId="70" fillId="22" borderId="0" xfId="0" applyFont="1" applyFill="1"/>
    <xf numFmtId="0" fontId="5" fillId="22" borderId="0" xfId="0" applyFont="1" applyFill="1" applyAlignment="1">
      <alignment horizontal="center"/>
    </xf>
    <xf numFmtId="0" fontId="5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17" borderId="0" xfId="0" applyFont="1" applyFill="1"/>
    <xf numFmtId="0" fontId="59" fillId="23" borderId="0" xfId="0" applyFont="1" applyFill="1" applyAlignment="1">
      <alignment horizontal="center" vertical="center"/>
    </xf>
    <xf numFmtId="0" fontId="62" fillId="0" borderId="0" xfId="0" applyFont="1"/>
    <xf numFmtId="0" fontId="3" fillId="0" borderId="0" xfId="0" applyFont="1"/>
    <xf numFmtId="0" fontId="59" fillId="24" borderId="0" xfId="0" applyFont="1" applyFill="1"/>
    <xf numFmtId="0" fontId="82" fillId="0" borderId="0" xfId="0" applyFont="1"/>
    <xf numFmtId="0" fontId="83" fillId="0" borderId="0" xfId="0" applyFont="1"/>
    <xf numFmtId="164" fontId="0" fillId="13" borderId="0" xfId="0" applyNumberFormat="1" applyFill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9" fillId="25" borderId="0" xfId="0" applyFont="1" applyFill="1"/>
    <xf numFmtId="0" fontId="83" fillId="26" borderId="0" xfId="0" applyFont="1" applyFill="1"/>
    <xf numFmtId="0" fontId="59" fillId="27" borderId="0" xfId="0" applyFont="1" applyFill="1"/>
    <xf numFmtId="0" fontId="62" fillId="26" borderId="0" xfId="0" applyFont="1" applyFill="1"/>
    <xf numFmtId="3" fontId="0" fillId="0" borderId="0" xfId="0" applyNumberForma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0" fontId="62" fillId="0" borderId="0" xfId="1" applyFont="1" applyAlignment="1">
      <alignment horizontal="left"/>
    </xf>
  </cellXfs>
  <cellStyles count="3">
    <cellStyle name="Normal" xfId="0" builtinId="0"/>
    <cellStyle name="Normal 2" xfId="1" xr:uid="{57302BF8-A3F3-A64B-A72E-FA9439A3921B}"/>
    <cellStyle name="Normal 2 2" xfId="2" xr:uid="{F17D2A3F-0F91-C04F-A734-23B63C17F640}"/>
  </cellStyles>
  <dxfs count="0"/>
  <tableStyles count="0" defaultTableStyle="TableStyleMedium2" defaultPivotStyle="PivotStyleLight16"/>
  <colors>
    <mruColors>
      <color rgb="FFC7AF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at44cat2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A278-D50F-3544-BFEF-2FF74B401C91}">
  <dimension ref="A1:M980"/>
  <sheetViews>
    <sheetView tabSelected="1" workbookViewId="0">
      <pane xSplit="2" topLeftCell="C1" activePane="topRight" state="frozen"/>
      <selection pane="topRight" activeCell="B12" sqref="B12"/>
    </sheetView>
  </sheetViews>
  <sheetFormatPr baseColWidth="10" defaultColWidth="11.1640625" defaultRowHeight="15" customHeight="1"/>
  <cols>
    <col min="1" max="1" width="10.5" style="42" customWidth="1"/>
    <col min="2" max="2" width="33.6640625" style="42" customWidth="1"/>
    <col min="3" max="3" width="24.1640625" style="42" customWidth="1"/>
    <col min="4" max="4" width="31.33203125" style="42" customWidth="1"/>
    <col min="5" max="5" width="13" style="42" customWidth="1"/>
    <col min="6" max="6" width="22.6640625" style="42" customWidth="1"/>
    <col min="7" max="7" width="36.1640625" style="42" bestFit="1" customWidth="1"/>
    <col min="8" max="8" width="12.83203125" style="42" bestFit="1" customWidth="1"/>
    <col min="9" max="11" width="10.5" style="42" customWidth="1"/>
    <col min="12" max="12" width="10.6640625" style="42" customWidth="1"/>
    <col min="13" max="13" width="52.33203125" style="42" customWidth="1"/>
    <col min="14" max="26" width="10.5" style="42" customWidth="1"/>
    <col min="27" max="16384" width="11.1640625" style="42"/>
  </cols>
  <sheetData>
    <row r="1" spans="1:13" ht="15.75" customHeight="1">
      <c r="D1" s="43"/>
    </row>
    <row r="2" spans="1:13" ht="15.75" customHeight="1">
      <c r="D2" s="43"/>
    </row>
    <row r="3" spans="1:13" ht="15.75" customHeight="1">
      <c r="D3" s="43"/>
    </row>
    <row r="4" spans="1:13" ht="15.75" customHeight="1">
      <c r="A4" s="44"/>
      <c r="B4" s="44"/>
      <c r="C4" s="44"/>
      <c r="D4" s="44" t="s">
        <v>30</v>
      </c>
      <c r="E4" s="44"/>
      <c r="F4" s="45"/>
    </row>
    <row r="5" spans="1:13" ht="15.75" customHeight="1">
      <c r="A5" s="46"/>
      <c r="B5" s="46"/>
      <c r="C5" s="46"/>
      <c r="D5" s="44"/>
      <c r="E5" s="46"/>
      <c r="F5" s="47"/>
    </row>
    <row r="6" spans="1:13" ht="15.75" customHeight="1">
      <c r="A6" s="44"/>
      <c r="B6" s="48" t="s">
        <v>31</v>
      </c>
      <c r="C6" s="49" t="s">
        <v>32</v>
      </c>
      <c r="D6" s="50" t="s">
        <v>33</v>
      </c>
      <c r="E6" s="51" t="s">
        <v>34</v>
      </c>
      <c r="F6" s="52" t="s">
        <v>35</v>
      </c>
      <c r="G6" s="52" t="s">
        <v>262</v>
      </c>
      <c r="H6" s="52" t="s">
        <v>264</v>
      </c>
      <c r="M6" s="47"/>
    </row>
    <row r="7" spans="1:13" ht="15.75" customHeight="1">
      <c r="A7" s="46">
        <v>1</v>
      </c>
      <c r="B7" s="200" t="s">
        <v>1139</v>
      </c>
      <c r="C7" s="108"/>
      <c r="E7" s="53"/>
      <c r="F7" s="45" t="s">
        <v>844</v>
      </c>
      <c r="G7" s="108"/>
      <c r="H7" s="108"/>
      <c r="L7" s="53"/>
      <c r="M7" s="54"/>
    </row>
    <row r="8" spans="1:13" ht="15.75" customHeight="1">
      <c r="A8" s="46">
        <v>2</v>
      </c>
      <c r="B8" s="200" t="s">
        <v>1140</v>
      </c>
      <c r="C8" s="108" t="s">
        <v>105</v>
      </c>
      <c r="D8" s="42" t="s">
        <v>29</v>
      </c>
      <c r="E8" s="53" t="s">
        <v>36</v>
      </c>
      <c r="F8" s="45" t="s">
        <v>38</v>
      </c>
      <c r="G8" s="108" t="s">
        <v>263</v>
      </c>
      <c r="L8" s="53"/>
      <c r="M8" s="54"/>
    </row>
    <row r="9" spans="1:13" ht="15.75" customHeight="1">
      <c r="A9" s="46">
        <v>3</v>
      </c>
      <c r="B9" s="200" t="s">
        <v>306</v>
      </c>
      <c r="C9" s="108" t="s">
        <v>106</v>
      </c>
      <c r="D9" s="42" t="s">
        <v>37</v>
      </c>
      <c r="E9" s="53" t="s">
        <v>36</v>
      </c>
      <c r="F9" s="45" t="s">
        <v>305</v>
      </c>
      <c r="G9" s="108" t="s">
        <v>307</v>
      </c>
      <c r="H9" s="108">
        <v>3276811970</v>
      </c>
      <c r="L9" s="53"/>
      <c r="M9" s="54"/>
    </row>
    <row r="10" spans="1:13" ht="15.75" customHeight="1">
      <c r="A10" s="46">
        <v>5</v>
      </c>
      <c r="B10" s="200" t="s">
        <v>411</v>
      </c>
      <c r="C10" s="108"/>
      <c r="D10" s="43"/>
      <c r="E10" s="136" t="s">
        <v>36</v>
      </c>
      <c r="G10" s="108" t="s">
        <v>410</v>
      </c>
      <c r="H10" s="108">
        <v>3781707605</v>
      </c>
    </row>
    <row r="11" spans="1:13" ht="15.75" customHeight="1">
      <c r="A11" s="46">
        <v>6</v>
      </c>
      <c r="B11" s="200" t="s">
        <v>808</v>
      </c>
      <c r="C11" s="108"/>
      <c r="G11" s="108" t="s">
        <v>809</v>
      </c>
      <c r="H11" s="108"/>
    </row>
    <row r="12" spans="1:13" ht="15.75" customHeight="1">
      <c r="A12" s="46">
        <v>7</v>
      </c>
      <c r="B12" s="200" t="s">
        <v>810</v>
      </c>
      <c r="C12" s="108"/>
      <c r="D12" s="43"/>
      <c r="F12" s="45" t="s">
        <v>899</v>
      </c>
      <c r="G12" s="108" t="s">
        <v>898</v>
      </c>
    </row>
    <row r="13" spans="1:13" ht="15.75" customHeight="1">
      <c r="B13" s="54"/>
      <c r="D13" s="43"/>
      <c r="G13" s="133" t="s">
        <v>261</v>
      </c>
    </row>
    <row r="14" spans="1:13" ht="15.75" customHeight="1">
      <c r="B14" s="54"/>
      <c r="D14" s="43"/>
    </row>
    <row r="15" spans="1:13" ht="16">
      <c r="D15" s="43"/>
    </row>
    <row r="16" spans="1:13" ht="15.75" customHeight="1">
      <c r="B16" s="54"/>
      <c r="D16" s="43"/>
    </row>
    <row r="17" spans="2:4" ht="15.75" customHeight="1">
      <c r="B17" s="54"/>
      <c r="D17" s="43"/>
    </row>
    <row r="18" spans="2:4" ht="15.75" customHeight="1">
      <c r="B18" s="54"/>
      <c r="D18" s="43"/>
    </row>
    <row r="19" spans="2:4" ht="16">
      <c r="D19" s="43"/>
    </row>
    <row r="20" spans="2:4" ht="15.75" customHeight="1">
      <c r="B20" s="54"/>
      <c r="D20" s="43"/>
    </row>
    <row r="21" spans="2:4" ht="15.75" customHeight="1">
      <c r="D21" s="43"/>
    </row>
    <row r="22" spans="2:4" ht="15.75" customHeight="1">
      <c r="B22" s="54"/>
      <c r="D22" s="43"/>
    </row>
    <row r="23" spans="2:4" ht="15.75" customHeight="1">
      <c r="D23" s="43"/>
    </row>
    <row r="24" spans="2:4" ht="15.75" customHeight="1">
      <c r="B24" s="54"/>
      <c r="D24" s="43"/>
    </row>
    <row r="25" spans="2:4" ht="15.75" customHeight="1">
      <c r="D25" s="43"/>
    </row>
    <row r="26" spans="2:4" ht="15.75" customHeight="1">
      <c r="B26" s="54"/>
      <c r="D26" s="43"/>
    </row>
    <row r="27" spans="2:4" ht="15.75" customHeight="1">
      <c r="D27" s="43"/>
    </row>
    <row r="28" spans="2:4" ht="15.75" customHeight="1">
      <c r="B28" s="54"/>
      <c r="D28" s="43"/>
    </row>
    <row r="29" spans="2:4" ht="15.75" customHeight="1">
      <c r="D29" s="43"/>
    </row>
    <row r="30" spans="2:4" ht="15.75" customHeight="1">
      <c r="D30" s="43"/>
    </row>
    <row r="31" spans="2:4" ht="15.75" customHeight="1">
      <c r="D31" s="43"/>
    </row>
    <row r="32" spans="2:4" ht="15.75" customHeight="1">
      <c r="D32" s="43"/>
    </row>
    <row r="33" spans="4:4" ht="15.75" customHeight="1">
      <c r="D33" s="43"/>
    </row>
    <row r="34" spans="4:4" ht="15.75" customHeight="1">
      <c r="D34" s="43"/>
    </row>
    <row r="35" spans="4:4" ht="15.75" customHeight="1">
      <c r="D35" s="43"/>
    </row>
    <row r="36" spans="4:4" ht="15.75" customHeight="1">
      <c r="D36" s="43"/>
    </row>
    <row r="37" spans="4:4" ht="15.75" customHeight="1">
      <c r="D37" s="43"/>
    </row>
    <row r="38" spans="4:4" ht="15.75" customHeight="1">
      <c r="D38" s="43"/>
    </row>
    <row r="39" spans="4:4" ht="15.75" customHeight="1">
      <c r="D39" s="43"/>
    </row>
    <row r="40" spans="4:4" ht="15.75" customHeight="1">
      <c r="D40" s="43"/>
    </row>
    <row r="41" spans="4:4" ht="15.75" customHeight="1">
      <c r="D41" s="43"/>
    </row>
    <row r="42" spans="4:4" ht="15.75" customHeight="1">
      <c r="D42" s="43"/>
    </row>
    <row r="43" spans="4:4" ht="15.75" customHeight="1">
      <c r="D43" s="43"/>
    </row>
    <row r="44" spans="4:4" ht="15.75" customHeight="1">
      <c r="D44" s="43"/>
    </row>
    <row r="45" spans="4:4" ht="15.75" customHeight="1">
      <c r="D45" s="43"/>
    </row>
    <row r="46" spans="4:4" ht="15.75" customHeight="1">
      <c r="D46" s="43"/>
    </row>
    <row r="47" spans="4:4" ht="15.75" customHeight="1">
      <c r="D47" s="43"/>
    </row>
    <row r="48" spans="4:4" ht="15.75" customHeight="1">
      <c r="D48" s="43"/>
    </row>
    <row r="49" spans="4:4" ht="15.75" customHeight="1">
      <c r="D49" s="43"/>
    </row>
    <row r="50" spans="4:4" ht="15.75" customHeight="1">
      <c r="D50" s="43"/>
    </row>
    <row r="51" spans="4:4" ht="15.75" customHeight="1">
      <c r="D51" s="43"/>
    </row>
    <row r="52" spans="4:4" ht="15.75" customHeight="1">
      <c r="D52" s="43"/>
    </row>
    <row r="53" spans="4:4" ht="15.75" customHeight="1">
      <c r="D53" s="43"/>
    </row>
    <row r="54" spans="4:4" ht="15.75" customHeight="1">
      <c r="D54" s="43"/>
    </row>
    <row r="55" spans="4:4" ht="15.75" customHeight="1">
      <c r="D55" s="43"/>
    </row>
    <row r="56" spans="4:4" ht="15.75" customHeight="1">
      <c r="D56" s="43"/>
    </row>
    <row r="57" spans="4:4" ht="15.75" customHeight="1">
      <c r="D57" s="43"/>
    </row>
    <row r="58" spans="4:4" ht="15.75" customHeight="1">
      <c r="D58" s="43"/>
    </row>
    <row r="59" spans="4:4" ht="15.75" customHeight="1">
      <c r="D59" s="43"/>
    </row>
    <row r="60" spans="4:4" ht="15.75" customHeight="1">
      <c r="D60" s="43"/>
    </row>
    <row r="61" spans="4:4" ht="15.75" customHeight="1">
      <c r="D61" s="43"/>
    </row>
    <row r="62" spans="4:4" ht="15.75" customHeight="1">
      <c r="D62" s="43"/>
    </row>
    <row r="63" spans="4:4" ht="15.75" customHeight="1">
      <c r="D63" s="43"/>
    </row>
    <row r="64" spans="4:4" ht="15.75" customHeight="1">
      <c r="D64" s="43"/>
    </row>
    <row r="65" spans="4:4" ht="15.75" customHeight="1">
      <c r="D65" s="43"/>
    </row>
    <row r="66" spans="4:4" ht="15.75" customHeight="1">
      <c r="D66" s="43"/>
    </row>
    <row r="67" spans="4:4" ht="15.75" customHeight="1">
      <c r="D67" s="43"/>
    </row>
    <row r="68" spans="4:4" ht="15.75" customHeight="1">
      <c r="D68" s="43"/>
    </row>
    <row r="69" spans="4:4" ht="15.75" customHeight="1">
      <c r="D69" s="43"/>
    </row>
    <row r="70" spans="4:4" ht="15.75" customHeight="1">
      <c r="D70" s="43"/>
    </row>
    <row r="71" spans="4:4" ht="15.75" customHeight="1">
      <c r="D71" s="43"/>
    </row>
    <row r="72" spans="4:4" ht="15.75" customHeight="1">
      <c r="D72" s="43"/>
    </row>
    <row r="73" spans="4:4" ht="15.75" customHeight="1">
      <c r="D73" s="43"/>
    </row>
    <row r="74" spans="4:4" ht="15.75" customHeight="1">
      <c r="D74" s="43"/>
    </row>
    <row r="75" spans="4:4" ht="15.75" customHeight="1">
      <c r="D75" s="43"/>
    </row>
    <row r="76" spans="4:4" ht="15.75" customHeight="1">
      <c r="D76" s="43"/>
    </row>
    <row r="77" spans="4:4" ht="15.75" customHeight="1">
      <c r="D77" s="43"/>
    </row>
    <row r="78" spans="4:4" ht="15.75" customHeight="1">
      <c r="D78" s="43"/>
    </row>
    <row r="79" spans="4:4" ht="15.75" customHeight="1">
      <c r="D79" s="43"/>
    </row>
    <row r="80" spans="4:4" ht="15.75" customHeight="1">
      <c r="D80" s="43"/>
    </row>
    <row r="81" spans="4:4" ht="15.75" customHeight="1">
      <c r="D81" s="43"/>
    </row>
    <row r="82" spans="4:4" ht="15.75" customHeight="1">
      <c r="D82" s="43"/>
    </row>
    <row r="83" spans="4:4" ht="15.75" customHeight="1">
      <c r="D83" s="43"/>
    </row>
    <row r="84" spans="4:4" ht="15.75" customHeight="1">
      <c r="D84" s="43"/>
    </row>
    <row r="85" spans="4:4" ht="15.75" customHeight="1">
      <c r="D85" s="43"/>
    </row>
    <row r="86" spans="4:4" ht="15.75" customHeight="1">
      <c r="D86" s="43"/>
    </row>
    <row r="87" spans="4:4" ht="15.75" customHeight="1">
      <c r="D87" s="43"/>
    </row>
    <row r="88" spans="4:4" ht="15.75" customHeight="1">
      <c r="D88" s="43"/>
    </row>
    <row r="89" spans="4:4" ht="15.75" customHeight="1">
      <c r="D89" s="43"/>
    </row>
    <row r="90" spans="4:4" ht="15.75" customHeight="1">
      <c r="D90" s="43"/>
    </row>
    <row r="91" spans="4:4" ht="15.75" customHeight="1">
      <c r="D91" s="43"/>
    </row>
    <row r="92" spans="4:4" ht="15.75" customHeight="1">
      <c r="D92" s="43"/>
    </row>
    <row r="93" spans="4:4" ht="15.75" customHeight="1">
      <c r="D93" s="43"/>
    </row>
    <row r="94" spans="4:4" ht="15.75" customHeight="1">
      <c r="D94" s="43"/>
    </row>
    <row r="95" spans="4:4" ht="15.75" customHeight="1">
      <c r="D95" s="43"/>
    </row>
    <row r="96" spans="4:4" ht="15.75" customHeight="1">
      <c r="D96" s="43"/>
    </row>
    <row r="97" spans="4:4" ht="15.75" customHeight="1">
      <c r="D97" s="43"/>
    </row>
    <row r="98" spans="4:4" ht="15.75" customHeight="1">
      <c r="D98" s="43"/>
    </row>
    <row r="99" spans="4:4" ht="15.75" customHeight="1">
      <c r="D99" s="43"/>
    </row>
    <row r="100" spans="4:4" ht="15.75" customHeight="1">
      <c r="D100" s="43"/>
    </row>
    <row r="101" spans="4:4" ht="15.75" customHeight="1">
      <c r="D101" s="43"/>
    </row>
    <row r="102" spans="4:4" ht="15.75" customHeight="1">
      <c r="D102" s="43"/>
    </row>
    <row r="103" spans="4:4" ht="15.75" customHeight="1">
      <c r="D103" s="43"/>
    </row>
    <row r="104" spans="4:4" ht="15.75" customHeight="1">
      <c r="D104" s="43"/>
    </row>
    <row r="105" spans="4:4" ht="15.75" customHeight="1">
      <c r="D105" s="43"/>
    </row>
    <row r="106" spans="4:4" ht="15.75" customHeight="1">
      <c r="D106" s="43"/>
    </row>
    <row r="107" spans="4:4" ht="15.75" customHeight="1">
      <c r="D107" s="43"/>
    </row>
    <row r="108" spans="4:4" ht="15.75" customHeight="1">
      <c r="D108" s="43"/>
    </row>
    <row r="109" spans="4:4" ht="15.75" customHeight="1">
      <c r="D109" s="43"/>
    </row>
    <row r="110" spans="4:4" ht="15.75" customHeight="1">
      <c r="D110" s="43"/>
    </row>
    <row r="111" spans="4:4" ht="15.75" customHeight="1">
      <c r="D111" s="43"/>
    </row>
    <row r="112" spans="4:4" ht="15.75" customHeight="1">
      <c r="D112" s="43"/>
    </row>
    <row r="113" spans="4:4" ht="15.75" customHeight="1">
      <c r="D113" s="43"/>
    </row>
    <row r="114" spans="4:4" ht="15.75" customHeight="1">
      <c r="D114" s="43"/>
    </row>
    <row r="115" spans="4:4" ht="15.75" customHeight="1">
      <c r="D115" s="43"/>
    </row>
    <row r="116" spans="4:4" ht="15.75" customHeight="1">
      <c r="D116" s="43"/>
    </row>
    <row r="117" spans="4:4" ht="15.75" customHeight="1">
      <c r="D117" s="43"/>
    </row>
    <row r="118" spans="4:4" ht="15.75" customHeight="1">
      <c r="D118" s="43"/>
    </row>
    <row r="119" spans="4:4" ht="15.75" customHeight="1">
      <c r="D119" s="43"/>
    </row>
    <row r="120" spans="4:4" ht="15.75" customHeight="1">
      <c r="D120" s="43"/>
    </row>
    <row r="121" spans="4:4" ht="15.75" customHeight="1">
      <c r="D121" s="43"/>
    </row>
    <row r="122" spans="4:4" ht="15.75" customHeight="1">
      <c r="D122" s="43"/>
    </row>
    <row r="123" spans="4:4" ht="15.75" customHeight="1">
      <c r="D123" s="43"/>
    </row>
    <row r="124" spans="4:4" ht="15.75" customHeight="1">
      <c r="D124" s="43"/>
    </row>
    <row r="125" spans="4:4" ht="15.75" customHeight="1">
      <c r="D125" s="43"/>
    </row>
    <row r="126" spans="4:4" ht="15.75" customHeight="1">
      <c r="D126" s="43"/>
    </row>
    <row r="127" spans="4:4" ht="15.75" customHeight="1">
      <c r="D127" s="43"/>
    </row>
    <row r="128" spans="4:4" ht="15.75" customHeight="1">
      <c r="D128" s="43"/>
    </row>
    <row r="129" spans="4:4" ht="15.75" customHeight="1">
      <c r="D129" s="43"/>
    </row>
    <row r="130" spans="4:4" ht="15.75" customHeight="1">
      <c r="D130" s="43"/>
    </row>
    <row r="131" spans="4:4" ht="15.75" customHeight="1">
      <c r="D131" s="43"/>
    </row>
    <row r="132" spans="4:4" ht="15.75" customHeight="1">
      <c r="D132" s="43"/>
    </row>
    <row r="133" spans="4:4" ht="15.75" customHeight="1">
      <c r="D133" s="43"/>
    </row>
    <row r="134" spans="4:4" ht="15.75" customHeight="1">
      <c r="D134" s="43"/>
    </row>
    <row r="135" spans="4:4" ht="15.75" customHeight="1">
      <c r="D135" s="43"/>
    </row>
    <row r="136" spans="4:4" ht="15.75" customHeight="1">
      <c r="D136" s="43"/>
    </row>
    <row r="137" spans="4:4" ht="15.75" customHeight="1">
      <c r="D137" s="43"/>
    </row>
    <row r="138" spans="4:4" ht="15.75" customHeight="1">
      <c r="D138" s="43"/>
    </row>
    <row r="139" spans="4:4" ht="15.75" customHeight="1">
      <c r="D139" s="43"/>
    </row>
    <row r="140" spans="4:4" ht="15.75" customHeight="1">
      <c r="D140" s="43"/>
    </row>
    <row r="141" spans="4:4" ht="15.75" customHeight="1">
      <c r="D141" s="43"/>
    </row>
    <row r="142" spans="4:4" ht="15.75" customHeight="1">
      <c r="D142" s="43"/>
    </row>
    <row r="143" spans="4:4" ht="15.75" customHeight="1">
      <c r="D143" s="43"/>
    </row>
    <row r="144" spans="4:4" ht="15.75" customHeight="1">
      <c r="D144" s="43"/>
    </row>
    <row r="145" spans="4:4" ht="15.75" customHeight="1">
      <c r="D145" s="43"/>
    </row>
    <row r="146" spans="4:4" ht="15.75" customHeight="1">
      <c r="D146" s="43"/>
    </row>
    <row r="147" spans="4:4" ht="15.75" customHeight="1">
      <c r="D147" s="43"/>
    </row>
    <row r="148" spans="4:4" ht="15.75" customHeight="1">
      <c r="D148" s="43"/>
    </row>
    <row r="149" spans="4:4" ht="15.75" customHeight="1">
      <c r="D149" s="43"/>
    </row>
    <row r="150" spans="4:4" ht="15.75" customHeight="1">
      <c r="D150" s="43"/>
    </row>
    <row r="151" spans="4:4" ht="15.75" customHeight="1">
      <c r="D151" s="43"/>
    </row>
    <row r="152" spans="4:4" ht="15.75" customHeight="1">
      <c r="D152" s="43"/>
    </row>
    <row r="153" spans="4:4" ht="15.75" customHeight="1">
      <c r="D153" s="43"/>
    </row>
    <row r="154" spans="4:4" ht="15.75" customHeight="1">
      <c r="D154" s="43"/>
    </row>
    <row r="155" spans="4:4" ht="15.75" customHeight="1">
      <c r="D155" s="43"/>
    </row>
    <row r="156" spans="4:4" ht="15.75" customHeight="1">
      <c r="D156" s="43"/>
    </row>
    <row r="157" spans="4:4" ht="15.75" customHeight="1">
      <c r="D157" s="43"/>
    </row>
    <row r="158" spans="4:4" ht="15.75" customHeight="1">
      <c r="D158" s="43"/>
    </row>
    <row r="159" spans="4:4" ht="15.75" customHeight="1">
      <c r="D159" s="43"/>
    </row>
    <row r="160" spans="4:4" ht="15.75" customHeight="1">
      <c r="D160" s="43"/>
    </row>
    <row r="161" spans="4:4" ht="15.75" customHeight="1">
      <c r="D161" s="43"/>
    </row>
    <row r="162" spans="4:4" ht="15.75" customHeight="1">
      <c r="D162" s="43"/>
    </row>
    <row r="163" spans="4:4" ht="15.75" customHeight="1">
      <c r="D163" s="43"/>
    </row>
    <row r="164" spans="4:4" ht="15.75" customHeight="1">
      <c r="D164" s="43"/>
    </row>
    <row r="165" spans="4:4" ht="15.75" customHeight="1">
      <c r="D165" s="43"/>
    </row>
    <row r="166" spans="4:4" ht="15.75" customHeight="1">
      <c r="D166" s="43"/>
    </row>
    <row r="167" spans="4:4" ht="15.75" customHeight="1">
      <c r="D167" s="43"/>
    </row>
    <row r="168" spans="4:4" ht="15.75" customHeight="1">
      <c r="D168" s="43"/>
    </row>
    <row r="169" spans="4:4" ht="15.75" customHeight="1">
      <c r="D169" s="43"/>
    </row>
    <row r="170" spans="4:4" ht="15.75" customHeight="1">
      <c r="D170" s="43"/>
    </row>
    <row r="171" spans="4:4" ht="15.75" customHeight="1">
      <c r="D171" s="43"/>
    </row>
    <row r="172" spans="4:4" ht="15.75" customHeight="1">
      <c r="D172" s="43"/>
    </row>
    <row r="173" spans="4:4" ht="15.75" customHeight="1">
      <c r="D173" s="43"/>
    </row>
    <row r="174" spans="4:4" ht="15.75" customHeight="1">
      <c r="D174" s="43"/>
    </row>
    <row r="175" spans="4:4" ht="15.75" customHeight="1">
      <c r="D175" s="43"/>
    </row>
    <row r="176" spans="4:4" ht="15.75" customHeight="1">
      <c r="D176" s="43"/>
    </row>
    <row r="177" spans="4:4" ht="15.75" customHeight="1">
      <c r="D177" s="43"/>
    </row>
    <row r="178" spans="4:4" ht="15.75" customHeight="1">
      <c r="D178" s="43"/>
    </row>
    <row r="179" spans="4:4" ht="15.75" customHeight="1">
      <c r="D179" s="43"/>
    </row>
    <row r="180" spans="4:4" ht="15.75" customHeight="1">
      <c r="D180" s="43"/>
    </row>
    <row r="181" spans="4:4" ht="15.75" customHeight="1">
      <c r="D181" s="43"/>
    </row>
    <row r="182" spans="4:4" ht="15.75" customHeight="1">
      <c r="D182" s="43"/>
    </row>
    <row r="183" spans="4:4" ht="15.75" customHeight="1">
      <c r="D183" s="43"/>
    </row>
    <row r="184" spans="4:4" ht="15.75" customHeight="1">
      <c r="D184" s="43"/>
    </row>
    <row r="185" spans="4:4" ht="15.75" customHeight="1">
      <c r="D185" s="43"/>
    </row>
    <row r="186" spans="4:4" ht="15.75" customHeight="1">
      <c r="D186" s="43"/>
    </row>
    <row r="187" spans="4:4" ht="15.75" customHeight="1">
      <c r="D187" s="43"/>
    </row>
    <row r="188" spans="4:4" ht="15.75" customHeight="1">
      <c r="D188" s="43"/>
    </row>
    <row r="189" spans="4:4" ht="15.75" customHeight="1">
      <c r="D189" s="43"/>
    </row>
    <row r="190" spans="4:4" ht="15.75" customHeight="1">
      <c r="D190" s="43"/>
    </row>
    <row r="191" spans="4:4" ht="15.75" customHeight="1">
      <c r="D191" s="43"/>
    </row>
    <row r="192" spans="4:4" ht="15.75" customHeight="1">
      <c r="D192" s="43"/>
    </row>
    <row r="193" spans="4:4" ht="15.75" customHeight="1">
      <c r="D193" s="43"/>
    </row>
    <row r="194" spans="4:4" ht="15.75" customHeight="1">
      <c r="D194" s="43"/>
    </row>
    <row r="195" spans="4:4" ht="15.75" customHeight="1">
      <c r="D195" s="43"/>
    </row>
    <row r="196" spans="4:4" ht="15.75" customHeight="1">
      <c r="D196" s="43"/>
    </row>
    <row r="197" spans="4:4" ht="15.75" customHeight="1">
      <c r="D197" s="43"/>
    </row>
    <row r="198" spans="4:4" ht="15.75" customHeight="1">
      <c r="D198" s="43"/>
    </row>
    <row r="199" spans="4:4" ht="15.75" customHeight="1">
      <c r="D199" s="43"/>
    </row>
    <row r="200" spans="4:4" ht="15.75" customHeight="1">
      <c r="D200" s="43"/>
    </row>
    <row r="201" spans="4:4" ht="15.75" customHeight="1">
      <c r="D201" s="43"/>
    </row>
    <row r="202" spans="4:4" ht="15.75" customHeight="1">
      <c r="D202" s="43"/>
    </row>
    <row r="203" spans="4:4" ht="15.75" customHeight="1">
      <c r="D203" s="43"/>
    </row>
    <row r="204" spans="4:4" ht="15.75" customHeight="1">
      <c r="D204" s="43"/>
    </row>
    <row r="205" spans="4:4" ht="15.75" customHeight="1">
      <c r="D205" s="43"/>
    </row>
    <row r="206" spans="4:4" ht="15.75" customHeight="1">
      <c r="D206" s="43"/>
    </row>
    <row r="207" spans="4:4" ht="15.75" customHeight="1">
      <c r="D207" s="43"/>
    </row>
    <row r="208" spans="4:4" ht="15.75" customHeight="1">
      <c r="D208" s="43"/>
    </row>
    <row r="209" spans="4:4" ht="15.75" customHeight="1">
      <c r="D209" s="43"/>
    </row>
    <row r="210" spans="4:4" ht="15.75" customHeight="1">
      <c r="D210" s="43"/>
    </row>
    <row r="211" spans="4:4" ht="15.75" customHeight="1">
      <c r="D211" s="43"/>
    </row>
    <row r="212" spans="4:4" ht="15.75" customHeight="1">
      <c r="D212" s="43"/>
    </row>
    <row r="213" spans="4:4" ht="15.75" customHeight="1">
      <c r="D213" s="43"/>
    </row>
    <row r="214" spans="4:4" ht="15.75" customHeight="1">
      <c r="D214" s="43"/>
    </row>
    <row r="215" spans="4:4" ht="15.75" customHeight="1">
      <c r="D215" s="43"/>
    </row>
    <row r="216" spans="4:4" ht="15.75" customHeight="1">
      <c r="D216" s="43"/>
    </row>
    <row r="217" spans="4:4" ht="15.75" customHeight="1">
      <c r="D217" s="43"/>
    </row>
    <row r="218" spans="4:4" ht="15.75" customHeight="1">
      <c r="D218" s="43"/>
    </row>
    <row r="219" spans="4:4" ht="15.75" customHeight="1">
      <c r="D219" s="43"/>
    </row>
    <row r="220" spans="4:4" ht="15.75" customHeight="1">
      <c r="D220" s="43"/>
    </row>
    <row r="221" spans="4:4" ht="15.75" customHeight="1">
      <c r="D221" s="43"/>
    </row>
    <row r="222" spans="4:4" ht="15.75" customHeight="1">
      <c r="D222" s="43"/>
    </row>
    <row r="223" spans="4:4" ht="15.75" customHeight="1">
      <c r="D223" s="43"/>
    </row>
    <row r="224" spans="4:4" ht="15.75" customHeight="1">
      <c r="D224" s="43"/>
    </row>
    <row r="225" spans="4:4" ht="15.75" customHeight="1">
      <c r="D225" s="43"/>
    </row>
    <row r="226" spans="4:4" ht="15.75" customHeight="1">
      <c r="D226" s="43"/>
    </row>
    <row r="227" spans="4:4" ht="15.75" customHeight="1">
      <c r="D227" s="43"/>
    </row>
    <row r="228" spans="4:4" ht="15.75" customHeight="1">
      <c r="D228" s="43"/>
    </row>
    <row r="229" spans="4:4" ht="15.75" customHeight="1">
      <c r="D229" s="43"/>
    </row>
    <row r="230" spans="4:4" ht="15.75" customHeight="1">
      <c r="D230" s="43"/>
    </row>
    <row r="231" spans="4:4" ht="15.75" customHeight="1">
      <c r="D231" s="43"/>
    </row>
    <row r="232" spans="4:4" ht="15.75" customHeight="1">
      <c r="D232" s="43"/>
    </row>
    <row r="233" spans="4:4" ht="15.75" customHeight="1">
      <c r="D233" s="43"/>
    </row>
    <row r="234" spans="4:4" ht="15.75" customHeight="1">
      <c r="D234" s="43"/>
    </row>
    <row r="235" spans="4:4" ht="15.75" customHeight="1">
      <c r="D235" s="43"/>
    </row>
    <row r="236" spans="4:4" ht="15.75" customHeight="1">
      <c r="D236" s="43"/>
    </row>
    <row r="237" spans="4:4" ht="15.75" customHeight="1">
      <c r="D237" s="43"/>
    </row>
    <row r="238" spans="4:4" ht="15.75" customHeight="1">
      <c r="D238" s="43"/>
    </row>
    <row r="239" spans="4:4" ht="15.75" customHeight="1">
      <c r="D239" s="43"/>
    </row>
    <row r="240" spans="4:4" ht="15.75" customHeight="1">
      <c r="D240" s="43"/>
    </row>
    <row r="241" spans="4:4" ht="15.75" customHeight="1">
      <c r="D241" s="43"/>
    </row>
    <row r="242" spans="4:4" ht="15.75" customHeight="1">
      <c r="D242" s="43"/>
    </row>
    <row r="243" spans="4:4" ht="15.75" customHeight="1">
      <c r="D243" s="43"/>
    </row>
    <row r="244" spans="4:4" ht="15.75" customHeight="1">
      <c r="D244" s="43"/>
    </row>
    <row r="245" spans="4:4" ht="15.75" customHeight="1">
      <c r="D245" s="43"/>
    </row>
    <row r="246" spans="4:4" ht="15.75" customHeight="1">
      <c r="D246" s="43"/>
    </row>
    <row r="247" spans="4:4" ht="15.75" customHeight="1">
      <c r="D247" s="43"/>
    </row>
    <row r="248" spans="4:4" ht="15.75" customHeight="1">
      <c r="D248" s="43"/>
    </row>
    <row r="249" spans="4:4" ht="15.75" customHeight="1">
      <c r="D249" s="43"/>
    </row>
    <row r="250" spans="4:4" ht="15.75" customHeight="1">
      <c r="D250" s="43"/>
    </row>
    <row r="251" spans="4:4" ht="15.75" customHeight="1">
      <c r="D251" s="43"/>
    </row>
    <row r="252" spans="4:4" ht="15.75" customHeight="1">
      <c r="D252" s="43"/>
    </row>
    <row r="253" spans="4:4" ht="15.75" customHeight="1">
      <c r="D253" s="43"/>
    </row>
    <row r="254" spans="4:4" ht="15.75" customHeight="1">
      <c r="D254" s="43"/>
    </row>
    <row r="255" spans="4:4" ht="15.75" customHeight="1">
      <c r="D255" s="43"/>
    </row>
    <row r="256" spans="4:4" ht="15.75" customHeight="1">
      <c r="D256" s="43"/>
    </row>
    <row r="257" spans="4:4" ht="15.75" customHeight="1">
      <c r="D257" s="43"/>
    </row>
    <row r="258" spans="4:4" ht="15.75" customHeight="1">
      <c r="D258" s="43"/>
    </row>
    <row r="259" spans="4:4" ht="15.75" customHeight="1">
      <c r="D259" s="43"/>
    </row>
    <row r="260" spans="4:4" ht="15.75" customHeight="1">
      <c r="D260" s="43"/>
    </row>
    <row r="261" spans="4:4" ht="15.75" customHeight="1">
      <c r="D261" s="43"/>
    </row>
    <row r="262" spans="4:4" ht="15.75" customHeight="1">
      <c r="D262" s="43"/>
    </row>
    <row r="263" spans="4:4" ht="15.75" customHeight="1">
      <c r="D263" s="43"/>
    </row>
    <row r="264" spans="4:4" ht="15.75" customHeight="1">
      <c r="D264" s="43"/>
    </row>
    <row r="265" spans="4:4" ht="15.75" customHeight="1">
      <c r="D265" s="43"/>
    </row>
    <row r="266" spans="4:4" ht="15.75" customHeight="1">
      <c r="D266" s="43"/>
    </row>
    <row r="267" spans="4:4" ht="15.75" customHeight="1">
      <c r="D267" s="43"/>
    </row>
    <row r="268" spans="4:4" ht="15.75" customHeight="1">
      <c r="D268" s="43"/>
    </row>
    <row r="269" spans="4:4" ht="15.75" customHeight="1">
      <c r="D269" s="43"/>
    </row>
    <row r="270" spans="4:4" ht="15.75" customHeight="1">
      <c r="D270" s="43"/>
    </row>
    <row r="271" spans="4:4" ht="15.75" customHeight="1">
      <c r="D271" s="43"/>
    </row>
    <row r="272" spans="4:4" ht="15.75" customHeight="1">
      <c r="D272" s="43"/>
    </row>
    <row r="273" spans="4:4" ht="15.75" customHeight="1">
      <c r="D273" s="43"/>
    </row>
    <row r="274" spans="4:4" ht="15.75" customHeight="1">
      <c r="D274" s="43"/>
    </row>
    <row r="275" spans="4:4" ht="15.75" customHeight="1">
      <c r="D275" s="43"/>
    </row>
    <row r="276" spans="4:4" ht="15.75" customHeight="1">
      <c r="D276" s="43"/>
    </row>
    <row r="277" spans="4:4" ht="15.75" customHeight="1">
      <c r="D277" s="43"/>
    </row>
    <row r="278" spans="4:4" ht="15.75" customHeight="1">
      <c r="D278" s="43"/>
    </row>
    <row r="279" spans="4:4" ht="15.75" customHeight="1">
      <c r="D279" s="43"/>
    </row>
    <row r="280" spans="4:4" ht="15.75" customHeight="1">
      <c r="D280" s="43"/>
    </row>
    <row r="281" spans="4:4" ht="15.75" customHeight="1">
      <c r="D281" s="43"/>
    </row>
    <row r="282" spans="4:4" ht="15.75" customHeight="1">
      <c r="D282" s="43"/>
    </row>
    <row r="283" spans="4:4" ht="15.75" customHeight="1">
      <c r="D283" s="43"/>
    </row>
    <row r="284" spans="4:4" ht="15.75" customHeight="1">
      <c r="D284" s="43"/>
    </row>
    <row r="285" spans="4:4" ht="15.75" customHeight="1">
      <c r="D285" s="43"/>
    </row>
    <row r="286" spans="4:4" ht="15.75" customHeight="1">
      <c r="D286" s="43"/>
    </row>
    <row r="287" spans="4:4" ht="15.75" customHeight="1">
      <c r="D287" s="43"/>
    </row>
    <row r="288" spans="4:4" ht="15.75" customHeight="1">
      <c r="D288" s="43"/>
    </row>
    <row r="289" spans="4:4" ht="15.75" customHeight="1">
      <c r="D289" s="43"/>
    </row>
    <row r="290" spans="4:4" ht="15.75" customHeight="1">
      <c r="D290" s="43"/>
    </row>
    <row r="291" spans="4:4" ht="15.75" customHeight="1">
      <c r="D291" s="43"/>
    </row>
    <row r="292" spans="4:4" ht="15.75" customHeight="1">
      <c r="D292" s="43"/>
    </row>
    <row r="293" spans="4:4" ht="15.75" customHeight="1">
      <c r="D293" s="43"/>
    </row>
    <row r="294" spans="4:4" ht="15.75" customHeight="1">
      <c r="D294" s="43"/>
    </row>
    <row r="295" spans="4:4" ht="15.75" customHeight="1">
      <c r="D295" s="43"/>
    </row>
    <row r="296" spans="4:4" ht="15.75" customHeight="1">
      <c r="D296" s="43"/>
    </row>
    <row r="297" spans="4:4" ht="15.75" customHeight="1">
      <c r="D297" s="43"/>
    </row>
    <row r="298" spans="4:4" ht="15.75" customHeight="1">
      <c r="D298" s="43"/>
    </row>
    <row r="299" spans="4:4" ht="15.75" customHeight="1">
      <c r="D299" s="43"/>
    </row>
    <row r="300" spans="4:4" ht="15.75" customHeight="1">
      <c r="D300" s="43"/>
    </row>
    <row r="301" spans="4:4" ht="15.75" customHeight="1">
      <c r="D301" s="43"/>
    </row>
    <row r="302" spans="4:4" ht="15.75" customHeight="1">
      <c r="D302" s="43"/>
    </row>
    <row r="303" spans="4:4" ht="15.75" customHeight="1">
      <c r="D303" s="43"/>
    </row>
    <row r="304" spans="4:4" ht="15.75" customHeight="1">
      <c r="D304" s="43"/>
    </row>
    <row r="305" spans="4:4" ht="15.75" customHeight="1">
      <c r="D305" s="43"/>
    </row>
    <row r="306" spans="4:4" ht="15.75" customHeight="1">
      <c r="D306" s="43"/>
    </row>
    <row r="307" spans="4:4" ht="15.75" customHeight="1">
      <c r="D307" s="43"/>
    </row>
    <row r="308" spans="4:4" ht="15.75" customHeight="1">
      <c r="D308" s="43"/>
    </row>
    <row r="309" spans="4:4" ht="15.75" customHeight="1">
      <c r="D309" s="43"/>
    </row>
    <row r="310" spans="4:4" ht="15.75" customHeight="1">
      <c r="D310" s="43"/>
    </row>
    <row r="311" spans="4:4" ht="15.75" customHeight="1">
      <c r="D311" s="43"/>
    </row>
    <row r="312" spans="4:4" ht="15.75" customHeight="1">
      <c r="D312" s="43"/>
    </row>
    <row r="313" spans="4:4" ht="15.75" customHeight="1">
      <c r="D313" s="43"/>
    </row>
    <row r="314" spans="4:4" ht="15.75" customHeight="1">
      <c r="D314" s="43"/>
    </row>
    <row r="315" spans="4:4" ht="15.75" customHeight="1">
      <c r="D315" s="43"/>
    </row>
    <row r="316" spans="4:4" ht="15.75" customHeight="1">
      <c r="D316" s="43"/>
    </row>
    <row r="317" spans="4:4" ht="15.75" customHeight="1">
      <c r="D317" s="43"/>
    </row>
    <row r="318" spans="4:4" ht="15.75" customHeight="1">
      <c r="D318" s="43"/>
    </row>
    <row r="319" spans="4:4" ht="15.75" customHeight="1">
      <c r="D319" s="43"/>
    </row>
    <row r="320" spans="4:4" ht="15.75" customHeight="1">
      <c r="D320" s="43"/>
    </row>
    <row r="321" spans="4:4" ht="15.75" customHeight="1">
      <c r="D321" s="43"/>
    </row>
    <row r="322" spans="4:4" ht="15.75" customHeight="1">
      <c r="D322" s="43"/>
    </row>
    <row r="323" spans="4:4" ht="15.75" customHeight="1">
      <c r="D323" s="43"/>
    </row>
    <row r="324" spans="4:4" ht="15.75" customHeight="1">
      <c r="D324" s="43"/>
    </row>
    <row r="325" spans="4:4" ht="15.75" customHeight="1">
      <c r="D325" s="43"/>
    </row>
    <row r="326" spans="4:4" ht="15.75" customHeight="1">
      <c r="D326" s="43"/>
    </row>
    <row r="327" spans="4:4" ht="15.75" customHeight="1">
      <c r="D327" s="43"/>
    </row>
    <row r="328" spans="4:4" ht="15.75" customHeight="1">
      <c r="D328" s="43"/>
    </row>
    <row r="329" spans="4:4" ht="15.75" customHeight="1">
      <c r="D329" s="43"/>
    </row>
    <row r="330" spans="4:4" ht="15.75" customHeight="1">
      <c r="D330" s="43"/>
    </row>
    <row r="331" spans="4:4" ht="15.75" customHeight="1">
      <c r="D331" s="43"/>
    </row>
    <row r="332" spans="4:4" ht="15.75" customHeight="1">
      <c r="D332" s="43"/>
    </row>
    <row r="333" spans="4:4" ht="15.75" customHeight="1">
      <c r="D333" s="43"/>
    </row>
    <row r="334" spans="4:4" ht="15.75" customHeight="1">
      <c r="D334" s="43"/>
    </row>
    <row r="335" spans="4:4" ht="15.75" customHeight="1">
      <c r="D335" s="43"/>
    </row>
    <row r="336" spans="4:4" ht="15.75" customHeight="1">
      <c r="D336" s="43"/>
    </row>
    <row r="337" spans="4:4" ht="15.75" customHeight="1">
      <c r="D337" s="43"/>
    </row>
    <row r="338" spans="4:4" ht="15.75" customHeight="1">
      <c r="D338" s="43"/>
    </row>
    <row r="339" spans="4:4" ht="15.75" customHeight="1">
      <c r="D339" s="43"/>
    </row>
    <row r="340" spans="4:4" ht="15.75" customHeight="1">
      <c r="D340" s="43"/>
    </row>
    <row r="341" spans="4:4" ht="15.75" customHeight="1">
      <c r="D341" s="43"/>
    </row>
    <row r="342" spans="4:4" ht="15.75" customHeight="1">
      <c r="D342" s="43"/>
    </row>
    <row r="343" spans="4:4" ht="15.75" customHeight="1">
      <c r="D343" s="43"/>
    </row>
    <row r="344" spans="4:4" ht="15.75" customHeight="1">
      <c r="D344" s="43"/>
    </row>
    <row r="345" spans="4:4" ht="15.75" customHeight="1">
      <c r="D345" s="43"/>
    </row>
    <row r="346" spans="4:4" ht="15.75" customHeight="1">
      <c r="D346" s="43"/>
    </row>
    <row r="347" spans="4:4" ht="15.75" customHeight="1">
      <c r="D347" s="43"/>
    </row>
    <row r="348" spans="4:4" ht="15.75" customHeight="1">
      <c r="D348" s="43"/>
    </row>
    <row r="349" spans="4:4" ht="15.75" customHeight="1">
      <c r="D349" s="43"/>
    </row>
    <row r="350" spans="4:4" ht="15.75" customHeight="1">
      <c r="D350" s="43"/>
    </row>
    <row r="351" spans="4:4" ht="15.75" customHeight="1">
      <c r="D351" s="43"/>
    </row>
    <row r="352" spans="4:4" ht="15.75" customHeight="1">
      <c r="D352" s="43"/>
    </row>
    <row r="353" spans="4:4" ht="15.75" customHeight="1">
      <c r="D353" s="43"/>
    </row>
    <row r="354" spans="4:4" ht="15.75" customHeight="1">
      <c r="D354" s="43"/>
    </row>
    <row r="355" spans="4:4" ht="15.75" customHeight="1">
      <c r="D355" s="43"/>
    </row>
    <row r="356" spans="4:4" ht="15.75" customHeight="1">
      <c r="D356" s="43"/>
    </row>
    <row r="357" spans="4:4" ht="15.75" customHeight="1">
      <c r="D357" s="43"/>
    </row>
    <row r="358" spans="4:4" ht="15.75" customHeight="1">
      <c r="D358" s="43"/>
    </row>
    <row r="359" spans="4:4" ht="15.75" customHeight="1">
      <c r="D359" s="43"/>
    </row>
    <row r="360" spans="4:4" ht="15.75" customHeight="1">
      <c r="D360" s="43"/>
    </row>
    <row r="361" spans="4:4" ht="15.75" customHeight="1">
      <c r="D361" s="43"/>
    </row>
    <row r="362" spans="4:4" ht="15.75" customHeight="1">
      <c r="D362" s="43"/>
    </row>
    <row r="363" spans="4:4" ht="15.75" customHeight="1">
      <c r="D363" s="43"/>
    </row>
    <row r="364" spans="4:4" ht="15.75" customHeight="1">
      <c r="D364" s="43"/>
    </row>
    <row r="365" spans="4:4" ht="15.75" customHeight="1">
      <c r="D365" s="43"/>
    </row>
    <row r="366" spans="4:4" ht="15.75" customHeight="1">
      <c r="D366" s="43"/>
    </row>
    <row r="367" spans="4:4" ht="15.75" customHeight="1">
      <c r="D367" s="43"/>
    </row>
    <row r="368" spans="4:4" ht="15.75" customHeight="1">
      <c r="D368" s="43"/>
    </row>
    <row r="369" spans="4:4" ht="15.75" customHeight="1">
      <c r="D369" s="43"/>
    </row>
    <row r="370" spans="4:4" ht="15.75" customHeight="1">
      <c r="D370" s="43"/>
    </row>
    <row r="371" spans="4:4" ht="15.75" customHeight="1">
      <c r="D371" s="43"/>
    </row>
    <row r="372" spans="4:4" ht="15.75" customHeight="1">
      <c r="D372" s="43"/>
    </row>
    <row r="373" spans="4:4" ht="15.75" customHeight="1">
      <c r="D373" s="43"/>
    </row>
    <row r="374" spans="4:4" ht="15.75" customHeight="1">
      <c r="D374" s="43"/>
    </row>
    <row r="375" spans="4:4" ht="15.75" customHeight="1">
      <c r="D375" s="43"/>
    </row>
    <row r="376" spans="4:4" ht="15.75" customHeight="1">
      <c r="D376" s="43"/>
    </row>
    <row r="377" spans="4:4" ht="15.75" customHeight="1">
      <c r="D377" s="43"/>
    </row>
    <row r="378" spans="4:4" ht="15.75" customHeight="1">
      <c r="D378" s="43"/>
    </row>
    <row r="379" spans="4:4" ht="15.75" customHeight="1">
      <c r="D379" s="43"/>
    </row>
    <row r="380" spans="4:4" ht="15.75" customHeight="1">
      <c r="D380" s="43"/>
    </row>
    <row r="381" spans="4:4" ht="15.75" customHeight="1">
      <c r="D381" s="43"/>
    </row>
    <row r="382" spans="4:4" ht="15.75" customHeight="1">
      <c r="D382" s="43"/>
    </row>
    <row r="383" spans="4:4" ht="15.75" customHeight="1">
      <c r="D383" s="43"/>
    </row>
    <row r="384" spans="4:4" ht="15.75" customHeight="1">
      <c r="D384" s="43"/>
    </row>
    <row r="385" spans="4:4" ht="15.75" customHeight="1">
      <c r="D385" s="43"/>
    </row>
    <row r="386" spans="4:4" ht="15.75" customHeight="1">
      <c r="D386" s="43"/>
    </row>
    <row r="387" spans="4:4" ht="15.75" customHeight="1">
      <c r="D387" s="43"/>
    </row>
    <row r="388" spans="4:4" ht="15.75" customHeight="1">
      <c r="D388" s="43"/>
    </row>
    <row r="389" spans="4:4" ht="15.75" customHeight="1">
      <c r="D389" s="43"/>
    </row>
    <row r="390" spans="4:4" ht="15.75" customHeight="1">
      <c r="D390" s="43"/>
    </row>
    <row r="391" spans="4:4" ht="15.75" customHeight="1">
      <c r="D391" s="43"/>
    </row>
    <row r="392" spans="4:4" ht="15.75" customHeight="1">
      <c r="D392" s="43"/>
    </row>
    <row r="393" spans="4:4" ht="15.75" customHeight="1">
      <c r="D393" s="43"/>
    </row>
    <row r="394" spans="4:4" ht="15.75" customHeight="1">
      <c r="D394" s="43"/>
    </row>
    <row r="395" spans="4:4" ht="15.75" customHeight="1">
      <c r="D395" s="43"/>
    </row>
    <row r="396" spans="4:4" ht="15.75" customHeight="1">
      <c r="D396" s="43"/>
    </row>
    <row r="397" spans="4:4" ht="15.75" customHeight="1">
      <c r="D397" s="43"/>
    </row>
    <row r="398" spans="4:4" ht="15.75" customHeight="1">
      <c r="D398" s="43"/>
    </row>
    <row r="399" spans="4:4" ht="15.75" customHeight="1">
      <c r="D399" s="43"/>
    </row>
    <row r="400" spans="4:4" ht="15.75" customHeight="1">
      <c r="D400" s="43"/>
    </row>
    <row r="401" spans="4:4" ht="15.75" customHeight="1">
      <c r="D401" s="43"/>
    </row>
    <row r="402" spans="4:4" ht="15.75" customHeight="1">
      <c r="D402" s="43"/>
    </row>
    <row r="403" spans="4:4" ht="15.75" customHeight="1">
      <c r="D403" s="43"/>
    </row>
    <row r="404" spans="4:4" ht="15.75" customHeight="1">
      <c r="D404" s="43"/>
    </row>
    <row r="405" spans="4:4" ht="15.75" customHeight="1">
      <c r="D405" s="43"/>
    </row>
    <row r="406" spans="4:4" ht="15.75" customHeight="1">
      <c r="D406" s="43"/>
    </row>
    <row r="407" spans="4:4" ht="15.75" customHeight="1">
      <c r="D407" s="43"/>
    </row>
    <row r="408" spans="4:4" ht="15.75" customHeight="1">
      <c r="D408" s="43"/>
    </row>
    <row r="409" spans="4:4" ht="15.75" customHeight="1">
      <c r="D409" s="43"/>
    </row>
    <row r="410" spans="4:4" ht="15.75" customHeight="1">
      <c r="D410" s="43"/>
    </row>
    <row r="411" spans="4:4" ht="15.75" customHeight="1">
      <c r="D411" s="43"/>
    </row>
    <row r="412" spans="4:4" ht="15.75" customHeight="1">
      <c r="D412" s="43"/>
    </row>
    <row r="413" spans="4:4" ht="15.75" customHeight="1">
      <c r="D413" s="43"/>
    </row>
    <row r="414" spans="4:4" ht="15.75" customHeight="1">
      <c r="D414" s="43"/>
    </row>
    <row r="415" spans="4:4" ht="15.75" customHeight="1">
      <c r="D415" s="43"/>
    </row>
    <row r="416" spans="4:4" ht="15.75" customHeight="1">
      <c r="D416" s="43"/>
    </row>
    <row r="417" spans="4:4" ht="15.75" customHeight="1">
      <c r="D417" s="43"/>
    </row>
    <row r="418" spans="4:4" ht="15.75" customHeight="1">
      <c r="D418" s="43"/>
    </row>
    <row r="419" spans="4:4" ht="15.75" customHeight="1">
      <c r="D419" s="43"/>
    </row>
    <row r="420" spans="4:4" ht="15.75" customHeight="1">
      <c r="D420" s="43"/>
    </row>
    <row r="421" spans="4:4" ht="15.75" customHeight="1">
      <c r="D421" s="43"/>
    </row>
    <row r="422" spans="4:4" ht="15.75" customHeight="1">
      <c r="D422" s="43"/>
    </row>
    <row r="423" spans="4:4" ht="15.75" customHeight="1">
      <c r="D423" s="43"/>
    </row>
    <row r="424" spans="4:4" ht="15.75" customHeight="1">
      <c r="D424" s="43"/>
    </row>
    <row r="425" spans="4:4" ht="15.75" customHeight="1">
      <c r="D425" s="43"/>
    </row>
    <row r="426" spans="4:4" ht="15.75" customHeight="1">
      <c r="D426" s="43"/>
    </row>
    <row r="427" spans="4:4" ht="15.75" customHeight="1">
      <c r="D427" s="43"/>
    </row>
    <row r="428" spans="4:4" ht="15.75" customHeight="1">
      <c r="D428" s="43"/>
    </row>
    <row r="429" spans="4:4" ht="15.75" customHeight="1">
      <c r="D429" s="43"/>
    </row>
    <row r="430" spans="4:4" ht="15.75" customHeight="1">
      <c r="D430" s="43"/>
    </row>
    <row r="431" spans="4:4" ht="15.75" customHeight="1">
      <c r="D431" s="43"/>
    </row>
    <row r="432" spans="4:4" ht="15.75" customHeight="1">
      <c r="D432" s="43"/>
    </row>
    <row r="433" spans="4:4" ht="15.75" customHeight="1">
      <c r="D433" s="43"/>
    </row>
    <row r="434" spans="4:4" ht="15.75" customHeight="1">
      <c r="D434" s="43"/>
    </row>
    <row r="435" spans="4:4" ht="15.75" customHeight="1">
      <c r="D435" s="43"/>
    </row>
    <row r="436" spans="4:4" ht="15.75" customHeight="1">
      <c r="D436" s="43"/>
    </row>
    <row r="437" spans="4:4" ht="15.75" customHeight="1">
      <c r="D437" s="43"/>
    </row>
    <row r="438" spans="4:4" ht="15.75" customHeight="1">
      <c r="D438" s="43"/>
    </row>
    <row r="439" spans="4:4" ht="15.75" customHeight="1">
      <c r="D439" s="43"/>
    </row>
    <row r="440" spans="4:4" ht="15.75" customHeight="1">
      <c r="D440" s="43"/>
    </row>
    <row r="441" spans="4:4" ht="15.75" customHeight="1">
      <c r="D441" s="43"/>
    </row>
    <row r="442" spans="4:4" ht="15.75" customHeight="1">
      <c r="D442" s="43"/>
    </row>
    <row r="443" spans="4:4" ht="15.75" customHeight="1">
      <c r="D443" s="43"/>
    </row>
    <row r="444" spans="4:4" ht="15.75" customHeight="1">
      <c r="D444" s="43"/>
    </row>
    <row r="445" spans="4:4" ht="15.75" customHeight="1">
      <c r="D445" s="43"/>
    </row>
    <row r="446" spans="4:4" ht="15.75" customHeight="1">
      <c r="D446" s="43"/>
    </row>
    <row r="447" spans="4:4" ht="15.75" customHeight="1">
      <c r="D447" s="43"/>
    </row>
    <row r="448" spans="4:4" ht="15.75" customHeight="1">
      <c r="D448" s="43"/>
    </row>
    <row r="449" spans="4:4" ht="15.75" customHeight="1">
      <c r="D449" s="43"/>
    </row>
    <row r="450" spans="4:4" ht="15.75" customHeight="1">
      <c r="D450" s="43"/>
    </row>
    <row r="451" spans="4:4" ht="15.75" customHeight="1">
      <c r="D451" s="43"/>
    </row>
    <row r="452" spans="4:4" ht="15.75" customHeight="1">
      <c r="D452" s="43"/>
    </row>
    <row r="453" spans="4:4" ht="15.75" customHeight="1">
      <c r="D453" s="43"/>
    </row>
    <row r="454" spans="4:4" ht="15.75" customHeight="1">
      <c r="D454" s="43"/>
    </row>
    <row r="455" spans="4:4" ht="15.75" customHeight="1">
      <c r="D455" s="43"/>
    </row>
    <row r="456" spans="4:4" ht="15.75" customHeight="1">
      <c r="D456" s="43"/>
    </row>
    <row r="457" spans="4:4" ht="15.75" customHeight="1">
      <c r="D457" s="43"/>
    </row>
    <row r="458" spans="4:4" ht="15.75" customHeight="1">
      <c r="D458" s="43"/>
    </row>
    <row r="459" spans="4:4" ht="15.75" customHeight="1">
      <c r="D459" s="43"/>
    </row>
    <row r="460" spans="4:4" ht="15.75" customHeight="1">
      <c r="D460" s="43"/>
    </row>
    <row r="461" spans="4:4" ht="15.75" customHeight="1">
      <c r="D461" s="43"/>
    </row>
    <row r="462" spans="4:4" ht="15.75" customHeight="1">
      <c r="D462" s="43"/>
    </row>
    <row r="463" spans="4:4" ht="15.75" customHeight="1">
      <c r="D463" s="43"/>
    </row>
    <row r="464" spans="4:4" ht="15.75" customHeight="1">
      <c r="D464" s="43"/>
    </row>
    <row r="465" spans="4:4" ht="15.75" customHeight="1">
      <c r="D465" s="43"/>
    </row>
    <row r="466" spans="4:4" ht="15.75" customHeight="1">
      <c r="D466" s="43"/>
    </row>
    <row r="467" spans="4:4" ht="15.75" customHeight="1">
      <c r="D467" s="43"/>
    </row>
    <row r="468" spans="4:4" ht="15.75" customHeight="1">
      <c r="D468" s="43"/>
    </row>
    <row r="469" spans="4:4" ht="15.75" customHeight="1">
      <c r="D469" s="43"/>
    </row>
    <row r="470" spans="4:4" ht="15.75" customHeight="1">
      <c r="D470" s="43"/>
    </row>
    <row r="471" spans="4:4" ht="15.75" customHeight="1">
      <c r="D471" s="43"/>
    </row>
    <row r="472" spans="4:4" ht="15.75" customHeight="1">
      <c r="D472" s="43"/>
    </row>
    <row r="473" spans="4:4" ht="15.75" customHeight="1">
      <c r="D473" s="43"/>
    </row>
    <row r="474" spans="4:4" ht="15.75" customHeight="1">
      <c r="D474" s="43"/>
    </row>
    <row r="475" spans="4:4" ht="15.75" customHeight="1">
      <c r="D475" s="43"/>
    </row>
    <row r="476" spans="4:4" ht="15.75" customHeight="1">
      <c r="D476" s="43"/>
    </row>
    <row r="477" spans="4:4" ht="15.75" customHeight="1">
      <c r="D477" s="43"/>
    </row>
    <row r="478" spans="4:4" ht="15.75" customHeight="1">
      <c r="D478" s="43"/>
    </row>
    <row r="479" spans="4:4" ht="15.75" customHeight="1">
      <c r="D479" s="43"/>
    </row>
    <row r="480" spans="4:4" ht="15.75" customHeight="1">
      <c r="D480" s="43"/>
    </row>
    <row r="481" spans="4:4" ht="15.75" customHeight="1">
      <c r="D481" s="43"/>
    </row>
    <row r="482" spans="4:4" ht="15.75" customHeight="1">
      <c r="D482" s="43"/>
    </row>
    <row r="483" spans="4:4" ht="15.75" customHeight="1">
      <c r="D483" s="43"/>
    </row>
    <row r="484" spans="4:4" ht="15.75" customHeight="1">
      <c r="D484" s="43"/>
    </row>
    <row r="485" spans="4:4" ht="15.75" customHeight="1">
      <c r="D485" s="43"/>
    </row>
    <row r="486" spans="4:4" ht="15.75" customHeight="1">
      <c r="D486" s="43"/>
    </row>
    <row r="487" spans="4:4" ht="15.75" customHeight="1">
      <c r="D487" s="43"/>
    </row>
    <row r="488" spans="4:4" ht="15.75" customHeight="1">
      <c r="D488" s="43"/>
    </row>
    <row r="489" spans="4:4" ht="15.75" customHeight="1">
      <c r="D489" s="43"/>
    </row>
    <row r="490" spans="4:4" ht="15.75" customHeight="1">
      <c r="D490" s="43"/>
    </row>
    <row r="491" spans="4:4" ht="15.75" customHeight="1">
      <c r="D491" s="43"/>
    </row>
    <row r="492" spans="4:4" ht="15.75" customHeight="1">
      <c r="D492" s="43"/>
    </row>
    <row r="493" spans="4:4" ht="15.75" customHeight="1">
      <c r="D493" s="43"/>
    </row>
    <row r="494" spans="4:4" ht="15.75" customHeight="1">
      <c r="D494" s="43"/>
    </row>
    <row r="495" spans="4:4" ht="15.75" customHeight="1">
      <c r="D495" s="43"/>
    </row>
    <row r="496" spans="4:4" ht="15.75" customHeight="1">
      <c r="D496" s="43"/>
    </row>
    <row r="497" spans="4:4" ht="15.75" customHeight="1">
      <c r="D497" s="43"/>
    </row>
    <row r="498" spans="4:4" ht="15.75" customHeight="1">
      <c r="D498" s="43"/>
    </row>
    <row r="499" spans="4:4" ht="15.75" customHeight="1">
      <c r="D499" s="43"/>
    </row>
    <row r="500" spans="4:4" ht="15.75" customHeight="1">
      <c r="D500" s="43"/>
    </row>
    <row r="501" spans="4:4" ht="15.75" customHeight="1">
      <c r="D501" s="43"/>
    </row>
    <row r="502" spans="4:4" ht="15.75" customHeight="1">
      <c r="D502" s="43"/>
    </row>
    <row r="503" spans="4:4" ht="15.75" customHeight="1">
      <c r="D503" s="43"/>
    </row>
    <row r="504" spans="4:4" ht="15.75" customHeight="1">
      <c r="D504" s="43"/>
    </row>
    <row r="505" spans="4:4" ht="15.75" customHeight="1">
      <c r="D505" s="43"/>
    </row>
    <row r="506" spans="4:4" ht="15.75" customHeight="1">
      <c r="D506" s="43"/>
    </row>
    <row r="507" spans="4:4" ht="15.75" customHeight="1">
      <c r="D507" s="43"/>
    </row>
    <row r="508" spans="4:4" ht="15.75" customHeight="1">
      <c r="D508" s="43"/>
    </row>
    <row r="509" spans="4:4" ht="15.75" customHeight="1">
      <c r="D509" s="43"/>
    </row>
    <row r="510" spans="4:4" ht="15.75" customHeight="1">
      <c r="D510" s="43"/>
    </row>
    <row r="511" spans="4:4" ht="15.75" customHeight="1">
      <c r="D511" s="43"/>
    </row>
    <row r="512" spans="4:4" ht="15.75" customHeight="1">
      <c r="D512" s="43"/>
    </row>
    <row r="513" spans="4:4" ht="15.75" customHeight="1">
      <c r="D513" s="43"/>
    </row>
    <row r="514" spans="4:4" ht="15.75" customHeight="1">
      <c r="D514" s="43"/>
    </row>
    <row r="515" spans="4:4" ht="15.75" customHeight="1">
      <c r="D515" s="43"/>
    </row>
    <row r="516" spans="4:4" ht="15.75" customHeight="1">
      <c r="D516" s="43"/>
    </row>
    <row r="517" spans="4:4" ht="15.75" customHeight="1">
      <c r="D517" s="43"/>
    </row>
    <row r="518" spans="4:4" ht="15.75" customHeight="1">
      <c r="D518" s="43"/>
    </row>
    <row r="519" spans="4:4" ht="15.75" customHeight="1">
      <c r="D519" s="43"/>
    </row>
    <row r="520" spans="4:4" ht="15.75" customHeight="1">
      <c r="D520" s="43"/>
    </row>
    <row r="521" spans="4:4" ht="15.75" customHeight="1">
      <c r="D521" s="43"/>
    </row>
    <row r="522" spans="4:4" ht="15.75" customHeight="1">
      <c r="D522" s="43"/>
    </row>
    <row r="523" spans="4:4" ht="15.75" customHeight="1">
      <c r="D523" s="43"/>
    </row>
    <row r="524" spans="4:4" ht="15.75" customHeight="1">
      <c r="D524" s="43"/>
    </row>
    <row r="525" spans="4:4" ht="15.75" customHeight="1">
      <c r="D525" s="43"/>
    </row>
    <row r="526" spans="4:4" ht="15.75" customHeight="1">
      <c r="D526" s="43"/>
    </row>
    <row r="527" spans="4:4" ht="15.75" customHeight="1">
      <c r="D527" s="43"/>
    </row>
    <row r="528" spans="4:4" ht="15.75" customHeight="1">
      <c r="D528" s="43"/>
    </row>
    <row r="529" spans="4:4" ht="15.75" customHeight="1">
      <c r="D529" s="43"/>
    </row>
    <row r="530" spans="4:4" ht="15.75" customHeight="1">
      <c r="D530" s="43"/>
    </row>
    <row r="531" spans="4:4" ht="15.75" customHeight="1">
      <c r="D531" s="43"/>
    </row>
    <row r="532" spans="4:4" ht="15.75" customHeight="1">
      <c r="D532" s="43"/>
    </row>
    <row r="533" spans="4:4" ht="15.75" customHeight="1">
      <c r="D533" s="43"/>
    </row>
    <row r="534" spans="4:4" ht="15.75" customHeight="1">
      <c r="D534" s="43"/>
    </row>
    <row r="535" spans="4:4" ht="15.75" customHeight="1">
      <c r="D535" s="43"/>
    </row>
    <row r="536" spans="4:4" ht="15.75" customHeight="1">
      <c r="D536" s="43"/>
    </row>
    <row r="537" spans="4:4" ht="15.75" customHeight="1">
      <c r="D537" s="43"/>
    </row>
    <row r="538" spans="4:4" ht="15.75" customHeight="1">
      <c r="D538" s="43"/>
    </row>
    <row r="539" spans="4:4" ht="15.75" customHeight="1">
      <c r="D539" s="43"/>
    </row>
    <row r="540" spans="4:4" ht="15.75" customHeight="1">
      <c r="D540" s="43"/>
    </row>
    <row r="541" spans="4:4" ht="15.75" customHeight="1">
      <c r="D541" s="43"/>
    </row>
    <row r="542" spans="4:4" ht="15.75" customHeight="1">
      <c r="D542" s="43"/>
    </row>
    <row r="543" spans="4:4" ht="15.75" customHeight="1">
      <c r="D543" s="43"/>
    </row>
    <row r="544" spans="4:4" ht="15.75" customHeight="1">
      <c r="D544" s="43"/>
    </row>
    <row r="545" spans="4:4" ht="15.75" customHeight="1">
      <c r="D545" s="43"/>
    </row>
    <row r="546" spans="4:4" ht="15.75" customHeight="1">
      <c r="D546" s="43"/>
    </row>
    <row r="547" spans="4:4" ht="15.75" customHeight="1">
      <c r="D547" s="43"/>
    </row>
    <row r="548" spans="4:4" ht="15.75" customHeight="1">
      <c r="D548" s="43"/>
    </row>
    <row r="549" spans="4:4" ht="15.75" customHeight="1">
      <c r="D549" s="43"/>
    </row>
    <row r="550" spans="4:4" ht="15.75" customHeight="1">
      <c r="D550" s="43"/>
    </row>
    <row r="551" spans="4:4" ht="15.75" customHeight="1">
      <c r="D551" s="43"/>
    </row>
    <row r="552" spans="4:4" ht="15.75" customHeight="1">
      <c r="D552" s="43"/>
    </row>
    <row r="553" spans="4:4" ht="15.75" customHeight="1">
      <c r="D553" s="43"/>
    </row>
    <row r="554" spans="4:4" ht="15.75" customHeight="1">
      <c r="D554" s="43"/>
    </row>
    <row r="555" spans="4:4" ht="15.75" customHeight="1">
      <c r="D555" s="43"/>
    </row>
    <row r="556" spans="4:4" ht="15.75" customHeight="1">
      <c r="D556" s="43"/>
    </row>
    <row r="557" spans="4:4" ht="15.75" customHeight="1">
      <c r="D557" s="43"/>
    </row>
    <row r="558" spans="4:4" ht="15.75" customHeight="1">
      <c r="D558" s="43"/>
    </row>
    <row r="559" spans="4:4" ht="15.75" customHeight="1">
      <c r="D559" s="43"/>
    </row>
    <row r="560" spans="4:4" ht="15.75" customHeight="1">
      <c r="D560" s="43"/>
    </row>
    <row r="561" spans="4:4" ht="15.75" customHeight="1">
      <c r="D561" s="43"/>
    </row>
    <row r="562" spans="4:4" ht="15.75" customHeight="1">
      <c r="D562" s="43"/>
    </row>
    <row r="563" spans="4:4" ht="15.75" customHeight="1">
      <c r="D563" s="43"/>
    </row>
    <row r="564" spans="4:4" ht="15.75" customHeight="1">
      <c r="D564" s="43"/>
    </row>
    <row r="565" spans="4:4" ht="15.75" customHeight="1">
      <c r="D565" s="43"/>
    </row>
    <row r="566" spans="4:4" ht="15.75" customHeight="1">
      <c r="D566" s="43"/>
    </row>
    <row r="567" spans="4:4" ht="15.75" customHeight="1">
      <c r="D567" s="43"/>
    </row>
    <row r="568" spans="4:4" ht="15.75" customHeight="1">
      <c r="D568" s="43"/>
    </row>
    <row r="569" spans="4:4" ht="15.75" customHeight="1">
      <c r="D569" s="43"/>
    </row>
    <row r="570" spans="4:4" ht="15.75" customHeight="1">
      <c r="D570" s="43"/>
    </row>
    <row r="571" spans="4:4" ht="15.75" customHeight="1">
      <c r="D571" s="43"/>
    </row>
    <row r="572" spans="4:4" ht="15.75" customHeight="1">
      <c r="D572" s="43"/>
    </row>
    <row r="573" spans="4:4" ht="15.75" customHeight="1">
      <c r="D573" s="43"/>
    </row>
    <row r="574" spans="4:4" ht="15.75" customHeight="1">
      <c r="D574" s="43"/>
    </row>
    <row r="575" spans="4:4" ht="15.75" customHeight="1">
      <c r="D575" s="43"/>
    </row>
    <row r="576" spans="4:4" ht="15.75" customHeight="1">
      <c r="D576" s="43"/>
    </row>
    <row r="577" spans="4:4" ht="15.75" customHeight="1">
      <c r="D577" s="43"/>
    </row>
    <row r="578" spans="4:4" ht="15.75" customHeight="1">
      <c r="D578" s="43"/>
    </row>
    <row r="579" spans="4:4" ht="15.75" customHeight="1">
      <c r="D579" s="43"/>
    </row>
    <row r="580" spans="4:4" ht="15.75" customHeight="1">
      <c r="D580" s="43"/>
    </row>
    <row r="581" spans="4:4" ht="15.75" customHeight="1">
      <c r="D581" s="43"/>
    </row>
    <row r="582" spans="4:4" ht="15.75" customHeight="1">
      <c r="D582" s="43"/>
    </row>
    <row r="583" spans="4:4" ht="15.75" customHeight="1">
      <c r="D583" s="43"/>
    </row>
    <row r="584" spans="4:4" ht="15.75" customHeight="1">
      <c r="D584" s="43"/>
    </row>
    <row r="585" spans="4:4" ht="15.75" customHeight="1">
      <c r="D585" s="43"/>
    </row>
    <row r="586" spans="4:4" ht="15.75" customHeight="1">
      <c r="D586" s="43"/>
    </row>
    <row r="587" spans="4:4" ht="15.75" customHeight="1">
      <c r="D587" s="43"/>
    </row>
    <row r="588" spans="4:4" ht="15.75" customHeight="1">
      <c r="D588" s="43"/>
    </row>
    <row r="589" spans="4:4" ht="15.75" customHeight="1">
      <c r="D589" s="43"/>
    </row>
    <row r="590" spans="4:4" ht="15.75" customHeight="1">
      <c r="D590" s="43"/>
    </row>
    <row r="591" spans="4:4" ht="15.75" customHeight="1">
      <c r="D591" s="43"/>
    </row>
    <row r="592" spans="4:4" ht="15.75" customHeight="1">
      <c r="D592" s="43"/>
    </row>
    <row r="593" spans="4:4" ht="15.75" customHeight="1">
      <c r="D593" s="43"/>
    </row>
    <row r="594" spans="4:4" ht="15.75" customHeight="1">
      <c r="D594" s="43"/>
    </row>
    <row r="595" spans="4:4" ht="15.75" customHeight="1">
      <c r="D595" s="43"/>
    </row>
    <row r="596" spans="4:4" ht="15.75" customHeight="1">
      <c r="D596" s="43"/>
    </row>
    <row r="597" spans="4:4" ht="15.75" customHeight="1">
      <c r="D597" s="43"/>
    </row>
    <row r="598" spans="4:4" ht="15.75" customHeight="1">
      <c r="D598" s="43"/>
    </row>
    <row r="599" spans="4:4" ht="15.75" customHeight="1">
      <c r="D599" s="43"/>
    </row>
    <row r="600" spans="4:4" ht="15.75" customHeight="1">
      <c r="D600" s="43"/>
    </row>
    <row r="601" spans="4:4" ht="15.75" customHeight="1">
      <c r="D601" s="43"/>
    </row>
    <row r="602" spans="4:4" ht="15.75" customHeight="1">
      <c r="D602" s="43"/>
    </row>
    <row r="603" spans="4:4" ht="15.75" customHeight="1">
      <c r="D603" s="43"/>
    </row>
    <row r="604" spans="4:4" ht="15.75" customHeight="1">
      <c r="D604" s="43"/>
    </row>
    <row r="605" spans="4:4" ht="15.75" customHeight="1">
      <c r="D605" s="43"/>
    </row>
    <row r="606" spans="4:4" ht="15.75" customHeight="1">
      <c r="D606" s="43"/>
    </row>
    <row r="607" spans="4:4" ht="15.75" customHeight="1">
      <c r="D607" s="43"/>
    </row>
    <row r="608" spans="4:4" ht="15.75" customHeight="1">
      <c r="D608" s="43"/>
    </row>
    <row r="609" spans="4:4" ht="15.75" customHeight="1">
      <c r="D609" s="43"/>
    </row>
    <row r="610" spans="4:4" ht="15.75" customHeight="1">
      <c r="D610" s="43"/>
    </row>
    <row r="611" spans="4:4" ht="15.75" customHeight="1">
      <c r="D611" s="43"/>
    </row>
    <row r="612" spans="4:4" ht="15.75" customHeight="1">
      <c r="D612" s="43"/>
    </row>
    <row r="613" spans="4:4" ht="15.75" customHeight="1">
      <c r="D613" s="43"/>
    </row>
    <row r="614" spans="4:4" ht="15.75" customHeight="1">
      <c r="D614" s="43"/>
    </row>
    <row r="615" spans="4:4" ht="15.75" customHeight="1">
      <c r="D615" s="43"/>
    </row>
    <row r="616" spans="4:4" ht="15.75" customHeight="1">
      <c r="D616" s="43"/>
    </row>
    <row r="617" spans="4:4" ht="15.75" customHeight="1">
      <c r="D617" s="43"/>
    </row>
    <row r="618" spans="4:4" ht="15.75" customHeight="1">
      <c r="D618" s="43"/>
    </row>
    <row r="619" spans="4:4" ht="15.75" customHeight="1">
      <c r="D619" s="43"/>
    </row>
    <row r="620" spans="4:4" ht="15.75" customHeight="1">
      <c r="D620" s="43"/>
    </row>
    <row r="621" spans="4:4" ht="15.75" customHeight="1">
      <c r="D621" s="43"/>
    </row>
    <row r="622" spans="4:4" ht="15.75" customHeight="1">
      <c r="D622" s="43"/>
    </row>
    <row r="623" spans="4:4" ht="15.75" customHeight="1">
      <c r="D623" s="43"/>
    </row>
    <row r="624" spans="4:4" ht="15.75" customHeight="1">
      <c r="D624" s="43"/>
    </row>
    <row r="625" spans="4:4" ht="15.75" customHeight="1">
      <c r="D625" s="43"/>
    </row>
    <row r="626" spans="4:4" ht="15.75" customHeight="1">
      <c r="D626" s="43"/>
    </row>
    <row r="627" spans="4:4" ht="15.75" customHeight="1">
      <c r="D627" s="43"/>
    </row>
    <row r="628" spans="4:4" ht="15.75" customHeight="1">
      <c r="D628" s="43"/>
    </row>
    <row r="629" spans="4:4" ht="15.75" customHeight="1">
      <c r="D629" s="43"/>
    </row>
    <row r="630" spans="4:4" ht="15.75" customHeight="1">
      <c r="D630" s="43"/>
    </row>
    <row r="631" spans="4:4" ht="15.75" customHeight="1">
      <c r="D631" s="43"/>
    </row>
    <row r="632" spans="4:4" ht="15.75" customHeight="1">
      <c r="D632" s="43"/>
    </row>
    <row r="633" spans="4:4" ht="15.75" customHeight="1">
      <c r="D633" s="43"/>
    </row>
    <row r="634" spans="4:4" ht="15.75" customHeight="1">
      <c r="D634" s="43"/>
    </row>
    <row r="635" spans="4:4" ht="15.75" customHeight="1">
      <c r="D635" s="43"/>
    </row>
    <row r="636" spans="4:4" ht="15.75" customHeight="1">
      <c r="D636" s="43"/>
    </row>
    <row r="637" spans="4:4" ht="15.75" customHeight="1">
      <c r="D637" s="43"/>
    </row>
    <row r="638" spans="4:4" ht="15.75" customHeight="1">
      <c r="D638" s="43"/>
    </row>
    <row r="639" spans="4:4" ht="15.75" customHeight="1">
      <c r="D639" s="43"/>
    </row>
    <row r="640" spans="4:4" ht="15.75" customHeight="1">
      <c r="D640" s="43"/>
    </row>
    <row r="641" spans="4:4" ht="15.75" customHeight="1">
      <c r="D641" s="43"/>
    </row>
    <row r="642" spans="4:4" ht="15.75" customHeight="1">
      <c r="D642" s="43"/>
    </row>
    <row r="643" spans="4:4" ht="15.75" customHeight="1">
      <c r="D643" s="43"/>
    </row>
    <row r="644" spans="4:4" ht="15.75" customHeight="1">
      <c r="D644" s="43"/>
    </row>
    <row r="645" spans="4:4" ht="15.75" customHeight="1">
      <c r="D645" s="43"/>
    </row>
    <row r="646" spans="4:4" ht="15.75" customHeight="1">
      <c r="D646" s="43"/>
    </row>
    <row r="647" spans="4:4" ht="15.75" customHeight="1">
      <c r="D647" s="43"/>
    </row>
    <row r="648" spans="4:4" ht="15.75" customHeight="1">
      <c r="D648" s="43"/>
    </row>
    <row r="649" spans="4:4" ht="15.75" customHeight="1">
      <c r="D649" s="43"/>
    </row>
    <row r="650" spans="4:4" ht="15.75" customHeight="1">
      <c r="D650" s="43"/>
    </row>
    <row r="651" spans="4:4" ht="15.75" customHeight="1">
      <c r="D651" s="43"/>
    </row>
    <row r="652" spans="4:4" ht="15.75" customHeight="1">
      <c r="D652" s="43"/>
    </row>
    <row r="653" spans="4:4" ht="15.75" customHeight="1">
      <c r="D653" s="43"/>
    </row>
    <row r="654" spans="4:4" ht="15.75" customHeight="1">
      <c r="D654" s="43"/>
    </row>
    <row r="655" spans="4:4" ht="15.75" customHeight="1">
      <c r="D655" s="43"/>
    </row>
    <row r="656" spans="4:4" ht="15.75" customHeight="1">
      <c r="D656" s="43"/>
    </row>
    <row r="657" spans="4:4" ht="15.75" customHeight="1">
      <c r="D657" s="43"/>
    </row>
    <row r="658" spans="4:4" ht="15.75" customHeight="1">
      <c r="D658" s="43"/>
    </row>
    <row r="659" spans="4:4" ht="15.75" customHeight="1">
      <c r="D659" s="43"/>
    </row>
    <row r="660" spans="4:4" ht="15.75" customHeight="1">
      <c r="D660" s="43"/>
    </row>
    <row r="661" spans="4:4" ht="15.75" customHeight="1">
      <c r="D661" s="43"/>
    </row>
    <row r="662" spans="4:4" ht="15.75" customHeight="1">
      <c r="D662" s="43"/>
    </row>
    <row r="663" spans="4:4" ht="15.75" customHeight="1">
      <c r="D663" s="43"/>
    </row>
    <row r="664" spans="4:4" ht="15.75" customHeight="1">
      <c r="D664" s="43"/>
    </row>
    <row r="665" spans="4:4" ht="15.75" customHeight="1">
      <c r="D665" s="43"/>
    </row>
    <row r="666" spans="4:4" ht="15.75" customHeight="1">
      <c r="D666" s="43"/>
    </row>
    <row r="667" spans="4:4" ht="15.75" customHeight="1">
      <c r="D667" s="43"/>
    </row>
    <row r="668" spans="4:4" ht="15.75" customHeight="1">
      <c r="D668" s="43"/>
    </row>
    <row r="669" spans="4:4" ht="15.75" customHeight="1">
      <c r="D669" s="43"/>
    </row>
    <row r="670" spans="4:4" ht="15.75" customHeight="1">
      <c r="D670" s="43"/>
    </row>
    <row r="671" spans="4:4" ht="15.75" customHeight="1">
      <c r="D671" s="43"/>
    </row>
    <row r="672" spans="4:4" ht="15.75" customHeight="1">
      <c r="D672" s="43"/>
    </row>
    <row r="673" spans="4:4" ht="15.75" customHeight="1">
      <c r="D673" s="43"/>
    </row>
    <row r="674" spans="4:4" ht="15.75" customHeight="1">
      <c r="D674" s="43"/>
    </row>
    <row r="675" spans="4:4" ht="15.75" customHeight="1">
      <c r="D675" s="43"/>
    </row>
    <row r="676" spans="4:4" ht="15.75" customHeight="1">
      <c r="D676" s="43"/>
    </row>
    <row r="677" spans="4:4" ht="15.75" customHeight="1">
      <c r="D677" s="43"/>
    </row>
    <row r="678" spans="4:4" ht="15.75" customHeight="1">
      <c r="D678" s="43"/>
    </row>
    <row r="679" spans="4:4" ht="15.75" customHeight="1">
      <c r="D679" s="43"/>
    </row>
    <row r="680" spans="4:4" ht="15.75" customHeight="1">
      <c r="D680" s="43"/>
    </row>
    <row r="681" spans="4:4" ht="15.75" customHeight="1">
      <c r="D681" s="43"/>
    </row>
    <row r="682" spans="4:4" ht="15.75" customHeight="1">
      <c r="D682" s="43"/>
    </row>
    <row r="683" spans="4:4" ht="15.75" customHeight="1">
      <c r="D683" s="43"/>
    </row>
    <row r="684" spans="4:4" ht="15.75" customHeight="1">
      <c r="D684" s="43"/>
    </row>
    <row r="685" spans="4:4" ht="15.75" customHeight="1">
      <c r="D685" s="43"/>
    </row>
    <row r="686" spans="4:4" ht="15.75" customHeight="1">
      <c r="D686" s="43"/>
    </row>
    <row r="687" spans="4:4" ht="15.75" customHeight="1">
      <c r="D687" s="43"/>
    </row>
    <row r="688" spans="4:4" ht="15.75" customHeight="1">
      <c r="D688" s="43"/>
    </row>
    <row r="689" spans="4:4" ht="15.75" customHeight="1">
      <c r="D689" s="43"/>
    </row>
    <row r="690" spans="4:4" ht="15.75" customHeight="1">
      <c r="D690" s="43"/>
    </row>
    <row r="691" spans="4:4" ht="15.75" customHeight="1">
      <c r="D691" s="43"/>
    </row>
    <row r="692" spans="4:4" ht="15.75" customHeight="1">
      <c r="D692" s="43"/>
    </row>
    <row r="693" spans="4:4" ht="15.75" customHeight="1">
      <c r="D693" s="43"/>
    </row>
    <row r="694" spans="4:4" ht="15.75" customHeight="1">
      <c r="D694" s="43"/>
    </row>
    <row r="695" spans="4:4" ht="15.75" customHeight="1">
      <c r="D695" s="43"/>
    </row>
    <row r="696" spans="4:4" ht="15.75" customHeight="1">
      <c r="D696" s="43"/>
    </row>
    <row r="697" spans="4:4" ht="15.75" customHeight="1">
      <c r="D697" s="43"/>
    </row>
    <row r="698" spans="4:4" ht="15.75" customHeight="1">
      <c r="D698" s="43"/>
    </row>
    <row r="699" spans="4:4" ht="15.75" customHeight="1">
      <c r="D699" s="43"/>
    </row>
    <row r="700" spans="4:4" ht="15.75" customHeight="1">
      <c r="D700" s="43"/>
    </row>
    <row r="701" spans="4:4" ht="15.75" customHeight="1">
      <c r="D701" s="43"/>
    </row>
    <row r="702" spans="4:4" ht="15.75" customHeight="1">
      <c r="D702" s="43"/>
    </row>
    <row r="703" spans="4:4" ht="15.75" customHeight="1">
      <c r="D703" s="43"/>
    </row>
    <row r="704" spans="4:4" ht="15.75" customHeight="1">
      <c r="D704" s="43"/>
    </row>
    <row r="705" spans="4:4" ht="15.75" customHeight="1">
      <c r="D705" s="43"/>
    </row>
    <row r="706" spans="4:4" ht="15.75" customHeight="1">
      <c r="D706" s="43"/>
    </row>
    <row r="707" spans="4:4" ht="15.75" customHeight="1">
      <c r="D707" s="43"/>
    </row>
    <row r="708" spans="4:4" ht="15.75" customHeight="1">
      <c r="D708" s="43"/>
    </row>
    <row r="709" spans="4:4" ht="15.75" customHeight="1">
      <c r="D709" s="43"/>
    </row>
    <row r="710" spans="4:4" ht="15.75" customHeight="1">
      <c r="D710" s="43"/>
    </row>
    <row r="711" spans="4:4" ht="15.75" customHeight="1">
      <c r="D711" s="43"/>
    </row>
    <row r="712" spans="4:4" ht="15.75" customHeight="1">
      <c r="D712" s="43"/>
    </row>
    <row r="713" spans="4:4" ht="15.75" customHeight="1">
      <c r="D713" s="43"/>
    </row>
    <row r="714" spans="4:4" ht="15.75" customHeight="1">
      <c r="D714" s="43"/>
    </row>
    <row r="715" spans="4:4" ht="15.75" customHeight="1">
      <c r="D715" s="43"/>
    </row>
    <row r="716" spans="4:4" ht="15.75" customHeight="1">
      <c r="D716" s="43"/>
    </row>
    <row r="717" spans="4:4" ht="15.75" customHeight="1">
      <c r="D717" s="43"/>
    </row>
    <row r="718" spans="4:4" ht="15.75" customHeight="1">
      <c r="D718" s="43"/>
    </row>
    <row r="719" spans="4:4" ht="15.75" customHeight="1">
      <c r="D719" s="43"/>
    </row>
    <row r="720" spans="4:4" ht="15.75" customHeight="1">
      <c r="D720" s="43"/>
    </row>
    <row r="721" spans="4:4" ht="15.75" customHeight="1">
      <c r="D721" s="43"/>
    </row>
    <row r="722" spans="4:4" ht="15.75" customHeight="1">
      <c r="D722" s="43"/>
    </row>
    <row r="723" spans="4:4" ht="15.75" customHeight="1">
      <c r="D723" s="43"/>
    </row>
    <row r="724" spans="4:4" ht="15.75" customHeight="1">
      <c r="D724" s="43"/>
    </row>
    <row r="725" spans="4:4" ht="15.75" customHeight="1">
      <c r="D725" s="43"/>
    </row>
    <row r="726" spans="4:4" ht="15.75" customHeight="1">
      <c r="D726" s="43"/>
    </row>
    <row r="727" spans="4:4" ht="15.75" customHeight="1">
      <c r="D727" s="43"/>
    </row>
    <row r="728" spans="4:4" ht="15.75" customHeight="1">
      <c r="D728" s="43"/>
    </row>
    <row r="729" spans="4:4" ht="15.75" customHeight="1">
      <c r="D729" s="43"/>
    </row>
    <row r="730" spans="4:4" ht="15.75" customHeight="1">
      <c r="D730" s="43"/>
    </row>
    <row r="731" spans="4:4" ht="15.75" customHeight="1">
      <c r="D731" s="43"/>
    </row>
    <row r="732" spans="4:4" ht="15.75" customHeight="1">
      <c r="D732" s="43"/>
    </row>
    <row r="733" spans="4:4" ht="15.75" customHeight="1">
      <c r="D733" s="43"/>
    </row>
    <row r="734" spans="4:4" ht="15.75" customHeight="1">
      <c r="D734" s="43"/>
    </row>
    <row r="735" spans="4:4" ht="15.75" customHeight="1">
      <c r="D735" s="43"/>
    </row>
    <row r="736" spans="4:4" ht="15.75" customHeight="1">
      <c r="D736" s="43"/>
    </row>
    <row r="737" spans="4:4" ht="15.75" customHeight="1">
      <c r="D737" s="43"/>
    </row>
    <row r="738" spans="4:4" ht="15.75" customHeight="1">
      <c r="D738" s="43"/>
    </row>
    <row r="739" spans="4:4" ht="15.75" customHeight="1">
      <c r="D739" s="43"/>
    </row>
    <row r="740" spans="4:4" ht="15.75" customHeight="1">
      <c r="D740" s="43"/>
    </row>
    <row r="741" spans="4:4" ht="15.75" customHeight="1">
      <c r="D741" s="43"/>
    </row>
    <row r="742" spans="4:4" ht="15.75" customHeight="1">
      <c r="D742" s="43"/>
    </row>
    <row r="743" spans="4:4" ht="15.75" customHeight="1">
      <c r="D743" s="43"/>
    </row>
    <row r="744" spans="4:4" ht="15.75" customHeight="1">
      <c r="D744" s="43"/>
    </row>
    <row r="745" spans="4:4" ht="15.75" customHeight="1">
      <c r="D745" s="43"/>
    </row>
    <row r="746" spans="4:4" ht="15.75" customHeight="1">
      <c r="D746" s="43"/>
    </row>
    <row r="747" spans="4:4" ht="15.75" customHeight="1">
      <c r="D747" s="43"/>
    </row>
    <row r="748" spans="4:4" ht="15.75" customHeight="1">
      <c r="D748" s="43"/>
    </row>
    <row r="749" spans="4:4" ht="15.75" customHeight="1">
      <c r="D749" s="43"/>
    </row>
    <row r="750" spans="4:4" ht="15.75" customHeight="1">
      <c r="D750" s="43"/>
    </row>
    <row r="751" spans="4:4" ht="15.75" customHeight="1">
      <c r="D751" s="43"/>
    </row>
    <row r="752" spans="4:4" ht="15.75" customHeight="1">
      <c r="D752" s="43"/>
    </row>
    <row r="753" spans="4:4" ht="15.75" customHeight="1">
      <c r="D753" s="43"/>
    </row>
    <row r="754" spans="4:4" ht="15.75" customHeight="1">
      <c r="D754" s="43"/>
    </row>
    <row r="755" spans="4:4" ht="15.75" customHeight="1">
      <c r="D755" s="43"/>
    </row>
    <row r="756" spans="4:4" ht="15.75" customHeight="1">
      <c r="D756" s="43"/>
    </row>
    <row r="757" spans="4:4" ht="15.75" customHeight="1">
      <c r="D757" s="43"/>
    </row>
    <row r="758" spans="4:4" ht="15.75" customHeight="1">
      <c r="D758" s="43"/>
    </row>
    <row r="759" spans="4:4" ht="15.75" customHeight="1">
      <c r="D759" s="43"/>
    </row>
    <row r="760" spans="4:4" ht="15.75" customHeight="1">
      <c r="D760" s="43"/>
    </row>
    <row r="761" spans="4:4" ht="15.75" customHeight="1">
      <c r="D761" s="43"/>
    </row>
    <row r="762" spans="4:4" ht="15.75" customHeight="1">
      <c r="D762" s="43"/>
    </row>
    <row r="763" spans="4:4" ht="15.75" customHeight="1">
      <c r="D763" s="43"/>
    </row>
    <row r="764" spans="4:4" ht="15.75" customHeight="1">
      <c r="D764" s="43"/>
    </row>
    <row r="765" spans="4:4" ht="15.75" customHeight="1">
      <c r="D765" s="43"/>
    </row>
    <row r="766" spans="4:4" ht="15.75" customHeight="1">
      <c r="D766" s="43"/>
    </row>
    <row r="767" spans="4:4" ht="15.75" customHeight="1">
      <c r="D767" s="43"/>
    </row>
    <row r="768" spans="4:4" ht="15.75" customHeight="1">
      <c r="D768" s="43"/>
    </row>
    <row r="769" spans="4:4" ht="15.75" customHeight="1">
      <c r="D769" s="43"/>
    </row>
    <row r="770" spans="4:4" ht="15.75" customHeight="1">
      <c r="D770" s="43"/>
    </row>
    <row r="771" spans="4:4" ht="15.75" customHeight="1">
      <c r="D771" s="43"/>
    </row>
    <row r="772" spans="4:4" ht="15.75" customHeight="1">
      <c r="D772" s="43"/>
    </row>
    <row r="773" spans="4:4" ht="15.75" customHeight="1">
      <c r="D773" s="43"/>
    </row>
    <row r="774" spans="4:4" ht="15.75" customHeight="1">
      <c r="D774" s="43"/>
    </row>
    <row r="775" spans="4:4" ht="15.75" customHeight="1">
      <c r="D775" s="43"/>
    </row>
    <row r="776" spans="4:4" ht="15.75" customHeight="1">
      <c r="D776" s="43"/>
    </row>
    <row r="777" spans="4:4" ht="15.75" customHeight="1">
      <c r="D777" s="43"/>
    </row>
    <row r="778" spans="4:4" ht="15.75" customHeight="1">
      <c r="D778" s="43"/>
    </row>
    <row r="779" spans="4:4" ht="15.75" customHeight="1">
      <c r="D779" s="43"/>
    </row>
    <row r="780" spans="4:4" ht="15.75" customHeight="1">
      <c r="D780" s="43"/>
    </row>
    <row r="781" spans="4:4" ht="15.75" customHeight="1">
      <c r="D781" s="43"/>
    </row>
    <row r="782" spans="4:4" ht="15.75" customHeight="1">
      <c r="D782" s="43"/>
    </row>
    <row r="783" spans="4:4" ht="15.75" customHeight="1">
      <c r="D783" s="43"/>
    </row>
    <row r="784" spans="4:4" ht="15.75" customHeight="1">
      <c r="D784" s="43"/>
    </row>
    <row r="785" spans="4:4" ht="15.75" customHeight="1">
      <c r="D785" s="43"/>
    </row>
    <row r="786" spans="4:4" ht="15.75" customHeight="1">
      <c r="D786" s="43"/>
    </row>
    <row r="787" spans="4:4" ht="15.75" customHeight="1">
      <c r="D787" s="43"/>
    </row>
    <row r="788" spans="4:4" ht="15.75" customHeight="1">
      <c r="D788" s="43"/>
    </row>
    <row r="789" spans="4:4" ht="15.75" customHeight="1">
      <c r="D789" s="43"/>
    </row>
    <row r="790" spans="4:4" ht="15.75" customHeight="1">
      <c r="D790" s="43"/>
    </row>
    <row r="791" spans="4:4" ht="15.75" customHeight="1">
      <c r="D791" s="43"/>
    </row>
    <row r="792" spans="4:4" ht="15.75" customHeight="1">
      <c r="D792" s="43"/>
    </row>
    <row r="793" spans="4:4" ht="15.75" customHeight="1">
      <c r="D793" s="43"/>
    </row>
    <row r="794" spans="4:4" ht="15.75" customHeight="1">
      <c r="D794" s="43"/>
    </row>
    <row r="795" spans="4:4" ht="15.75" customHeight="1">
      <c r="D795" s="43"/>
    </row>
    <row r="796" spans="4:4" ht="15.75" customHeight="1">
      <c r="D796" s="43"/>
    </row>
    <row r="797" spans="4:4" ht="15.75" customHeight="1">
      <c r="D797" s="43"/>
    </row>
    <row r="798" spans="4:4" ht="15.75" customHeight="1">
      <c r="D798" s="43"/>
    </row>
    <row r="799" spans="4:4" ht="15.75" customHeight="1">
      <c r="D799" s="43"/>
    </row>
    <row r="800" spans="4:4" ht="15.75" customHeight="1">
      <c r="D800" s="43"/>
    </row>
    <row r="801" spans="4:4" ht="15.75" customHeight="1">
      <c r="D801" s="43"/>
    </row>
    <row r="802" spans="4:4" ht="15.75" customHeight="1">
      <c r="D802" s="43"/>
    </row>
    <row r="803" spans="4:4" ht="15.75" customHeight="1">
      <c r="D803" s="43"/>
    </row>
    <row r="804" spans="4:4" ht="15.75" customHeight="1">
      <c r="D804" s="43"/>
    </row>
    <row r="805" spans="4:4" ht="15.75" customHeight="1">
      <c r="D805" s="43"/>
    </row>
    <row r="806" spans="4:4" ht="15.75" customHeight="1">
      <c r="D806" s="43"/>
    </row>
    <row r="807" spans="4:4" ht="15.75" customHeight="1">
      <c r="D807" s="43"/>
    </row>
    <row r="808" spans="4:4" ht="15.75" customHeight="1">
      <c r="D808" s="43"/>
    </row>
    <row r="809" spans="4:4" ht="15.75" customHeight="1">
      <c r="D809" s="43"/>
    </row>
    <row r="810" spans="4:4" ht="15.75" customHeight="1">
      <c r="D810" s="43"/>
    </row>
    <row r="811" spans="4:4" ht="15.75" customHeight="1">
      <c r="D811" s="43"/>
    </row>
    <row r="812" spans="4:4" ht="15.75" customHeight="1">
      <c r="D812" s="43"/>
    </row>
    <row r="813" spans="4:4" ht="15.75" customHeight="1">
      <c r="D813" s="43"/>
    </row>
    <row r="814" spans="4:4" ht="15.75" customHeight="1">
      <c r="D814" s="43"/>
    </row>
    <row r="815" spans="4:4" ht="15.75" customHeight="1">
      <c r="D815" s="43"/>
    </row>
    <row r="816" spans="4:4" ht="15.75" customHeight="1">
      <c r="D816" s="43"/>
    </row>
    <row r="817" spans="4:4" ht="15.75" customHeight="1">
      <c r="D817" s="43"/>
    </row>
    <row r="818" spans="4:4" ht="15.75" customHeight="1">
      <c r="D818" s="43"/>
    </row>
    <row r="819" spans="4:4" ht="15.75" customHeight="1">
      <c r="D819" s="43"/>
    </row>
    <row r="820" spans="4:4" ht="15.75" customHeight="1">
      <c r="D820" s="43"/>
    </row>
    <row r="821" spans="4:4" ht="15.75" customHeight="1">
      <c r="D821" s="43"/>
    </row>
    <row r="822" spans="4:4" ht="15.75" customHeight="1">
      <c r="D822" s="43"/>
    </row>
    <row r="823" spans="4:4" ht="15.75" customHeight="1">
      <c r="D823" s="43"/>
    </row>
    <row r="824" spans="4:4" ht="15.75" customHeight="1">
      <c r="D824" s="43"/>
    </row>
    <row r="825" spans="4:4" ht="15.75" customHeight="1">
      <c r="D825" s="43"/>
    </row>
    <row r="826" spans="4:4" ht="15.75" customHeight="1">
      <c r="D826" s="43"/>
    </row>
    <row r="827" spans="4:4" ht="15.75" customHeight="1">
      <c r="D827" s="43"/>
    </row>
    <row r="828" spans="4:4" ht="15.75" customHeight="1">
      <c r="D828" s="43"/>
    </row>
    <row r="829" spans="4:4" ht="15.75" customHeight="1">
      <c r="D829" s="43"/>
    </row>
    <row r="830" spans="4:4" ht="15.75" customHeight="1">
      <c r="D830" s="43"/>
    </row>
    <row r="831" spans="4:4" ht="15.75" customHeight="1">
      <c r="D831" s="43"/>
    </row>
    <row r="832" spans="4:4" ht="15.75" customHeight="1">
      <c r="D832" s="43"/>
    </row>
    <row r="833" spans="4:4" ht="15.75" customHeight="1">
      <c r="D833" s="43"/>
    </row>
    <row r="834" spans="4:4" ht="15.75" customHeight="1">
      <c r="D834" s="43"/>
    </row>
    <row r="835" spans="4:4" ht="15.75" customHeight="1">
      <c r="D835" s="43"/>
    </row>
    <row r="836" spans="4:4" ht="15.75" customHeight="1">
      <c r="D836" s="43"/>
    </row>
    <row r="837" spans="4:4" ht="15.75" customHeight="1">
      <c r="D837" s="43"/>
    </row>
    <row r="838" spans="4:4" ht="15.75" customHeight="1">
      <c r="D838" s="43"/>
    </row>
    <row r="839" spans="4:4" ht="15.75" customHeight="1">
      <c r="D839" s="43"/>
    </row>
    <row r="840" spans="4:4" ht="15.75" customHeight="1">
      <c r="D840" s="43"/>
    </row>
    <row r="841" spans="4:4" ht="15.75" customHeight="1">
      <c r="D841" s="43"/>
    </row>
    <row r="842" spans="4:4" ht="15.75" customHeight="1">
      <c r="D842" s="43"/>
    </row>
    <row r="843" spans="4:4" ht="15.75" customHeight="1">
      <c r="D843" s="43"/>
    </row>
    <row r="844" spans="4:4" ht="15.75" customHeight="1">
      <c r="D844" s="43"/>
    </row>
    <row r="845" spans="4:4" ht="15.75" customHeight="1">
      <c r="D845" s="43"/>
    </row>
    <row r="846" spans="4:4" ht="15.75" customHeight="1">
      <c r="D846" s="43"/>
    </row>
    <row r="847" spans="4:4" ht="15.75" customHeight="1">
      <c r="D847" s="43"/>
    </row>
    <row r="848" spans="4:4" ht="15.75" customHeight="1">
      <c r="D848" s="43"/>
    </row>
    <row r="849" spans="4:4" ht="15.75" customHeight="1">
      <c r="D849" s="43"/>
    </row>
    <row r="850" spans="4:4" ht="15.75" customHeight="1">
      <c r="D850" s="43"/>
    </row>
    <row r="851" spans="4:4" ht="15.75" customHeight="1">
      <c r="D851" s="43"/>
    </row>
    <row r="852" spans="4:4" ht="15.75" customHeight="1">
      <c r="D852" s="43"/>
    </row>
    <row r="853" spans="4:4" ht="15.75" customHeight="1">
      <c r="D853" s="43"/>
    </row>
    <row r="854" spans="4:4" ht="15.75" customHeight="1">
      <c r="D854" s="43"/>
    </row>
    <row r="855" spans="4:4" ht="15.75" customHeight="1">
      <c r="D855" s="43"/>
    </row>
    <row r="856" spans="4:4" ht="15.75" customHeight="1">
      <c r="D856" s="43"/>
    </row>
    <row r="857" spans="4:4" ht="15.75" customHeight="1">
      <c r="D857" s="43"/>
    </row>
    <row r="858" spans="4:4" ht="15.75" customHeight="1">
      <c r="D858" s="43"/>
    </row>
    <row r="859" spans="4:4" ht="15.75" customHeight="1">
      <c r="D859" s="43"/>
    </row>
    <row r="860" spans="4:4" ht="15.75" customHeight="1">
      <c r="D860" s="43"/>
    </row>
    <row r="861" spans="4:4" ht="15.75" customHeight="1">
      <c r="D861" s="43"/>
    </row>
    <row r="862" spans="4:4" ht="15.75" customHeight="1">
      <c r="D862" s="43"/>
    </row>
    <row r="863" spans="4:4" ht="15.75" customHeight="1">
      <c r="D863" s="43"/>
    </row>
    <row r="864" spans="4:4" ht="15.75" customHeight="1">
      <c r="D864" s="43"/>
    </row>
    <row r="865" spans="4:4" ht="15.75" customHeight="1">
      <c r="D865" s="43"/>
    </row>
    <row r="866" spans="4:4" ht="15.75" customHeight="1">
      <c r="D866" s="43"/>
    </row>
    <row r="867" spans="4:4" ht="15.75" customHeight="1">
      <c r="D867" s="43"/>
    </row>
    <row r="868" spans="4:4" ht="15.75" customHeight="1">
      <c r="D868" s="43"/>
    </row>
    <row r="869" spans="4:4" ht="15.75" customHeight="1">
      <c r="D869" s="43"/>
    </row>
    <row r="870" spans="4:4" ht="15.75" customHeight="1">
      <c r="D870" s="43"/>
    </row>
    <row r="871" spans="4:4" ht="15.75" customHeight="1">
      <c r="D871" s="43"/>
    </row>
    <row r="872" spans="4:4" ht="15.75" customHeight="1">
      <c r="D872" s="43"/>
    </row>
    <row r="873" spans="4:4" ht="15.75" customHeight="1">
      <c r="D873" s="43"/>
    </row>
    <row r="874" spans="4:4" ht="15.75" customHeight="1">
      <c r="D874" s="43"/>
    </row>
    <row r="875" spans="4:4" ht="15.75" customHeight="1">
      <c r="D875" s="43"/>
    </row>
    <row r="876" spans="4:4" ht="15.75" customHeight="1">
      <c r="D876" s="43"/>
    </row>
    <row r="877" spans="4:4" ht="15.75" customHeight="1">
      <c r="D877" s="43"/>
    </row>
    <row r="878" spans="4:4" ht="15.75" customHeight="1">
      <c r="D878" s="43"/>
    </row>
    <row r="879" spans="4:4" ht="15.75" customHeight="1">
      <c r="D879" s="43"/>
    </row>
    <row r="880" spans="4:4" ht="15.75" customHeight="1">
      <c r="D880" s="43"/>
    </row>
    <row r="881" spans="4:4" ht="15.75" customHeight="1">
      <c r="D881" s="43"/>
    </row>
    <row r="882" spans="4:4" ht="15.75" customHeight="1">
      <c r="D882" s="43"/>
    </row>
    <row r="883" spans="4:4" ht="15.75" customHeight="1">
      <c r="D883" s="43"/>
    </row>
    <row r="884" spans="4:4" ht="15.75" customHeight="1">
      <c r="D884" s="43"/>
    </row>
    <row r="885" spans="4:4" ht="15.75" customHeight="1">
      <c r="D885" s="43"/>
    </row>
    <row r="886" spans="4:4" ht="15.75" customHeight="1">
      <c r="D886" s="43"/>
    </row>
    <row r="887" spans="4:4" ht="15.75" customHeight="1">
      <c r="D887" s="43"/>
    </row>
    <row r="888" spans="4:4" ht="15.75" customHeight="1">
      <c r="D888" s="43"/>
    </row>
    <row r="889" spans="4:4" ht="15.75" customHeight="1">
      <c r="D889" s="43"/>
    </row>
    <row r="890" spans="4:4" ht="15.75" customHeight="1">
      <c r="D890" s="43"/>
    </row>
    <row r="891" spans="4:4" ht="15.75" customHeight="1">
      <c r="D891" s="43"/>
    </row>
    <row r="892" spans="4:4" ht="15.75" customHeight="1">
      <c r="D892" s="43"/>
    </row>
    <row r="893" spans="4:4" ht="15.75" customHeight="1">
      <c r="D893" s="43"/>
    </row>
    <row r="894" spans="4:4" ht="15.75" customHeight="1">
      <c r="D894" s="43"/>
    </row>
    <row r="895" spans="4:4" ht="15.75" customHeight="1">
      <c r="D895" s="43"/>
    </row>
    <row r="896" spans="4:4" ht="15.75" customHeight="1">
      <c r="D896" s="43"/>
    </row>
    <row r="897" spans="4:4" ht="15.75" customHeight="1">
      <c r="D897" s="43"/>
    </row>
    <row r="898" spans="4:4" ht="15.75" customHeight="1">
      <c r="D898" s="43"/>
    </row>
    <row r="899" spans="4:4" ht="15.75" customHeight="1">
      <c r="D899" s="43"/>
    </row>
    <row r="900" spans="4:4" ht="15.75" customHeight="1">
      <c r="D900" s="43"/>
    </row>
    <row r="901" spans="4:4" ht="15.75" customHeight="1">
      <c r="D901" s="43"/>
    </row>
    <row r="902" spans="4:4" ht="15.75" customHeight="1">
      <c r="D902" s="43"/>
    </row>
    <row r="903" spans="4:4" ht="15.75" customHeight="1">
      <c r="D903" s="43"/>
    </row>
    <row r="904" spans="4:4" ht="15.75" customHeight="1">
      <c r="D904" s="43"/>
    </row>
    <row r="905" spans="4:4" ht="15.75" customHeight="1">
      <c r="D905" s="43"/>
    </row>
    <row r="906" spans="4:4" ht="15.75" customHeight="1">
      <c r="D906" s="43"/>
    </row>
    <row r="907" spans="4:4" ht="15.75" customHeight="1">
      <c r="D907" s="43"/>
    </row>
    <row r="908" spans="4:4" ht="15.75" customHeight="1">
      <c r="D908" s="43"/>
    </row>
    <row r="909" spans="4:4" ht="15.75" customHeight="1">
      <c r="D909" s="43"/>
    </row>
    <row r="910" spans="4:4" ht="15.75" customHeight="1">
      <c r="D910" s="43"/>
    </row>
    <row r="911" spans="4:4" ht="15.75" customHeight="1">
      <c r="D911" s="43"/>
    </row>
    <row r="912" spans="4:4" ht="15.75" customHeight="1">
      <c r="D912" s="43"/>
    </row>
    <row r="913" spans="4:4" ht="15.75" customHeight="1">
      <c r="D913" s="43"/>
    </row>
    <row r="914" spans="4:4" ht="15.75" customHeight="1">
      <c r="D914" s="43"/>
    </row>
    <row r="915" spans="4:4" ht="15.75" customHeight="1">
      <c r="D915" s="43"/>
    </row>
    <row r="916" spans="4:4" ht="15.75" customHeight="1">
      <c r="D916" s="43"/>
    </row>
    <row r="917" spans="4:4" ht="15.75" customHeight="1">
      <c r="D917" s="43"/>
    </row>
    <row r="918" spans="4:4" ht="15.75" customHeight="1">
      <c r="D918" s="43"/>
    </row>
    <row r="919" spans="4:4" ht="15.75" customHeight="1">
      <c r="D919" s="43"/>
    </row>
    <row r="920" spans="4:4" ht="15.75" customHeight="1">
      <c r="D920" s="43"/>
    </row>
    <row r="921" spans="4:4" ht="15.75" customHeight="1">
      <c r="D921" s="43"/>
    </row>
    <row r="922" spans="4:4" ht="15.75" customHeight="1">
      <c r="D922" s="43"/>
    </row>
    <row r="923" spans="4:4" ht="15.75" customHeight="1">
      <c r="D923" s="43"/>
    </row>
    <row r="924" spans="4:4" ht="15.75" customHeight="1">
      <c r="D924" s="43"/>
    </row>
    <row r="925" spans="4:4" ht="15.75" customHeight="1">
      <c r="D925" s="43"/>
    </row>
    <row r="926" spans="4:4" ht="15.75" customHeight="1">
      <c r="D926" s="43"/>
    </row>
    <row r="927" spans="4:4" ht="15.75" customHeight="1">
      <c r="D927" s="43"/>
    </row>
    <row r="928" spans="4:4" ht="15.75" customHeight="1">
      <c r="D928" s="43"/>
    </row>
    <row r="929" spans="4:4" ht="15.75" customHeight="1">
      <c r="D929" s="43"/>
    </row>
    <row r="930" spans="4:4" ht="15.75" customHeight="1">
      <c r="D930" s="43"/>
    </row>
    <row r="931" spans="4:4" ht="15.75" customHeight="1">
      <c r="D931" s="43"/>
    </row>
    <row r="932" spans="4:4" ht="15.75" customHeight="1">
      <c r="D932" s="43"/>
    </row>
    <row r="933" spans="4:4" ht="15.75" customHeight="1">
      <c r="D933" s="43"/>
    </row>
    <row r="934" spans="4:4" ht="15.75" customHeight="1">
      <c r="D934" s="43"/>
    </row>
    <row r="935" spans="4:4" ht="15.75" customHeight="1">
      <c r="D935" s="43"/>
    </row>
    <row r="936" spans="4:4" ht="15.75" customHeight="1">
      <c r="D936" s="43"/>
    </row>
    <row r="937" spans="4:4" ht="15.75" customHeight="1">
      <c r="D937" s="43"/>
    </row>
    <row r="938" spans="4:4" ht="15.75" customHeight="1">
      <c r="D938" s="43"/>
    </row>
    <row r="939" spans="4:4" ht="15.75" customHeight="1">
      <c r="D939" s="43"/>
    </row>
    <row r="940" spans="4:4" ht="15.75" customHeight="1">
      <c r="D940" s="43"/>
    </row>
    <row r="941" spans="4:4" ht="15.75" customHeight="1">
      <c r="D941" s="43"/>
    </row>
    <row r="942" spans="4:4" ht="15.75" customHeight="1">
      <c r="D942" s="43"/>
    </row>
    <row r="943" spans="4:4" ht="15.75" customHeight="1">
      <c r="D943" s="43"/>
    </row>
    <row r="944" spans="4:4" ht="15.75" customHeight="1">
      <c r="D944" s="43"/>
    </row>
    <row r="945" spans="4:4" ht="15.75" customHeight="1">
      <c r="D945" s="43"/>
    </row>
    <row r="946" spans="4:4" ht="15.75" customHeight="1">
      <c r="D946" s="43"/>
    </row>
    <row r="947" spans="4:4" ht="15.75" customHeight="1">
      <c r="D947" s="43"/>
    </row>
    <row r="948" spans="4:4" ht="15.75" customHeight="1">
      <c r="D948" s="43"/>
    </row>
    <row r="949" spans="4:4" ht="15.75" customHeight="1">
      <c r="D949" s="43"/>
    </row>
    <row r="950" spans="4:4" ht="15.75" customHeight="1">
      <c r="D950" s="43"/>
    </row>
    <row r="951" spans="4:4" ht="15.75" customHeight="1">
      <c r="D951" s="43"/>
    </row>
    <row r="952" spans="4:4" ht="15.75" customHeight="1">
      <c r="D952" s="43"/>
    </row>
    <row r="953" spans="4:4" ht="15.75" customHeight="1">
      <c r="D953" s="43"/>
    </row>
    <row r="954" spans="4:4" ht="15.75" customHeight="1">
      <c r="D954" s="43"/>
    </row>
    <row r="955" spans="4:4" ht="15.75" customHeight="1">
      <c r="D955" s="43"/>
    </row>
    <row r="956" spans="4:4" ht="15.75" customHeight="1">
      <c r="D956" s="43"/>
    </row>
    <row r="957" spans="4:4" ht="15.75" customHeight="1">
      <c r="D957" s="43"/>
    </row>
    <row r="958" spans="4:4" ht="15.75" customHeight="1">
      <c r="D958" s="43"/>
    </row>
    <row r="959" spans="4:4" ht="15.75" customHeight="1">
      <c r="D959" s="43"/>
    </row>
    <row r="960" spans="4:4" ht="15.75" customHeight="1">
      <c r="D960" s="43"/>
    </row>
    <row r="961" spans="4:4" ht="15.75" customHeight="1">
      <c r="D961" s="43"/>
    </row>
    <row r="962" spans="4:4" ht="15.75" customHeight="1">
      <c r="D962" s="43"/>
    </row>
    <row r="963" spans="4:4" ht="15.75" customHeight="1">
      <c r="D963" s="43"/>
    </row>
    <row r="964" spans="4:4" ht="15.75" customHeight="1">
      <c r="D964" s="43"/>
    </row>
    <row r="965" spans="4:4" ht="15.75" customHeight="1">
      <c r="D965" s="43"/>
    </row>
    <row r="966" spans="4:4" ht="15.75" customHeight="1">
      <c r="D966" s="43"/>
    </row>
    <row r="967" spans="4:4" ht="15.75" customHeight="1">
      <c r="D967" s="43"/>
    </row>
    <row r="968" spans="4:4" ht="15.75" customHeight="1">
      <c r="D968" s="43"/>
    </row>
    <row r="969" spans="4:4" ht="15.75" customHeight="1">
      <c r="D969" s="43"/>
    </row>
    <row r="970" spans="4:4" ht="15.75" customHeight="1">
      <c r="D970" s="43"/>
    </row>
    <row r="971" spans="4:4" ht="15.75" customHeight="1">
      <c r="D971" s="43"/>
    </row>
    <row r="972" spans="4:4" ht="15.75" customHeight="1">
      <c r="D972" s="43"/>
    </row>
    <row r="973" spans="4:4" ht="15.75" customHeight="1">
      <c r="D973" s="43"/>
    </row>
    <row r="974" spans="4:4" ht="15.75" customHeight="1">
      <c r="D974" s="43"/>
    </row>
    <row r="975" spans="4:4" ht="15.75" customHeight="1">
      <c r="D975" s="43"/>
    </row>
    <row r="976" spans="4:4" ht="15.75" customHeight="1">
      <c r="D976" s="43"/>
    </row>
    <row r="977" spans="4:4" ht="16">
      <c r="D977" s="43"/>
    </row>
    <row r="978" spans="4:4" ht="16">
      <c r="D978" s="43"/>
    </row>
    <row r="979" spans="4:4" ht="16">
      <c r="D979" s="43"/>
    </row>
    <row r="980" spans="4:4" ht="16">
      <c r="D980" s="43"/>
    </row>
  </sheetData>
  <phoneticPr fontId="61" type="noConversion"/>
  <hyperlinks>
    <hyperlink ref="D8" r:id="rId1" xr:uid="{5EA06293-B63C-384B-BAEA-B787BD728146}"/>
  </hyperlinks>
  <pageMargins left="0.7" right="0.7" top="0.75" bottom="0.75" header="0" footer="0"/>
  <pageSetup orientation="landscape"/>
  <ignoredErrors>
    <ignoredError sqref="F9 F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B1B26-B0B4-6A48-B9F9-499EA15AFDED}">
  <dimension ref="A1:T72"/>
  <sheetViews>
    <sheetView zoomScaleNormal="100" workbookViewId="0">
      <pane ySplit="1" topLeftCell="A2" activePane="bottomLeft" state="frozen"/>
      <selection pane="bottomLeft" activeCell="I46" sqref="I46"/>
    </sheetView>
  </sheetViews>
  <sheetFormatPr baseColWidth="10" defaultRowHeight="16"/>
  <cols>
    <col min="1" max="1" width="9.33203125" style="1" customWidth="1"/>
    <col min="2" max="2" width="45.5" style="2" bestFit="1" customWidth="1"/>
    <col min="3" max="3" width="10.83203125" style="1" customWidth="1"/>
    <col min="4" max="6" width="10.33203125" style="1" customWidth="1"/>
    <col min="7" max="10" width="10.83203125" style="1"/>
    <col min="11" max="11" width="11.1640625" style="1" customWidth="1"/>
    <col min="12" max="12" width="13.1640625" style="1" customWidth="1"/>
    <col min="13" max="13" width="12.5" style="1" bestFit="1" customWidth="1"/>
    <col min="14" max="14" width="12" style="1" customWidth="1"/>
    <col min="15" max="15" width="11.1640625" style="1" customWidth="1"/>
    <col min="16" max="16" width="12.5" style="1" bestFit="1" customWidth="1"/>
    <col min="17" max="17" width="13" style="1" customWidth="1"/>
    <col min="18" max="16384" width="10.83203125" style="1"/>
  </cols>
  <sheetData>
    <row r="1" spans="1:17">
      <c r="B1" s="129" t="s">
        <v>671</v>
      </c>
      <c r="E1" s="170" t="s">
        <v>651</v>
      </c>
      <c r="F1" s="41" t="s">
        <v>0</v>
      </c>
      <c r="G1" s="119" t="s">
        <v>206</v>
      </c>
      <c r="H1" s="38" t="s">
        <v>7</v>
      </c>
      <c r="I1" s="181" t="s">
        <v>758</v>
      </c>
      <c r="J1" s="181" t="s">
        <v>759</v>
      </c>
    </row>
    <row r="2" spans="1:17" ht="25" customHeight="1">
      <c r="A2" s="125" t="s">
        <v>82</v>
      </c>
      <c r="B2" s="125" t="s">
        <v>196</v>
      </c>
      <c r="C2" s="127" t="s">
        <v>44</v>
      </c>
      <c r="D2" s="25" t="s">
        <v>8</v>
      </c>
      <c r="E2" s="165" t="s">
        <v>619</v>
      </c>
      <c r="F2" s="98" t="s">
        <v>10</v>
      </c>
      <c r="G2" s="110" t="s">
        <v>13</v>
      </c>
      <c r="H2" s="110" t="s">
        <v>14</v>
      </c>
      <c r="I2" s="98" t="s">
        <v>15</v>
      </c>
      <c r="J2" s="98" t="s">
        <v>807</v>
      </c>
      <c r="K2" s="31" t="s">
        <v>16</v>
      </c>
      <c r="L2" s="39" t="s">
        <v>18</v>
      </c>
    </row>
    <row r="3" spans="1:17">
      <c r="A3" s="141"/>
      <c r="B3" s="185" t="s">
        <v>1098</v>
      </c>
      <c r="C3" s="181">
        <v>2</v>
      </c>
      <c r="D3" s="181">
        <f t="shared" ref="D3:D25" si="0">C3*9</f>
        <v>18</v>
      </c>
      <c r="E3" s="1">
        <f>D3*5</f>
        <v>90</v>
      </c>
      <c r="F3" s="33"/>
      <c r="G3" s="33"/>
      <c r="H3" s="33">
        <f>D3*15</f>
        <v>270</v>
      </c>
      <c r="I3" s="33"/>
      <c r="J3" s="33"/>
      <c r="L3" s="33">
        <f>D3*35</f>
        <v>630</v>
      </c>
      <c r="Q3" s="33"/>
    </row>
    <row r="4" spans="1:17">
      <c r="A4" s="141"/>
      <c r="B4" s="185" t="s">
        <v>1099</v>
      </c>
      <c r="C4" s="181">
        <v>0.3</v>
      </c>
      <c r="D4" s="181">
        <f t="shared" si="0"/>
        <v>2.6999999999999997</v>
      </c>
      <c r="E4" s="1">
        <f t="shared" ref="E4:E25" si="1">D4*5</f>
        <v>13.499999999999998</v>
      </c>
      <c r="G4" s="33"/>
      <c r="H4" s="33"/>
      <c r="I4" s="33">
        <f>D4*15</f>
        <v>40.499999999999993</v>
      </c>
      <c r="J4" s="33"/>
      <c r="L4" s="33">
        <f t="shared" ref="L4:L25" si="2">D4*35</f>
        <v>94.499999999999986</v>
      </c>
      <c r="Q4" s="33"/>
    </row>
    <row r="5" spans="1:17">
      <c r="A5" s="141"/>
      <c r="B5" s="185" t="s">
        <v>1100</v>
      </c>
      <c r="C5" s="181">
        <v>0.3</v>
      </c>
      <c r="D5" s="181">
        <f t="shared" si="0"/>
        <v>2.6999999999999997</v>
      </c>
      <c r="E5" s="1">
        <f t="shared" si="1"/>
        <v>13.499999999999998</v>
      </c>
      <c r="F5" s="33"/>
      <c r="G5" s="33"/>
      <c r="H5" s="33"/>
      <c r="I5" s="33">
        <f>D5*15</f>
        <v>40.499999999999993</v>
      </c>
      <c r="J5" s="33"/>
      <c r="L5" s="33">
        <f t="shared" si="2"/>
        <v>94.499999999999986</v>
      </c>
      <c r="Q5" s="33"/>
    </row>
    <row r="6" spans="1:17">
      <c r="A6" s="141"/>
      <c r="B6" s="185" t="s">
        <v>1101</v>
      </c>
      <c r="C6" s="181">
        <v>0.5</v>
      </c>
      <c r="D6" s="181">
        <f t="shared" si="0"/>
        <v>4.5</v>
      </c>
      <c r="E6" s="1">
        <f t="shared" si="1"/>
        <v>22.5</v>
      </c>
      <c r="F6" s="33"/>
      <c r="G6" s="33"/>
      <c r="H6" s="33">
        <f>D6*15</f>
        <v>67.5</v>
      </c>
      <c r="I6" s="33"/>
      <c r="J6" s="33"/>
      <c r="L6" s="33">
        <f t="shared" si="2"/>
        <v>157.5</v>
      </c>
      <c r="Q6" s="33"/>
    </row>
    <row r="7" spans="1:17">
      <c r="A7" s="141"/>
      <c r="B7" s="185" t="s">
        <v>1102</v>
      </c>
      <c r="C7" s="181">
        <v>0.5</v>
      </c>
      <c r="D7" s="181">
        <f t="shared" si="0"/>
        <v>4.5</v>
      </c>
      <c r="E7" s="1">
        <f t="shared" si="1"/>
        <v>22.5</v>
      </c>
      <c r="F7" s="33"/>
      <c r="G7" s="33"/>
      <c r="H7" s="33">
        <f>D7*15</f>
        <v>67.5</v>
      </c>
      <c r="I7" s="33"/>
      <c r="J7" s="33"/>
      <c r="L7" s="33">
        <f t="shared" si="2"/>
        <v>157.5</v>
      </c>
      <c r="Q7" s="33"/>
    </row>
    <row r="8" spans="1:17">
      <c r="A8" s="141"/>
      <c r="B8" s="185" t="s">
        <v>1103</v>
      </c>
      <c r="C8" s="181">
        <v>0.3</v>
      </c>
      <c r="D8" s="181">
        <f t="shared" si="0"/>
        <v>2.6999999999999997</v>
      </c>
      <c r="E8" s="1">
        <f t="shared" si="1"/>
        <v>13.499999999999998</v>
      </c>
      <c r="F8" s="33">
        <f>D8*15</f>
        <v>40.499999999999993</v>
      </c>
      <c r="G8" s="33"/>
      <c r="H8" s="33"/>
      <c r="I8" s="33"/>
      <c r="J8" s="33"/>
      <c r="L8" s="33">
        <f t="shared" si="2"/>
        <v>94.499999999999986</v>
      </c>
      <c r="Q8" s="33"/>
    </row>
    <row r="9" spans="1:17">
      <c r="A9" s="141"/>
      <c r="B9" s="185" t="s">
        <v>1104</v>
      </c>
      <c r="C9" s="181">
        <v>0.3</v>
      </c>
      <c r="D9" s="181">
        <f t="shared" si="0"/>
        <v>2.6999999999999997</v>
      </c>
      <c r="E9" s="1">
        <f t="shared" si="1"/>
        <v>13.499999999999998</v>
      </c>
      <c r="F9" s="33">
        <f t="shared" ref="F9:F11" si="3">D9*15</f>
        <v>40.499999999999993</v>
      </c>
      <c r="G9" s="33"/>
      <c r="H9" s="33"/>
      <c r="I9" s="33"/>
      <c r="J9" s="33"/>
      <c r="L9" s="33">
        <f t="shared" si="2"/>
        <v>94.499999999999986</v>
      </c>
      <c r="Q9" s="33"/>
    </row>
    <row r="10" spans="1:17">
      <c r="A10" s="141"/>
      <c r="B10" s="185" t="s">
        <v>1105</v>
      </c>
      <c r="C10" s="181">
        <v>0.3</v>
      </c>
      <c r="D10" s="181">
        <f t="shared" si="0"/>
        <v>2.6999999999999997</v>
      </c>
      <c r="E10" s="1">
        <f t="shared" si="1"/>
        <v>13.499999999999998</v>
      </c>
      <c r="F10" s="33">
        <f t="shared" si="3"/>
        <v>40.499999999999993</v>
      </c>
      <c r="G10" s="33"/>
      <c r="H10" s="33"/>
      <c r="I10" s="33"/>
      <c r="J10" s="33"/>
      <c r="L10" s="33">
        <f t="shared" si="2"/>
        <v>94.499999999999986</v>
      </c>
      <c r="Q10" s="33"/>
    </row>
    <row r="11" spans="1:17">
      <c r="A11" s="141"/>
      <c r="B11" s="185" t="s">
        <v>1106</v>
      </c>
      <c r="C11" s="181">
        <v>0.3</v>
      </c>
      <c r="D11" s="181">
        <f t="shared" si="0"/>
        <v>2.6999999999999997</v>
      </c>
      <c r="E11" s="1">
        <f t="shared" si="1"/>
        <v>13.499999999999998</v>
      </c>
      <c r="F11" s="33">
        <f t="shared" si="3"/>
        <v>40.499999999999993</v>
      </c>
      <c r="G11" s="33"/>
      <c r="H11" s="33"/>
      <c r="I11" s="33"/>
      <c r="J11" s="33"/>
      <c r="L11" s="33">
        <f t="shared" si="2"/>
        <v>94.499999999999986</v>
      </c>
      <c r="Q11" s="33"/>
    </row>
    <row r="12" spans="1:17">
      <c r="A12" s="141"/>
      <c r="B12" s="185" t="s">
        <v>1107</v>
      </c>
      <c r="C12" s="181">
        <v>0.3</v>
      </c>
      <c r="D12" s="181">
        <f t="shared" si="0"/>
        <v>2.6999999999999997</v>
      </c>
      <c r="E12" s="1">
        <f t="shared" si="1"/>
        <v>13.499999999999998</v>
      </c>
      <c r="F12" s="33"/>
      <c r="G12" s="33"/>
      <c r="H12" s="33">
        <f>D12*15</f>
        <v>40.499999999999993</v>
      </c>
      <c r="I12" s="33"/>
      <c r="J12" s="33"/>
      <c r="L12" s="33">
        <f t="shared" si="2"/>
        <v>94.499999999999986</v>
      </c>
      <c r="Q12" s="33"/>
    </row>
    <row r="13" spans="1:17">
      <c r="A13" s="141"/>
      <c r="B13" s="185" t="s">
        <v>1108</v>
      </c>
      <c r="C13" s="181">
        <v>0.3</v>
      </c>
      <c r="D13" s="181">
        <f t="shared" si="0"/>
        <v>2.6999999999999997</v>
      </c>
      <c r="E13" s="1">
        <f t="shared" si="1"/>
        <v>13.499999999999998</v>
      </c>
      <c r="F13" s="33"/>
      <c r="G13" s="33"/>
      <c r="H13" s="33">
        <f>D13*15</f>
        <v>40.499999999999993</v>
      </c>
      <c r="I13" s="33"/>
      <c r="J13" s="33"/>
      <c r="L13" s="33">
        <f t="shared" si="2"/>
        <v>94.499999999999986</v>
      </c>
      <c r="Q13" s="33"/>
    </row>
    <row r="14" spans="1:17">
      <c r="A14" s="141"/>
      <c r="B14" s="185" t="s">
        <v>1109</v>
      </c>
      <c r="C14" s="181">
        <v>0.3</v>
      </c>
      <c r="D14" s="181">
        <f t="shared" si="0"/>
        <v>2.6999999999999997</v>
      </c>
      <c r="E14" s="1">
        <f t="shared" si="1"/>
        <v>13.499999999999998</v>
      </c>
      <c r="F14" s="33"/>
      <c r="G14" s="33"/>
      <c r="H14" s="33">
        <f>D14*15</f>
        <v>40.499999999999993</v>
      </c>
      <c r="I14" s="33"/>
      <c r="J14" s="33"/>
      <c r="L14" s="33">
        <f t="shared" si="2"/>
        <v>94.499999999999986</v>
      </c>
      <c r="Q14" s="33"/>
    </row>
    <row r="15" spans="1:17">
      <c r="A15" s="141"/>
      <c r="B15" s="185" t="s">
        <v>1110</v>
      </c>
      <c r="C15" s="181">
        <v>0.3</v>
      </c>
      <c r="D15" s="181">
        <f t="shared" si="0"/>
        <v>2.6999999999999997</v>
      </c>
      <c r="E15" s="1">
        <f t="shared" si="1"/>
        <v>13.499999999999998</v>
      </c>
      <c r="F15" s="33"/>
      <c r="G15" s="33"/>
      <c r="H15" s="33">
        <f>D15*15</f>
        <v>40.499999999999993</v>
      </c>
      <c r="I15" s="33"/>
      <c r="J15" s="33"/>
      <c r="L15" s="33">
        <f t="shared" si="2"/>
        <v>94.499999999999986</v>
      </c>
      <c r="Q15" s="33"/>
    </row>
    <row r="16" spans="1:17">
      <c r="A16" s="141"/>
      <c r="B16" s="185" t="s">
        <v>1111</v>
      </c>
      <c r="C16" s="181">
        <v>0.3</v>
      </c>
      <c r="D16" s="181">
        <f t="shared" si="0"/>
        <v>2.6999999999999997</v>
      </c>
      <c r="E16" s="1">
        <f t="shared" si="1"/>
        <v>13.499999999999998</v>
      </c>
      <c r="F16" s="33"/>
      <c r="G16" s="33"/>
      <c r="H16" s="33">
        <f>D16*15</f>
        <v>40.499999999999993</v>
      </c>
      <c r="I16" s="33"/>
      <c r="J16" s="33"/>
      <c r="L16" s="33">
        <f t="shared" si="2"/>
        <v>94.499999999999986</v>
      </c>
      <c r="Q16" s="33"/>
    </row>
    <row r="17" spans="1:17">
      <c r="A17" s="141"/>
      <c r="B17" s="185" t="s">
        <v>1112</v>
      </c>
      <c r="C17" s="181">
        <v>0.3</v>
      </c>
      <c r="D17" s="181">
        <f t="shared" si="0"/>
        <v>2.6999999999999997</v>
      </c>
      <c r="E17" s="1">
        <f t="shared" si="1"/>
        <v>13.499999999999998</v>
      </c>
      <c r="F17" s="33"/>
      <c r="G17" s="33">
        <f>D17*15</f>
        <v>40.499999999999993</v>
      </c>
      <c r="H17" s="33"/>
      <c r="I17" s="33"/>
      <c r="J17" s="33"/>
      <c r="L17" s="33">
        <f t="shared" si="2"/>
        <v>94.499999999999986</v>
      </c>
      <c r="Q17" s="33"/>
    </row>
    <row r="18" spans="1:17">
      <c r="A18" s="141"/>
      <c r="B18" s="185" t="s">
        <v>1113</v>
      </c>
      <c r="C18" s="181">
        <v>0.2</v>
      </c>
      <c r="D18" s="181">
        <f t="shared" si="0"/>
        <v>1.8</v>
      </c>
      <c r="E18" s="1">
        <f t="shared" si="1"/>
        <v>9</v>
      </c>
      <c r="F18" s="33"/>
      <c r="G18" s="33"/>
      <c r="H18" s="33"/>
      <c r="I18" s="33"/>
      <c r="J18" s="33">
        <f>D18*15</f>
        <v>27</v>
      </c>
      <c r="L18" s="33">
        <f t="shared" si="2"/>
        <v>63</v>
      </c>
      <c r="Q18" s="33"/>
    </row>
    <row r="19" spans="1:17">
      <c r="A19" s="141"/>
      <c r="B19" s="185" t="s">
        <v>1114</v>
      </c>
      <c r="C19" s="181">
        <v>0.2</v>
      </c>
      <c r="D19" s="181">
        <f t="shared" si="0"/>
        <v>1.8</v>
      </c>
      <c r="E19" s="1">
        <f t="shared" si="1"/>
        <v>9</v>
      </c>
      <c r="F19" s="33"/>
      <c r="G19" s="33"/>
      <c r="H19" s="33"/>
      <c r="I19" s="33"/>
      <c r="J19" s="33">
        <f>D19*15</f>
        <v>27</v>
      </c>
      <c r="L19" s="33">
        <f t="shared" si="2"/>
        <v>63</v>
      </c>
      <c r="Q19" s="33"/>
    </row>
    <row r="20" spans="1:17">
      <c r="A20" s="141"/>
      <c r="B20" s="188" t="s">
        <v>1115</v>
      </c>
      <c r="C20" s="181">
        <v>0.5</v>
      </c>
      <c r="D20" s="181">
        <f t="shared" si="0"/>
        <v>4.5</v>
      </c>
      <c r="E20" s="1">
        <f t="shared" si="1"/>
        <v>22.5</v>
      </c>
      <c r="F20" s="33">
        <f>D20*15</f>
        <v>67.5</v>
      </c>
      <c r="G20" s="33"/>
      <c r="H20" s="33"/>
      <c r="I20" s="33"/>
      <c r="J20" s="33"/>
      <c r="L20" s="33">
        <f t="shared" si="2"/>
        <v>157.5</v>
      </c>
      <c r="Q20" s="33"/>
    </row>
    <row r="21" spans="1:17">
      <c r="A21" s="141"/>
      <c r="B21" s="188" t="s">
        <v>1116</v>
      </c>
      <c r="C21" s="181">
        <v>0.5</v>
      </c>
      <c r="D21" s="181">
        <f t="shared" si="0"/>
        <v>4.5</v>
      </c>
      <c r="E21" s="1">
        <f t="shared" si="1"/>
        <v>22.5</v>
      </c>
      <c r="F21" s="33"/>
      <c r="G21" s="33"/>
      <c r="H21" s="33"/>
      <c r="I21" s="33"/>
      <c r="J21" s="33">
        <f>D21*15</f>
        <v>67.5</v>
      </c>
      <c r="L21" s="33">
        <f t="shared" si="2"/>
        <v>157.5</v>
      </c>
      <c r="Q21" s="33"/>
    </row>
    <row r="22" spans="1:17">
      <c r="A22" s="141"/>
      <c r="B22" s="188" t="s">
        <v>1117</v>
      </c>
      <c r="C22" s="181">
        <v>0.5</v>
      </c>
      <c r="D22" s="181">
        <f t="shared" si="0"/>
        <v>4.5</v>
      </c>
      <c r="E22" s="1">
        <f t="shared" si="1"/>
        <v>22.5</v>
      </c>
      <c r="F22" s="33">
        <f>D22*15</f>
        <v>67.5</v>
      </c>
      <c r="G22" s="33"/>
      <c r="H22" s="33"/>
      <c r="I22" s="33"/>
      <c r="J22" s="33"/>
      <c r="L22" s="33">
        <f t="shared" si="2"/>
        <v>157.5</v>
      </c>
      <c r="Q22" s="33"/>
    </row>
    <row r="23" spans="1:17">
      <c r="A23" s="141"/>
      <c r="B23" s="188" t="s">
        <v>1118</v>
      </c>
      <c r="C23" s="181">
        <v>0.3</v>
      </c>
      <c r="D23" s="181">
        <f t="shared" si="0"/>
        <v>2.6999999999999997</v>
      </c>
      <c r="E23" s="1">
        <f t="shared" si="1"/>
        <v>13.499999999999998</v>
      </c>
      <c r="F23" s="33"/>
      <c r="G23" s="33">
        <f>D23*15</f>
        <v>40.499999999999993</v>
      </c>
      <c r="H23" s="33"/>
      <c r="I23" s="33"/>
      <c r="J23" s="33"/>
      <c r="L23" s="33">
        <f t="shared" si="2"/>
        <v>94.499999999999986</v>
      </c>
      <c r="Q23" s="33"/>
    </row>
    <row r="24" spans="1:17">
      <c r="A24" s="141"/>
      <c r="B24" s="188" t="s">
        <v>1119</v>
      </c>
      <c r="C24" s="181">
        <v>0.3</v>
      </c>
      <c r="D24" s="181">
        <f t="shared" si="0"/>
        <v>2.6999999999999997</v>
      </c>
      <c r="E24" s="1">
        <f t="shared" si="1"/>
        <v>13.499999999999998</v>
      </c>
      <c r="F24" s="33"/>
      <c r="G24" s="33">
        <f t="shared" ref="G24:G25" si="4">D24*15</f>
        <v>40.499999999999993</v>
      </c>
      <c r="H24" s="33"/>
      <c r="I24" s="33"/>
      <c r="J24" s="33"/>
      <c r="L24" s="33">
        <f t="shared" si="2"/>
        <v>94.499999999999986</v>
      </c>
      <c r="Q24" s="33"/>
    </row>
    <row r="25" spans="1:17">
      <c r="A25" s="141"/>
      <c r="B25" s="188" t="s">
        <v>1120</v>
      </c>
      <c r="C25" s="181">
        <v>0.3</v>
      </c>
      <c r="D25" s="181">
        <f t="shared" si="0"/>
        <v>2.6999999999999997</v>
      </c>
      <c r="E25" s="1">
        <f t="shared" si="1"/>
        <v>13.499999999999998</v>
      </c>
      <c r="F25" s="33"/>
      <c r="G25" s="33">
        <f t="shared" si="4"/>
        <v>40.499999999999993</v>
      </c>
      <c r="H25" s="33"/>
      <c r="I25" s="33"/>
      <c r="J25" s="33"/>
      <c r="L25" s="33">
        <f t="shared" si="2"/>
        <v>94.499999999999986</v>
      </c>
      <c r="Q25" s="33"/>
    </row>
    <row r="26" spans="1:17" ht="25" customHeight="1">
      <c r="A26" s="125" t="s">
        <v>81</v>
      </c>
      <c r="B26" s="125" t="s">
        <v>196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spans="1:17">
      <c r="A27" s="141"/>
      <c r="B27" s="189" t="s">
        <v>1121</v>
      </c>
      <c r="C27" s="181">
        <v>0.3</v>
      </c>
      <c r="D27" s="181">
        <f t="shared" ref="D27:D44" si="5">C27*9</f>
        <v>2.6999999999999997</v>
      </c>
      <c r="E27" s="1">
        <f>D27*5</f>
        <v>13.499999999999998</v>
      </c>
      <c r="F27" s="33"/>
      <c r="G27" s="33"/>
      <c r="H27" s="33"/>
      <c r="I27" s="33">
        <f>D27*15</f>
        <v>40.499999999999993</v>
      </c>
      <c r="J27" s="33"/>
      <c r="L27" s="33">
        <f t="shared" ref="L27:L44" si="6">D27*35</f>
        <v>94.499999999999986</v>
      </c>
    </row>
    <row r="28" spans="1:17">
      <c r="A28" s="141"/>
      <c r="B28" s="189" t="s">
        <v>1122</v>
      </c>
      <c r="C28" s="181">
        <v>0.3</v>
      </c>
      <c r="D28" s="181">
        <f t="shared" si="5"/>
        <v>2.6999999999999997</v>
      </c>
      <c r="E28" s="1">
        <f t="shared" ref="E28:E44" si="7">D28*5</f>
        <v>13.499999999999998</v>
      </c>
      <c r="F28" s="33"/>
      <c r="G28" s="33"/>
      <c r="H28" s="33"/>
      <c r="I28" s="33">
        <f>D28*15</f>
        <v>40.499999999999993</v>
      </c>
      <c r="J28" s="33"/>
      <c r="L28" s="33">
        <f t="shared" si="6"/>
        <v>94.499999999999986</v>
      </c>
    </row>
    <row r="29" spans="1:17">
      <c r="A29" s="141"/>
      <c r="B29" s="189" t="s">
        <v>1123</v>
      </c>
      <c r="C29" s="181">
        <v>0.7</v>
      </c>
      <c r="D29" s="181">
        <f t="shared" si="5"/>
        <v>6.3</v>
      </c>
      <c r="E29" s="1">
        <f t="shared" si="7"/>
        <v>31.5</v>
      </c>
      <c r="F29" s="33"/>
      <c r="G29" s="33"/>
      <c r="H29" s="33"/>
      <c r="I29" s="33"/>
      <c r="J29" s="33">
        <f>D29*15</f>
        <v>94.5</v>
      </c>
      <c r="L29" s="33">
        <f t="shared" si="6"/>
        <v>220.5</v>
      </c>
    </row>
    <row r="30" spans="1:17">
      <c r="A30" s="141"/>
      <c r="B30" s="189" t="s">
        <v>1124</v>
      </c>
      <c r="C30" s="181">
        <v>0.3</v>
      </c>
      <c r="D30" s="181">
        <f t="shared" si="5"/>
        <v>2.6999999999999997</v>
      </c>
      <c r="E30" s="1">
        <f t="shared" si="7"/>
        <v>13.499999999999998</v>
      </c>
      <c r="F30" s="33"/>
      <c r="G30" s="33">
        <f>D30*15</f>
        <v>40.499999999999993</v>
      </c>
      <c r="H30" s="33"/>
      <c r="I30" s="33"/>
      <c r="J30" s="33"/>
      <c r="L30" s="33">
        <f t="shared" si="6"/>
        <v>94.499999999999986</v>
      </c>
    </row>
    <row r="31" spans="1:17">
      <c r="A31" s="141"/>
      <c r="B31" s="189" t="s">
        <v>1125</v>
      </c>
      <c r="C31" s="181">
        <v>0.3</v>
      </c>
      <c r="D31" s="181">
        <f t="shared" si="5"/>
        <v>2.6999999999999997</v>
      </c>
      <c r="E31" s="1">
        <f t="shared" si="7"/>
        <v>13.499999999999998</v>
      </c>
      <c r="F31" s="33"/>
      <c r="G31" s="33">
        <f>D31*15</f>
        <v>40.499999999999993</v>
      </c>
      <c r="H31" s="33"/>
      <c r="I31" s="33"/>
      <c r="J31" s="33"/>
      <c r="L31" s="33">
        <f t="shared" si="6"/>
        <v>94.499999999999986</v>
      </c>
    </row>
    <row r="32" spans="1:17">
      <c r="A32" s="141"/>
      <c r="B32" s="189" t="s">
        <v>1126</v>
      </c>
      <c r="C32" s="181">
        <v>0.3</v>
      </c>
      <c r="D32" s="181">
        <f t="shared" si="5"/>
        <v>2.6999999999999997</v>
      </c>
      <c r="E32" s="1">
        <f t="shared" si="7"/>
        <v>13.499999999999998</v>
      </c>
      <c r="F32" s="33"/>
      <c r="G32" s="33"/>
      <c r="H32" s="33"/>
      <c r="I32" s="33"/>
      <c r="J32" s="33">
        <f>D32*15</f>
        <v>40.499999999999993</v>
      </c>
      <c r="L32" s="33">
        <f t="shared" si="6"/>
        <v>94.499999999999986</v>
      </c>
    </row>
    <row r="33" spans="1:20">
      <c r="A33" s="141"/>
      <c r="B33" s="189" t="s">
        <v>1127</v>
      </c>
      <c r="C33" s="181">
        <v>0.3</v>
      </c>
      <c r="D33" s="181">
        <f t="shared" si="5"/>
        <v>2.6999999999999997</v>
      </c>
      <c r="E33" s="1">
        <f t="shared" si="7"/>
        <v>13.499999999999998</v>
      </c>
      <c r="F33" s="33"/>
      <c r="G33" s="33"/>
      <c r="H33" s="33">
        <f>D33*15</f>
        <v>40.499999999999993</v>
      </c>
      <c r="I33" s="33"/>
      <c r="J33" s="33"/>
      <c r="L33" s="33">
        <f t="shared" si="6"/>
        <v>94.499999999999986</v>
      </c>
    </row>
    <row r="34" spans="1:20">
      <c r="A34" s="141"/>
      <c r="B34" s="189" t="s">
        <v>1128</v>
      </c>
      <c r="C34" s="181">
        <v>0.3</v>
      </c>
      <c r="D34" s="181">
        <f t="shared" si="5"/>
        <v>2.6999999999999997</v>
      </c>
      <c r="E34" s="1">
        <f t="shared" si="7"/>
        <v>13.499999999999998</v>
      </c>
      <c r="F34" s="33"/>
      <c r="G34" s="33"/>
      <c r="H34" s="33">
        <f>D34*15</f>
        <v>40.499999999999993</v>
      </c>
      <c r="I34" s="33"/>
      <c r="J34" s="33"/>
      <c r="L34" s="33">
        <f t="shared" si="6"/>
        <v>94.499999999999986</v>
      </c>
    </row>
    <row r="35" spans="1:20">
      <c r="A35" s="141"/>
      <c r="B35" s="189" t="s">
        <v>1129</v>
      </c>
      <c r="C35" s="181">
        <v>0.3</v>
      </c>
      <c r="D35" s="181">
        <f t="shared" si="5"/>
        <v>2.6999999999999997</v>
      </c>
      <c r="E35" s="1">
        <f t="shared" si="7"/>
        <v>13.499999999999998</v>
      </c>
      <c r="F35" s="33"/>
      <c r="G35" s="33">
        <f>D35*15</f>
        <v>40.499999999999993</v>
      </c>
      <c r="H35" s="33"/>
      <c r="I35" s="33"/>
      <c r="J35" s="33"/>
      <c r="L35" s="33">
        <f t="shared" si="6"/>
        <v>94.499999999999986</v>
      </c>
    </row>
    <row r="36" spans="1:20">
      <c r="A36" s="141"/>
      <c r="B36" s="189" t="s">
        <v>1130</v>
      </c>
      <c r="C36" s="181">
        <v>0.3</v>
      </c>
      <c r="D36" s="181">
        <f t="shared" si="5"/>
        <v>2.6999999999999997</v>
      </c>
      <c r="E36" s="1">
        <f t="shared" si="7"/>
        <v>13.499999999999998</v>
      </c>
      <c r="F36" s="33"/>
      <c r="G36" s="33"/>
      <c r="H36" s="33"/>
      <c r="I36" s="135">
        <f t="shared" ref="I36:I38" si="8">D36*15</f>
        <v>40.499999999999993</v>
      </c>
      <c r="J36" s="33"/>
      <c r="L36" s="33">
        <f t="shared" si="6"/>
        <v>94.499999999999986</v>
      </c>
    </row>
    <row r="37" spans="1:20">
      <c r="A37" s="141"/>
      <c r="B37" s="189" t="s">
        <v>1131</v>
      </c>
      <c r="C37" s="181">
        <v>0.3</v>
      </c>
      <c r="D37" s="181">
        <f t="shared" si="5"/>
        <v>2.6999999999999997</v>
      </c>
      <c r="E37" s="1">
        <f t="shared" si="7"/>
        <v>13.499999999999998</v>
      </c>
      <c r="F37" s="33"/>
      <c r="G37" s="33"/>
      <c r="H37" s="33"/>
      <c r="I37" s="135">
        <f t="shared" si="8"/>
        <v>40.499999999999993</v>
      </c>
      <c r="J37" s="33"/>
      <c r="L37" s="33">
        <f t="shared" si="6"/>
        <v>94.499999999999986</v>
      </c>
    </row>
    <row r="38" spans="1:20">
      <c r="A38" s="141"/>
      <c r="B38" s="189" t="s">
        <v>1132</v>
      </c>
      <c r="C38" s="181">
        <v>0.3</v>
      </c>
      <c r="D38" s="181">
        <f t="shared" si="5"/>
        <v>2.6999999999999997</v>
      </c>
      <c r="E38" s="1">
        <f t="shared" si="7"/>
        <v>13.499999999999998</v>
      </c>
      <c r="F38" s="33"/>
      <c r="G38" s="33"/>
      <c r="H38" s="33"/>
      <c r="I38" s="135">
        <f t="shared" si="8"/>
        <v>40.499999999999993</v>
      </c>
      <c r="J38" s="33"/>
      <c r="L38" s="33">
        <f t="shared" si="6"/>
        <v>94.499999999999986</v>
      </c>
    </row>
    <row r="39" spans="1:20">
      <c r="A39" s="141"/>
      <c r="B39" s="189" t="s">
        <v>1133</v>
      </c>
      <c r="C39" s="181">
        <v>0.3</v>
      </c>
      <c r="D39" s="181">
        <f t="shared" si="5"/>
        <v>2.6999999999999997</v>
      </c>
      <c r="E39" s="1">
        <f t="shared" si="7"/>
        <v>13.499999999999998</v>
      </c>
      <c r="F39" s="33"/>
      <c r="G39" s="33"/>
      <c r="H39" s="33"/>
      <c r="I39" s="135">
        <f>D39*15</f>
        <v>40.499999999999993</v>
      </c>
      <c r="J39" s="33"/>
      <c r="L39" s="33">
        <f t="shared" si="6"/>
        <v>94.499999999999986</v>
      </c>
    </row>
    <row r="40" spans="1:20">
      <c r="A40" s="141"/>
      <c r="B40" s="189" t="s">
        <v>1134</v>
      </c>
      <c r="C40" s="181">
        <v>0.3</v>
      </c>
      <c r="D40" s="181">
        <f t="shared" si="5"/>
        <v>2.6999999999999997</v>
      </c>
      <c r="E40" s="1">
        <f t="shared" si="7"/>
        <v>13.499999999999998</v>
      </c>
      <c r="F40" s="33"/>
      <c r="G40" s="33">
        <f>D40*15</f>
        <v>40.499999999999993</v>
      </c>
      <c r="H40" s="33"/>
      <c r="I40" s="135"/>
      <c r="J40" s="33"/>
      <c r="L40" s="33">
        <f t="shared" si="6"/>
        <v>94.499999999999986</v>
      </c>
    </row>
    <row r="41" spans="1:20">
      <c r="A41" s="141"/>
      <c r="B41" s="189" t="s">
        <v>1135</v>
      </c>
      <c r="C41" s="181">
        <v>0.1</v>
      </c>
      <c r="D41" s="181">
        <f t="shared" si="5"/>
        <v>0.9</v>
      </c>
      <c r="E41" s="1">
        <f t="shared" si="7"/>
        <v>4.5</v>
      </c>
      <c r="F41" s="33"/>
      <c r="G41" s="33"/>
      <c r="H41" s="33"/>
      <c r="I41" s="33"/>
      <c r="J41" s="33">
        <f>D41*15</f>
        <v>13.5</v>
      </c>
      <c r="L41" s="33">
        <f t="shared" si="6"/>
        <v>31.5</v>
      </c>
    </row>
    <row r="42" spans="1:20">
      <c r="A42" s="141"/>
      <c r="B42" s="189" t="s">
        <v>1136</v>
      </c>
      <c r="C42" s="181">
        <v>0.1</v>
      </c>
      <c r="D42" s="181">
        <f t="shared" si="5"/>
        <v>0.9</v>
      </c>
      <c r="E42" s="1">
        <f t="shared" si="7"/>
        <v>4.5</v>
      </c>
      <c r="F42" s="33"/>
      <c r="G42" s="33"/>
      <c r="H42" s="33"/>
      <c r="I42" s="33"/>
      <c r="J42" s="33">
        <f>D42*15</f>
        <v>13.5</v>
      </c>
      <c r="L42" s="33">
        <f t="shared" si="6"/>
        <v>31.5</v>
      </c>
    </row>
    <row r="43" spans="1:20">
      <c r="A43" s="141"/>
      <c r="B43" s="189" t="s">
        <v>1137</v>
      </c>
      <c r="C43" s="181">
        <v>0.1</v>
      </c>
      <c r="D43" s="181">
        <f t="shared" si="5"/>
        <v>0.9</v>
      </c>
      <c r="E43" s="1">
        <f t="shared" si="7"/>
        <v>4.5</v>
      </c>
      <c r="F43" s="33"/>
      <c r="G43" s="33"/>
      <c r="H43" s="33"/>
      <c r="I43" s="33"/>
      <c r="J43" s="33">
        <f>D43*15</f>
        <v>13.5</v>
      </c>
      <c r="L43" s="33">
        <f t="shared" si="6"/>
        <v>31.5</v>
      </c>
    </row>
    <row r="44" spans="1:20">
      <c r="A44" s="141"/>
      <c r="B44" s="189" t="s">
        <v>1138</v>
      </c>
      <c r="C44" s="181">
        <v>0.1</v>
      </c>
      <c r="D44" s="181">
        <f t="shared" si="5"/>
        <v>0.9</v>
      </c>
      <c r="E44" s="1">
        <f t="shared" si="7"/>
        <v>4.5</v>
      </c>
      <c r="F44" s="33"/>
      <c r="G44" s="33"/>
      <c r="H44" s="33"/>
      <c r="I44" s="33"/>
      <c r="J44" s="33">
        <f>D44*15</f>
        <v>13.5</v>
      </c>
      <c r="L44" s="33">
        <f t="shared" si="6"/>
        <v>31.5</v>
      </c>
    </row>
    <row r="45" spans="1:20">
      <c r="A45" s="118" t="s">
        <v>199</v>
      </c>
      <c r="B45" s="57"/>
      <c r="C45" s="11">
        <f t="shared" ref="C45:J45" si="9">SUM(C3:C44)</f>
        <v>14.400000000000007</v>
      </c>
      <c r="D45" s="11">
        <f t="shared" si="9"/>
        <v>129.60000000000008</v>
      </c>
      <c r="E45" s="59">
        <f t="shared" si="9"/>
        <v>648</v>
      </c>
      <c r="F45" s="59">
        <f t="shared" si="9"/>
        <v>297</v>
      </c>
      <c r="G45" s="59">
        <f t="shared" si="9"/>
        <v>323.99999999999994</v>
      </c>
      <c r="H45" s="59">
        <f t="shared" si="9"/>
        <v>688.5</v>
      </c>
      <c r="I45" s="59">
        <f t="shared" si="9"/>
        <v>323.99999999999994</v>
      </c>
      <c r="J45" s="59">
        <f t="shared" si="9"/>
        <v>310.5</v>
      </c>
      <c r="K45" s="59">
        <f>SUM(E45:J45)</f>
        <v>2592</v>
      </c>
      <c r="L45" s="60">
        <f>SUM(L3:L44)</f>
        <v>4536</v>
      </c>
      <c r="M45" s="39"/>
      <c r="N45" s="29" t="s">
        <v>2</v>
      </c>
      <c r="O45" s="16" t="s">
        <v>1</v>
      </c>
    </row>
    <row r="46" spans="1:20">
      <c r="E46" s="164">
        <f>E45*44.46</f>
        <v>28810.080000000002</v>
      </c>
      <c r="F46" s="164">
        <f t="shared" ref="F46:L46" si="10">F45*44.46</f>
        <v>13204.62</v>
      </c>
      <c r="G46" s="164">
        <f t="shared" si="10"/>
        <v>14405.039999999997</v>
      </c>
      <c r="H46" s="164">
        <f t="shared" si="10"/>
        <v>30610.71</v>
      </c>
      <c r="I46" s="164">
        <f t="shared" si="10"/>
        <v>14405.039999999997</v>
      </c>
      <c r="J46" s="164">
        <f t="shared" si="10"/>
        <v>13804.83</v>
      </c>
      <c r="K46" s="7">
        <f t="shared" si="10"/>
        <v>115240.32000000001</v>
      </c>
      <c r="L46" s="7">
        <f t="shared" si="10"/>
        <v>201670.56</v>
      </c>
      <c r="M46" s="5" t="s">
        <v>4</v>
      </c>
      <c r="N46" s="7">
        <f t="shared" ref="N46:N48" si="11">O46*44.6</f>
        <v>202305.6</v>
      </c>
      <c r="O46" s="8">
        <f>L45</f>
        <v>4536</v>
      </c>
      <c r="T46" s="4"/>
    </row>
    <row r="47" spans="1:20">
      <c r="G47" s="33"/>
      <c r="H47" s="123"/>
      <c r="I47" s="123"/>
      <c r="J47" s="199"/>
      <c r="M47" s="5" t="s">
        <v>3</v>
      </c>
      <c r="N47" s="7">
        <f t="shared" si="11"/>
        <v>192190.32</v>
      </c>
      <c r="O47" s="8">
        <f>O46-O46*0.05</f>
        <v>4309.2</v>
      </c>
    </row>
    <row r="48" spans="1:20">
      <c r="B48" s="1"/>
      <c r="E48" s="21"/>
      <c r="G48" s="33"/>
      <c r="M48" s="5" t="s">
        <v>5</v>
      </c>
      <c r="N48" s="7">
        <f t="shared" si="11"/>
        <v>115603.2</v>
      </c>
      <c r="O48" s="8">
        <f>K45</f>
        <v>2592</v>
      </c>
    </row>
    <row r="49" spans="2:15">
      <c r="B49" s="1"/>
      <c r="M49" s="37" t="s">
        <v>18</v>
      </c>
      <c r="N49" s="7">
        <f>O49*44.6</f>
        <v>76587.12</v>
      </c>
      <c r="O49" s="8">
        <f>O47-O48</f>
        <v>1717.1999999999998</v>
      </c>
    </row>
    <row r="50" spans="2:15">
      <c r="B50" s="1"/>
      <c r="I50" s="198"/>
    </row>
    <row r="51" spans="2:15">
      <c r="B51" s="169"/>
      <c r="C51" s="166"/>
      <c r="D51" s="176"/>
      <c r="I51" s="169"/>
      <c r="J51" s="169"/>
      <c r="K51" s="166"/>
      <c r="L51" s="176"/>
    </row>
    <row r="52" spans="2:15">
      <c r="B52" s="169"/>
      <c r="C52" s="166"/>
      <c r="D52" s="176"/>
      <c r="I52" s="144"/>
      <c r="J52" s="144"/>
      <c r="K52" s="166"/>
      <c r="L52" s="176"/>
    </row>
    <row r="53" spans="2:15">
      <c r="B53" s="169"/>
      <c r="C53" s="171"/>
      <c r="D53" s="176"/>
      <c r="G53" s="192"/>
      <c r="I53" s="167"/>
      <c r="J53" s="167"/>
      <c r="K53" s="166"/>
      <c r="L53" s="176"/>
    </row>
    <row r="54" spans="2:15">
      <c r="B54" s="169"/>
      <c r="C54" s="192"/>
      <c r="D54" s="192"/>
      <c r="E54" s="192"/>
      <c r="F54" s="192"/>
      <c r="G54" s="192"/>
      <c r="I54" s="169"/>
      <c r="J54" s="169"/>
      <c r="K54" s="166"/>
      <c r="L54" s="176"/>
    </row>
    <row r="55" spans="2:15">
      <c r="B55" s="176"/>
      <c r="C55" s="191"/>
      <c r="D55" s="191"/>
      <c r="E55" s="191"/>
      <c r="G55" s="192"/>
      <c r="I55" s="169"/>
      <c r="J55" s="169"/>
      <c r="K55" s="166"/>
      <c r="L55" s="176"/>
    </row>
    <row r="56" spans="2:15">
      <c r="B56" s="169"/>
      <c r="C56" s="191"/>
      <c r="D56" s="191"/>
      <c r="E56" s="191"/>
      <c r="G56" s="192"/>
      <c r="I56" s="169"/>
      <c r="J56" s="169"/>
      <c r="K56" s="166"/>
      <c r="L56" s="176"/>
    </row>
    <row r="57" spans="2:15">
      <c r="B57" s="169"/>
      <c r="C57" s="192"/>
      <c r="D57" s="192"/>
      <c r="E57" s="192"/>
      <c r="F57" s="192"/>
      <c r="G57" s="192"/>
      <c r="I57" s="169"/>
      <c r="J57" s="169"/>
      <c r="K57" s="166"/>
      <c r="L57" s="176"/>
    </row>
    <row r="58" spans="2:15">
      <c r="B58" s="176"/>
      <c r="C58" s="191"/>
      <c r="D58" s="191"/>
      <c r="E58" s="191"/>
      <c r="G58" s="192"/>
      <c r="I58" s="169"/>
      <c r="J58" s="169"/>
      <c r="K58" s="171"/>
      <c r="L58" s="176"/>
    </row>
    <row r="59" spans="2:15">
      <c r="C59" s="191"/>
      <c r="D59" s="191"/>
      <c r="E59" s="191"/>
      <c r="G59" s="192"/>
      <c r="I59" s="169"/>
      <c r="J59" s="169"/>
      <c r="K59" s="171"/>
      <c r="L59" s="176"/>
    </row>
    <row r="60" spans="2:15">
      <c r="B60" s="169"/>
      <c r="C60" s="192"/>
      <c r="D60" s="192"/>
      <c r="E60" s="192"/>
      <c r="F60" s="192"/>
      <c r="G60" s="192"/>
      <c r="I60" s="169"/>
      <c r="J60" s="169"/>
      <c r="K60" s="171"/>
      <c r="L60" s="176"/>
    </row>
    <row r="61" spans="2:15">
      <c r="B61" s="176"/>
      <c r="C61" s="191"/>
      <c r="D61" s="191"/>
      <c r="E61" s="191"/>
      <c r="G61" s="192"/>
      <c r="H61" s="21"/>
      <c r="I61" s="169"/>
      <c r="J61" s="169"/>
      <c r="K61" s="166"/>
      <c r="L61" s="176"/>
    </row>
    <row r="62" spans="2:15">
      <c r="C62" s="191"/>
      <c r="D62" s="191"/>
      <c r="E62" s="191"/>
      <c r="G62" s="192"/>
    </row>
    <row r="63" spans="2:15">
      <c r="B63" s="169"/>
      <c r="C63" s="192"/>
      <c r="D63" s="192"/>
      <c r="E63" s="192"/>
      <c r="F63" s="192"/>
      <c r="G63" s="192"/>
    </row>
    <row r="64" spans="2:15">
      <c r="B64" s="176"/>
      <c r="C64" s="191"/>
      <c r="D64" s="191"/>
      <c r="E64" s="191"/>
      <c r="G64" s="192"/>
    </row>
    <row r="65" spans="2:7">
      <c r="C65" s="191"/>
      <c r="D65" s="191"/>
      <c r="E65" s="191"/>
      <c r="G65" s="192"/>
    </row>
    <row r="66" spans="2:7">
      <c r="B66" s="169"/>
      <c r="C66" s="192"/>
      <c r="D66" s="192"/>
      <c r="E66" s="192"/>
      <c r="F66" s="192"/>
      <c r="G66" s="192"/>
    </row>
    <row r="67" spans="2:7">
      <c r="B67" s="176"/>
      <c r="C67" s="191"/>
      <c r="D67" s="191"/>
      <c r="E67" s="191"/>
      <c r="G67" s="192"/>
    </row>
    <row r="68" spans="2:7">
      <c r="C68" s="191"/>
      <c r="D68" s="191"/>
      <c r="E68" s="191"/>
      <c r="G68" s="192"/>
    </row>
    <row r="69" spans="2:7">
      <c r="C69" s="191"/>
      <c r="D69" s="191"/>
      <c r="E69" s="191"/>
      <c r="G69" s="192"/>
    </row>
    <row r="70" spans="2:7">
      <c r="G70" s="192"/>
    </row>
    <row r="71" spans="2:7">
      <c r="G71" s="192"/>
    </row>
    <row r="72" spans="2:7">
      <c r="G72" s="192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F143-EC40-F34D-8B65-F27B7A59CF14}">
  <dimension ref="A1:T105"/>
  <sheetViews>
    <sheetView zoomScale="80" zoomScaleNormal="80" workbookViewId="0">
      <pane ySplit="2" topLeftCell="A12" activePane="bottomLeft" state="frozen"/>
      <selection pane="bottomLeft" activeCell="C89" sqref="C89"/>
    </sheetView>
  </sheetViews>
  <sheetFormatPr baseColWidth="10" defaultRowHeight="16"/>
  <cols>
    <col min="1" max="1" width="9.33203125" style="1" customWidth="1"/>
    <col min="2" max="2" width="45.5" style="2" bestFit="1" customWidth="1"/>
    <col min="3" max="3" width="10.83203125" style="1" customWidth="1"/>
    <col min="4" max="6" width="10.33203125" style="1" customWidth="1"/>
    <col min="7" max="10" width="10.83203125" style="1"/>
    <col min="11" max="11" width="11.1640625" style="1" customWidth="1"/>
    <col min="12" max="12" width="13.1640625" style="1" customWidth="1"/>
    <col min="13" max="13" width="12.5" style="1" bestFit="1" customWidth="1"/>
    <col min="14" max="14" width="12" style="1" customWidth="1"/>
    <col min="15" max="15" width="11.1640625" style="1" customWidth="1"/>
    <col min="16" max="16" width="12.5" style="1" bestFit="1" customWidth="1"/>
    <col min="17" max="17" width="13" style="1" customWidth="1"/>
    <col min="18" max="16384" width="10.83203125" style="1"/>
  </cols>
  <sheetData>
    <row r="1" spans="1:17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7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81" t="s">
        <v>758</v>
      </c>
      <c r="J2" s="181" t="s">
        <v>759</v>
      </c>
    </row>
    <row r="3" spans="1:17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31" t="s">
        <v>16</v>
      </c>
      <c r="L3" s="39" t="s">
        <v>18</v>
      </c>
    </row>
    <row r="4" spans="1:17">
      <c r="A4" s="141"/>
      <c r="B4" s="185" t="s">
        <v>1026</v>
      </c>
      <c r="C4" s="181">
        <v>0.3</v>
      </c>
      <c r="D4" s="181">
        <f t="shared" ref="D4:D22" si="0">C4*9</f>
        <v>2.6999999999999997</v>
      </c>
      <c r="E4" s="1">
        <f>D4*5</f>
        <v>13.499999999999998</v>
      </c>
      <c r="F4" s="33"/>
      <c r="G4" s="33">
        <f>D4*15</f>
        <v>40.499999999999993</v>
      </c>
      <c r="H4" s="33"/>
      <c r="I4" s="33"/>
      <c r="J4" s="33"/>
      <c r="L4" s="33">
        <f>D4*35</f>
        <v>94.499999999999986</v>
      </c>
      <c r="Q4" s="33"/>
    </row>
    <row r="5" spans="1:17">
      <c r="A5" s="141"/>
      <c r="B5" s="185" t="s">
        <v>1027</v>
      </c>
      <c r="C5" s="181">
        <v>0.3</v>
      </c>
      <c r="D5" s="181">
        <f t="shared" si="0"/>
        <v>2.6999999999999997</v>
      </c>
      <c r="E5" s="1">
        <f t="shared" ref="E5:E22" si="1">D5*5</f>
        <v>13.499999999999998</v>
      </c>
      <c r="G5" s="33">
        <f>D5*15</f>
        <v>40.499999999999993</v>
      </c>
      <c r="H5" s="33"/>
      <c r="I5" s="33"/>
      <c r="J5" s="33"/>
      <c r="L5" s="33">
        <f t="shared" ref="L5:L22" si="2">D5*35</f>
        <v>94.499999999999986</v>
      </c>
      <c r="Q5" s="33"/>
    </row>
    <row r="6" spans="1:17">
      <c r="A6" s="141"/>
      <c r="B6" s="185" t="s">
        <v>1028</v>
      </c>
      <c r="C6" s="181">
        <v>0.3</v>
      </c>
      <c r="D6" s="181">
        <f t="shared" si="0"/>
        <v>2.6999999999999997</v>
      </c>
      <c r="E6" s="1">
        <f t="shared" si="1"/>
        <v>13.499999999999998</v>
      </c>
      <c r="F6" s="33"/>
      <c r="G6" s="33">
        <f>D6*15</f>
        <v>40.499999999999993</v>
      </c>
      <c r="H6" s="33"/>
      <c r="I6" s="33"/>
      <c r="J6" s="33"/>
      <c r="L6" s="33">
        <f t="shared" si="2"/>
        <v>94.499999999999986</v>
      </c>
      <c r="Q6" s="33"/>
    </row>
    <row r="7" spans="1:17">
      <c r="A7" s="141"/>
      <c r="B7" s="185" t="s">
        <v>1029</v>
      </c>
      <c r="C7" s="181">
        <v>0.3</v>
      </c>
      <c r="D7" s="181">
        <f t="shared" si="0"/>
        <v>2.6999999999999997</v>
      </c>
      <c r="E7" s="1">
        <f t="shared" si="1"/>
        <v>13.499999999999998</v>
      </c>
      <c r="F7" s="33"/>
      <c r="G7" s="33">
        <f>D7*15</f>
        <v>40.499999999999993</v>
      </c>
      <c r="H7" s="33"/>
      <c r="I7" s="33"/>
      <c r="J7" s="33"/>
      <c r="L7" s="33">
        <f t="shared" si="2"/>
        <v>94.499999999999986</v>
      </c>
      <c r="Q7" s="33"/>
    </row>
    <row r="8" spans="1:17">
      <c r="A8" s="141"/>
      <c r="B8" s="185" t="s">
        <v>1030</v>
      </c>
      <c r="C8" s="181">
        <v>0.5</v>
      </c>
      <c r="D8" s="181">
        <f t="shared" si="0"/>
        <v>4.5</v>
      </c>
      <c r="E8" s="1">
        <f t="shared" si="1"/>
        <v>22.5</v>
      </c>
      <c r="F8" s="33"/>
      <c r="G8" s="33"/>
      <c r="H8" s="33"/>
      <c r="I8" s="33"/>
      <c r="J8" s="33">
        <f>D8*15</f>
        <v>67.5</v>
      </c>
      <c r="L8" s="33">
        <f t="shared" si="2"/>
        <v>157.5</v>
      </c>
      <c r="Q8" s="33"/>
    </row>
    <row r="9" spans="1:17">
      <c r="A9" s="141"/>
      <c r="B9" s="185" t="s">
        <v>1031</v>
      </c>
      <c r="C9" s="181">
        <v>0.8</v>
      </c>
      <c r="D9" s="181">
        <f t="shared" si="0"/>
        <v>7.2</v>
      </c>
      <c r="E9" s="1">
        <f t="shared" si="1"/>
        <v>36</v>
      </c>
      <c r="F9" s="33">
        <f>D9*15</f>
        <v>108</v>
      </c>
      <c r="G9" s="33"/>
      <c r="H9" s="33"/>
      <c r="I9" s="33"/>
      <c r="J9" s="33"/>
      <c r="L9" s="33">
        <f t="shared" si="2"/>
        <v>252</v>
      </c>
      <c r="Q9" s="33"/>
    </row>
    <row r="10" spans="1:17">
      <c r="A10" s="141"/>
      <c r="B10" s="185" t="s">
        <v>1032</v>
      </c>
      <c r="C10" s="181">
        <v>0.5</v>
      </c>
      <c r="D10" s="181">
        <f t="shared" si="0"/>
        <v>4.5</v>
      </c>
      <c r="E10" s="1">
        <f t="shared" si="1"/>
        <v>22.5</v>
      </c>
      <c r="F10" s="33"/>
      <c r="G10" s="33"/>
      <c r="H10" s="33"/>
      <c r="I10" s="33"/>
      <c r="J10" s="33">
        <f>D10*15</f>
        <v>67.5</v>
      </c>
      <c r="L10" s="33">
        <f t="shared" si="2"/>
        <v>157.5</v>
      </c>
      <c r="Q10" s="33"/>
    </row>
    <row r="11" spans="1:17">
      <c r="A11" s="141"/>
      <c r="B11" s="185" t="s">
        <v>1033</v>
      </c>
      <c r="C11" s="181">
        <v>0.3</v>
      </c>
      <c r="D11" s="181">
        <f t="shared" si="0"/>
        <v>2.6999999999999997</v>
      </c>
      <c r="E11" s="1">
        <f t="shared" si="1"/>
        <v>13.499999999999998</v>
      </c>
      <c r="F11" s="33">
        <f>D11*15</f>
        <v>40.499999999999993</v>
      </c>
      <c r="G11" s="33"/>
      <c r="H11" s="33"/>
      <c r="I11" s="33"/>
      <c r="J11" s="33"/>
      <c r="L11" s="33">
        <f t="shared" si="2"/>
        <v>94.499999999999986</v>
      </c>
      <c r="Q11" s="33"/>
    </row>
    <row r="12" spans="1:17">
      <c r="A12" s="141"/>
      <c r="B12" s="185" t="s">
        <v>1034</v>
      </c>
      <c r="C12" s="181">
        <v>0.3</v>
      </c>
      <c r="D12" s="181">
        <f t="shared" si="0"/>
        <v>2.6999999999999997</v>
      </c>
      <c r="E12" s="1">
        <f t="shared" si="1"/>
        <v>13.499999999999998</v>
      </c>
      <c r="F12" s="33">
        <f>D12*15</f>
        <v>40.499999999999993</v>
      </c>
      <c r="G12" s="33"/>
      <c r="H12" s="33"/>
      <c r="I12" s="33"/>
      <c r="J12" s="33"/>
      <c r="L12" s="33">
        <f t="shared" si="2"/>
        <v>94.499999999999986</v>
      </c>
      <c r="Q12" s="33"/>
    </row>
    <row r="13" spans="1:17">
      <c r="A13" s="141"/>
      <c r="B13" s="185" t="s">
        <v>1035</v>
      </c>
      <c r="C13" s="181">
        <v>0.3</v>
      </c>
      <c r="D13" s="181">
        <f t="shared" si="0"/>
        <v>2.6999999999999997</v>
      </c>
      <c r="E13" s="1">
        <f t="shared" si="1"/>
        <v>13.499999999999998</v>
      </c>
      <c r="F13" s="33">
        <f>D13*15</f>
        <v>40.499999999999993</v>
      </c>
      <c r="G13" s="33"/>
      <c r="H13" s="33"/>
      <c r="I13" s="33"/>
      <c r="J13" s="33"/>
      <c r="L13" s="33">
        <f t="shared" si="2"/>
        <v>94.499999999999986</v>
      </c>
      <c r="Q13" s="33"/>
    </row>
    <row r="14" spans="1:17">
      <c r="A14" s="141"/>
      <c r="B14" s="185" t="s">
        <v>1036</v>
      </c>
      <c r="C14" s="181">
        <v>0.5</v>
      </c>
      <c r="D14" s="181">
        <f t="shared" si="0"/>
        <v>4.5</v>
      </c>
      <c r="E14" s="1">
        <f t="shared" si="1"/>
        <v>22.5</v>
      </c>
      <c r="F14" s="33"/>
      <c r="G14" s="33"/>
      <c r="H14" s="33"/>
      <c r="I14" s="33">
        <f>D14*15</f>
        <v>67.5</v>
      </c>
      <c r="J14" s="33"/>
      <c r="L14" s="33">
        <f t="shared" si="2"/>
        <v>157.5</v>
      </c>
      <c r="Q14" s="33"/>
    </row>
    <row r="15" spans="1:17">
      <c r="A15" s="141"/>
      <c r="B15" s="185" t="s">
        <v>1037</v>
      </c>
      <c r="C15" s="181">
        <v>0.5</v>
      </c>
      <c r="D15" s="181">
        <f t="shared" si="0"/>
        <v>4.5</v>
      </c>
      <c r="E15" s="1">
        <f t="shared" si="1"/>
        <v>22.5</v>
      </c>
      <c r="F15" s="33"/>
      <c r="G15" s="33"/>
      <c r="H15" s="33"/>
      <c r="I15" s="33">
        <f>D15*15</f>
        <v>67.5</v>
      </c>
      <c r="J15" s="33"/>
      <c r="L15" s="33">
        <f t="shared" si="2"/>
        <v>157.5</v>
      </c>
      <c r="Q15" s="33"/>
    </row>
    <row r="16" spans="1:17">
      <c r="A16" s="141"/>
      <c r="B16" s="185" t="s">
        <v>1038</v>
      </c>
      <c r="C16" s="181">
        <v>0.3</v>
      </c>
      <c r="D16" s="181">
        <f t="shared" si="0"/>
        <v>2.6999999999999997</v>
      </c>
      <c r="E16" s="1">
        <f t="shared" si="1"/>
        <v>13.499999999999998</v>
      </c>
      <c r="F16" s="33"/>
      <c r="G16" s="33"/>
      <c r="H16" s="33"/>
      <c r="I16" s="33">
        <f>D16*15</f>
        <v>40.499999999999993</v>
      </c>
      <c r="J16" s="33"/>
      <c r="L16" s="33">
        <f t="shared" si="2"/>
        <v>94.499999999999986</v>
      </c>
      <c r="Q16" s="33"/>
    </row>
    <row r="17" spans="1:17">
      <c r="A17" s="141"/>
      <c r="B17" s="185" t="s">
        <v>1039</v>
      </c>
      <c r="C17" s="181">
        <v>0.3</v>
      </c>
      <c r="D17" s="181">
        <f t="shared" si="0"/>
        <v>2.6999999999999997</v>
      </c>
      <c r="E17" s="1">
        <f t="shared" si="1"/>
        <v>13.499999999999998</v>
      </c>
      <c r="F17" s="33"/>
      <c r="G17" s="33"/>
      <c r="H17" s="33"/>
      <c r="I17" s="33">
        <f>D17*15</f>
        <v>40.499999999999993</v>
      </c>
      <c r="J17" s="33"/>
      <c r="L17" s="33">
        <f t="shared" si="2"/>
        <v>94.499999999999986</v>
      </c>
      <c r="Q17" s="33"/>
    </row>
    <row r="18" spans="1:17">
      <c r="A18" s="141"/>
      <c r="B18" s="185" t="s">
        <v>1040</v>
      </c>
      <c r="C18" s="181">
        <v>0.3</v>
      </c>
      <c r="D18" s="181">
        <f t="shared" si="0"/>
        <v>2.6999999999999997</v>
      </c>
      <c r="E18" s="1">
        <f t="shared" si="1"/>
        <v>13.499999999999998</v>
      </c>
      <c r="F18" s="33"/>
      <c r="G18" s="33"/>
      <c r="H18" s="33"/>
      <c r="I18" s="33">
        <f>D18*15</f>
        <v>40.499999999999993</v>
      </c>
      <c r="J18" s="33"/>
      <c r="L18" s="33">
        <f t="shared" si="2"/>
        <v>94.499999999999986</v>
      </c>
      <c r="Q18" s="33"/>
    </row>
    <row r="19" spans="1:17">
      <c r="A19" s="141"/>
      <c r="B19" s="185" t="s">
        <v>1041</v>
      </c>
      <c r="C19" s="181">
        <v>0.3</v>
      </c>
      <c r="D19" s="181">
        <f t="shared" si="0"/>
        <v>2.6999999999999997</v>
      </c>
      <c r="E19" s="1">
        <f t="shared" si="1"/>
        <v>13.499999999999998</v>
      </c>
      <c r="F19" s="33"/>
      <c r="G19" s="33"/>
      <c r="H19" s="33"/>
      <c r="I19" s="33"/>
      <c r="J19" s="33">
        <f>D19*15</f>
        <v>40.499999999999993</v>
      </c>
      <c r="L19" s="33">
        <f t="shared" si="2"/>
        <v>94.499999999999986</v>
      </c>
      <c r="Q19" s="33"/>
    </row>
    <row r="20" spans="1:17">
      <c r="A20" s="141"/>
      <c r="B20" s="185" t="s">
        <v>1042</v>
      </c>
      <c r="C20" s="181">
        <v>0.3</v>
      </c>
      <c r="D20" s="181">
        <f t="shared" si="0"/>
        <v>2.6999999999999997</v>
      </c>
      <c r="E20" s="1">
        <f t="shared" si="1"/>
        <v>13.499999999999998</v>
      </c>
      <c r="F20" s="33"/>
      <c r="G20" s="33"/>
      <c r="H20" s="33"/>
      <c r="I20" s="33"/>
      <c r="J20" s="33">
        <f>D20*15</f>
        <v>40.499999999999993</v>
      </c>
      <c r="L20" s="33">
        <f t="shared" si="2"/>
        <v>94.499999999999986</v>
      </c>
      <c r="Q20" s="33"/>
    </row>
    <row r="21" spans="1:17">
      <c r="A21" s="141"/>
      <c r="B21" s="185" t="s">
        <v>1043</v>
      </c>
      <c r="C21" s="181">
        <v>0.5</v>
      </c>
      <c r="D21" s="181">
        <f t="shared" si="0"/>
        <v>4.5</v>
      </c>
      <c r="E21" s="1">
        <f t="shared" si="1"/>
        <v>22.5</v>
      </c>
      <c r="F21" s="33"/>
      <c r="G21" s="33"/>
      <c r="H21" s="33">
        <f>D21*15</f>
        <v>67.5</v>
      </c>
      <c r="I21" s="33"/>
      <c r="J21" s="33"/>
      <c r="L21" s="33">
        <f t="shared" si="2"/>
        <v>157.5</v>
      </c>
      <c r="Q21" s="33"/>
    </row>
    <row r="22" spans="1:17">
      <c r="A22" s="141"/>
      <c r="B22" s="185" t="s">
        <v>1044</v>
      </c>
      <c r="C22" s="181">
        <v>0.5</v>
      </c>
      <c r="D22" s="181">
        <f t="shared" si="0"/>
        <v>4.5</v>
      </c>
      <c r="E22" s="1">
        <f t="shared" si="1"/>
        <v>22.5</v>
      </c>
      <c r="F22" s="33"/>
      <c r="G22" s="33"/>
      <c r="H22" s="33">
        <f>D22*15</f>
        <v>67.5</v>
      </c>
      <c r="I22" s="33"/>
      <c r="J22" s="33"/>
      <c r="L22" s="33">
        <f t="shared" si="2"/>
        <v>157.5</v>
      </c>
      <c r="Q22" s="33"/>
    </row>
    <row r="23" spans="1:17" ht="25" customHeight="1">
      <c r="A23" s="125" t="s">
        <v>81</v>
      </c>
      <c r="B23" s="125" t="s">
        <v>196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spans="1:17">
      <c r="A24" s="141"/>
      <c r="B24" s="189" t="s">
        <v>1045</v>
      </c>
      <c r="C24" s="181">
        <v>0.3</v>
      </c>
      <c r="D24" s="181">
        <f t="shared" ref="D24:D77" si="3">C24*9</f>
        <v>2.6999999999999997</v>
      </c>
      <c r="E24" s="1">
        <f>D24*5</f>
        <v>13.499999999999998</v>
      </c>
      <c r="F24" s="33"/>
      <c r="G24" s="33">
        <f>D24*15</f>
        <v>40.499999999999993</v>
      </c>
      <c r="H24" s="33"/>
      <c r="I24" s="33"/>
      <c r="J24" s="33"/>
      <c r="L24" s="33">
        <f t="shared" ref="L24:L77" si="4">D24*35</f>
        <v>94.499999999999986</v>
      </c>
    </row>
    <row r="25" spans="1:17">
      <c r="A25" s="141"/>
      <c r="B25" s="189" t="s">
        <v>1046</v>
      </c>
      <c r="C25" s="181">
        <v>0.3</v>
      </c>
      <c r="D25" s="181">
        <f t="shared" si="3"/>
        <v>2.6999999999999997</v>
      </c>
      <c r="E25" s="1">
        <f t="shared" ref="E25:E77" si="5">D25*5</f>
        <v>13.499999999999998</v>
      </c>
      <c r="F25" s="33"/>
      <c r="G25" s="33">
        <f>D25*15</f>
        <v>40.499999999999993</v>
      </c>
      <c r="H25" s="33"/>
      <c r="I25" s="33"/>
      <c r="J25" s="33"/>
      <c r="L25" s="33">
        <f t="shared" si="4"/>
        <v>94.499999999999986</v>
      </c>
    </row>
    <row r="26" spans="1:17">
      <c r="A26" s="141"/>
      <c r="B26" s="189" t="s">
        <v>1047</v>
      </c>
      <c r="C26" s="181">
        <v>0.3</v>
      </c>
      <c r="D26" s="181">
        <f t="shared" si="3"/>
        <v>2.6999999999999997</v>
      </c>
      <c r="E26" s="1">
        <f t="shared" si="5"/>
        <v>13.499999999999998</v>
      </c>
      <c r="F26" s="33"/>
      <c r="G26" s="33"/>
      <c r="H26" s="33"/>
      <c r="I26" s="33"/>
      <c r="J26" s="33">
        <f>D26*15</f>
        <v>40.499999999999993</v>
      </c>
      <c r="L26" s="33">
        <f t="shared" si="4"/>
        <v>94.499999999999986</v>
      </c>
    </row>
    <row r="27" spans="1:17">
      <c r="A27" s="141"/>
      <c r="B27" s="189" t="s">
        <v>1048</v>
      </c>
      <c r="C27" s="181">
        <v>0.5</v>
      </c>
      <c r="D27" s="181">
        <f t="shared" si="3"/>
        <v>4.5</v>
      </c>
      <c r="E27" s="1">
        <f t="shared" si="5"/>
        <v>22.5</v>
      </c>
      <c r="F27" s="33"/>
      <c r="G27" s="33"/>
      <c r="H27" s="33"/>
      <c r="I27" s="33"/>
      <c r="J27" s="33">
        <f>D27*15</f>
        <v>67.5</v>
      </c>
      <c r="L27" s="33">
        <f t="shared" si="4"/>
        <v>157.5</v>
      </c>
    </row>
    <row r="28" spans="1:17">
      <c r="A28" s="141"/>
      <c r="B28" s="189" t="s">
        <v>1049</v>
      </c>
      <c r="C28" s="181">
        <v>0.5</v>
      </c>
      <c r="D28" s="181">
        <f t="shared" si="3"/>
        <v>4.5</v>
      </c>
      <c r="E28" s="1">
        <f t="shared" si="5"/>
        <v>22.5</v>
      </c>
      <c r="F28" s="33">
        <f>D28*15</f>
        <v>67.5</v>
      </c>
      <c r="G28" s="33"/>
      <c r="H28" s="33"/>
      <c r="I28" s="33"/>
      <c r="J28" s="33"/>
      <c r="L28" s="33">
        <f t="shared" si="4"/>
        <v>157.5</v>
      </c>
    </row>
    <row r="29" spans="1:17">
      <c r="A29" s="141"/>
      <c r="B29" s="189" t="s">
        <v>1050</v>
      </c>
      <c r="C29" s="181">
        <v>0.3</v>
      </c>
      <c r="D29" s="181">
        <f t="shared" si="3"/>
        <v>2.6999999999999997</v>
      </c>
      <c r="E29" s="1">
        <f t="shared" si="5"/>
        <v>13.499999999999998</v>
      </c>
      <c r="F29" s="33">
        <f>D29*15</f>
        <v>40.499999999999993</v>
      </c>
      <c r="G29" s="33"/>
      <c r="H29" s="33"/>
      <c r="I29" s="33"/>
      <c r="J29" s="33"/>
      <c r="L29" s="33">
        <f t="shared" si="4"/>
        <v>94.499999999999986</v>
      </c>
    </row>
    <row r="30" spans="1:17">
      <c r="A30" s="141"/>
      <c r="B30" s="189" t="s">
        <v>1051</v>
      </c>
      <c r="C30" s="181">
        <v>1.5</v>
      </c>
      <c r="D30" s="181">
        <f t="shared" si="3"/>
        <v>13.5</v>
      </c>
      <c r="E30" s="1">
        <f t="shared" si="5"/>
        <v>67.5</v>
      </c>
      <c r="F30" s="33"/>
      <c r="G30" s="33"/>
      <c r="H30" s="33">
        <f>D30*15</f>
        <v>202.5</v>
      </c>
      <c r="I30" s="33"/>
      <c r="J30" s="33"/>
      <c r="L30" s="33">
        <f t="shared" si="4"/>
        <v>472.5</v>
      </c>
    </row>
    <row r="31" spans="1:17">
      <c r="A31" s="141"/>
      <c r="B31" s="188" t="s">
        <v>1052</v>
      </c>
      <c r="C31" s="181">
        <v>0.3</v>
      </c>
      <c r="D31" s="181">
        <f t="shared" si="3"/>
        <v>2.6999999999999997</v>
      </c>
      <c r="E31" s="1">
        <f t="shared" si="5"/>
        <v>13.499999999999998</v>
      </c>
      <c r="F31" s="33"/>
      <c r="G31" s="33">
        <f>D31*15</f>
        <v>40.499999999999993</v>
      </c>
      <c r="H31" s="33"/>
      <c r="I31" s="33"/>
      <c r="J31" s="33"/>
      <c r="L31" s="33">
        <f t="shared" si="4"/>
        <v>94.499999999999986</v>
      </c>
    </row>
    <row r="32" spans="1:17">
      <c r="A32" s="141"/>
      <c r="B32" s="188" t="s">
        <v>1053</v>
      </c>
      <c r="C32" s="181">
        <v>0.3</v>
      </c>
      <c r="D32" s="181">
        <f t="shared" si="3"/>
        <v>2.6999999999999997</v>
      </c>
      <c r="E32" s="1">
        <f t="shared" si="5"/>
        <v>13.499999999999998</v>
      </c>
      <c r="F32" s="33"/>
      <c r="G32" s="33">
        <f>D32*15</f>
        <v>40.499999999999993</v>
      </c>
      <c r="H32" s="33"/>
      <c r="I32" s="33"/>
      <c r="J32" s="33"/>
      <c r="L32" s="33">
        <f t="shared" si="4"/>
        <v>94.499999999999986</v>
      </c>
    </row>
    <row r="33" spans="1:12">
      <c r="A33" s="141"/>
      <c r="B33" s="189" t="s">
        <v>1054</v>
      </c>
      <c r="C33" s="181">
        <v>0.3</v>
      </c>
      <c r="D33" s="181">
        <f t="shared" si="3"/>
        <v>2.6999999999999997</v>
      </c>
      <c r="E33" s="1">
        <f t="shared" si="5"/>
        <v>13.499999999999998</v>
      </c>
      <c r="F33" s="33"/>
      <c r="G33" s="33">
        <f>D33*15</f>
        <v>40.499999999999993</v>
      </c>
      <c r="H33" s="33"/>
      <c r="I33" s="33"/>
      <c r="J33" s="33"/>
      <c r="L33" s="33">
        <f t="shared" si="4"/>
        <v>94.499999999999986</v>
      </c>
    </row>
    <row r="34" spans="1:12">
      <c r="A34" s="141"/>
      <c r="B34" s="189" t="s">
        <v>1055</v>
      </c>
      <c r="C34" s="181">
        <v>0.3</v>
      </c>
      <c r="D34" s="181">
        <f t="shared" si="3"/>
        <v>2.6999999999999997</v>
      </c>
      <c r="E34" s="1">
        <f t="shared" si="5"/>
        <v>13.499999999999998</v>
      </c>
      <c r="F34" s="33"/>
      <c r="G34" s="33"/>
      <c r="H34" s="33"/>
      <c r="I34" s="33"/>
      <c r="J34" s="33">
        <f>D34*15</f>
        <v>40.499999999999993</v>
      </c>
      <c r="L34" s="33">
        <f t="shared" si="4"/>
        <v>94.499999999999986</v>
      </c>
    </row>
    <row r="35" spans="1:12">
      <c r="A35" s="141"/>
      <c r="B35" s="189" t="s">
        <v>1056</v>
      </c>
      <c r="C35" s="181">
        <v>0.3</v>
      </c>
      <c r="D35" s="181">
        <f t="shared" si="3"/>
        <v>2.6999999999999997</v>
      </c>
      <c r="E35" s="1">
        <f t="shared" si="5"/>
        <v>13.499999999999998</v>
      </c>
      <c r="F35" s="33"/>
      <c r="G35" s="33"/>
      <c r="H35" s="33">
        <f>D35*15</f>
        <v>40.499999999999993</v>
      </c>
      <c r="I35" s="33"/>
      <c r="J35" s="33"/>
      <c r="L35" s="33">
        <f t="shared" si="4"/>
        <v>94.499999999999986</v>
      </c>
    </row>
    <row r="36" spans="1:12">
      <c r="A36" s="141"/>
      <c r="B36" s="189" t="s">
        <v>1057</v>
      </c>
      <c r="C36" s="181">
        <v>0.3</v>
      </c>
      <c r="D36" s="181">
        <f t="shared" si="3"/>
        <v>2.6999999999999997</v>
      </c>
      <c r="E36" s="1">
        <f t="shared" si="5"/>
        <v>13.499999999999998</v>
      </c>
      <c r="F36" s="33"/>
      <c r="G36" s="33"/>
      <c r="H36" s="33">
        <f>D36*15</f>
        <v>40.499999999999993</v>
      </c>
      <c r="I36" s="33"/>
      <c r="J36" s="33"/>
      <c r="L36" s="33">
        <f t="shared" si="4"/>
        <v>94.499999999999986</v>
      </c>
    </row>
    <row r="37" spans="1:12">
      <c r="A37" s="141"/>
      <c r="B37" s="189" t="s">
        <v>1058</v>
      </c>
      <c r="C37" s="181">
        <v>0.3</v>
      </c>
      <c r="D37" s="181">
        <f t="shared" si="3"/>
        <v>2.6999999999999997</v>
      </c>
      <c r="E37" s="1">
        <f t="shared" si="5"/>
        <v>13.499999999999998</v>
      </c>
      <c r="F37" s="33">
        <f>D37*15</f>
        <v>40.499999999999993</v>
      </c>
      <c r="G37" s="33"/>
      <c r="H37" s="33"/>
      <c r="I37" s="33"/>
      <c r="J37" s="33"/>
      <c r="L37" s="33">
        <f t="shared" si="4"/>
        <v>94.499999999999986</v>
      </c>
    </row>
    <row r="38" spans="1:12">
      <c r="A38" s="141"/>
      <c r="B38" s="189" t="s">
        <v>1059</v>
      </c>
      <c r="C38" s="181">
        <v>0.3</v>
      </c>
      <c r="D38" s="181">
        <f t="shared" si="3"/>
        <v>2.6999999999999997</v>
      </c>
      <c r="E38" s="1">
        <f t="shared" si="5"/>
        <v>13.499999999999998</v>
      </c>
      <c r="F38" s="33">
        <f>D38*15</f>
        <v>40.499999999999993</v>
      </c>
      <c r="G38" s="33"/>
      <c r="H38" s="33"/>
      <c r="I38" s="33"/>
      <c r="J38" s="33"/>
      <c r="L38" s="33">
        <f t="shared" si="4"/>
        <v>94.499999999999986</v>
      </c>
    </row>
    <row r="39" spans="1:12">
      <c r="A39" s="141"/>
      <c r="B39" s="189" t="s">
        <v>1060</v>
      </c>
      <c r="C39" s="181">
        <v>0.5</v>
      </c>
      <c r="D39" s="181">
        <f t="shared" si="3"/>
        <v>4.5</v>
      </c>
      <c r="E39" s="1">
        <f t="shared" si="5"/>
        <v>22.5</v>
      </c>
      <c r="F39" s="33"/>
      <c r="G39" s="33"/>
      <c r="H39" s="33"/>
      <c r="I39" s="33">
        <f>D39*15</f>
        <v>67.5</v>
      </c>
      <c r="J39" s="33"/>
      <c r="L39" s="33">
        <f t="shared" si="4"/>
        <v>157.5</v>
      </c>
    </row>
    <row r="40" spans="1:12">
      <c r="A40" s="141"/>
      <c r="B40" s="189" t="s">
        <v>1061</v>
      </c>
      <c r="C40" s="181">
        <v>0.5</v>
      </c>
      <c r="D40" s="181">
        <f t="shared" si="3"/>
        <v>4.5</v>
      </c>
      <c r="E40" s="1">
        <f t="shared" si="5"/>
        <v>22.5</v>
      </c>
      <c r="F40" s="33"/>
      <c r="G40" s="33"/>
      <c r="H40" s="33"/>
      <c r="I40" s="33"/>
      <c r="J40" s="33">
        <f>D40*15</f>
        <v>67.5</v>
      </c>
      <c r="L40" s="33">
        <f t="shared" si="4"/>
        <v>157.5</v>
      </c>
    </row>
    <row r="41" spans="1:12">
      <c r="A41" s="141"/>
      <c r="B41" s="189" t="s">
        <v>1062</v>
      </c>
      <c r="C41" s="181">
        <v>0.3</v>
      </c>
      <c r="D41" s="181">
        <f t="shared" si="3"/>
        <v>2.6999999999999997</v>
      </c>
      <c r="E41" s="1">
        <f t="shared" si="5"/>
        <v>13.499999999999998</v>
      </c>
      <c r="F41" s="33"/>
      <c r="G41" s="33"/>
      <c r="H41" s="33"/>
      <c r="I41" s="33">
        <f>D41*15</f>
        <v>40.499999999999993</v>
      </c>
      <c r="J41" s="33"/>
      <c r="L41" s="33">
        <f t="shared" si="4"/>
        <v>94.499999999999986</v>
      </c>
    </row>
    <row r="42" spans="1:12">
      <c r="A42" s="141"/>
      <c r="B42" s="189" t="s">
        <v>1063</v>
      </c>
      <c r="C42" s="181">
        <v>0.3</v>
      </c>
      <c r="D42" s="181">
        <f t="shared" si="3"/>
        <v>2.6999999999999997</v>
      </c>
      <c r="E42" s="1">
        <f t="shared" si="5"/>
        <v>13.499999999999998</v>
      </c>
      <c r="F42" s="33"/>
      <c r="G42" s="33">
        <f>D42*15</f>
        <v>40.499999999999993</v>
      </c>
      <c r="H42" s="33"/>
      <c r="I42" s="33"/>
      <c r="J42" s="33"/>
      <c r="L42" s="33">
        <f t="shared" si="4"/>
        <v>94.499999999999986</v>
      </c>
    </row>
    <row r="43" spans="1:12">
      <c r="A43" s="141"/>
      <c r="B43" s="189" t="s">
        <v>1064</v>
      </c>
      <c r="C43" s="181">
        <v>0.3</v>
      </c>
      <c r="D43" s="181">
        <f t="shared" si="3"/>
        <v>2.6999999999999997</v>
      </c>
      <c r="E43" s="1">
        <f t="shared" si="5"/>
        <v>13.499999999999998</v>
      </c>
      <c r="F43" s="33"/>
      <c r="G43" s="33">
        <f>D43*15</f>
        <v>40.499999999999993</v>
      </c>
      <c r="H43" s="33"/>
      <c r="I43" s="33"/>
      <c r="J43" s="33"/>
      <c r="L43" s="33">
        <f t="shared" si="4"/>
        <v>94.499999999999986</v>
      </c>
    </row>
    <row r="44" spans="1:12">
      <c r="A44" s="141"/>
      <c r="B44" s="189" t="s">
        <v>1056</v>
      </c>
      <c r="C44" s="181">
        <v>0.3</v>
      </c>
      <c r="D44" s="181">
        <f t="shared" si="3"/>
        <v>2.6999999999999997</v>
      </c>
      <c r="E44" s="1">
        <f t="shared" si="5"/>
        <v>13.499999999999998</v>
      </c>
      <c r="F44" s="33"/>
      <c r="G44" s="33"/>
      <c r="H44" s="33"/>
      <c r="I44" s="33"/>
      <c r="J44" s="33">
        <f>D44*15</f>
        <v>40.499999999999993</v>
      </c>
      <c r="L44" s="33">
        <f t="shared" si="4"/>
        <v>94.499999999999986</v>
      </c>
    </row>
    <row r="45" spans="1:12">
      <c r="A45" s="141"/>
      <c r="B45" s="189" t="s">
        <v>1065</v>
      </c>
      <c r="C45" s="181">
        <v>0.3</v>
      </c>
      <c r="D45" s="181">
        <f t="shared" si="3"/>
        <v>2.6999999999999997</v>
      </c>
      <c r="E45" s="1">
        <f t="shared" si="5"/>
        <v>13.499999999999998</v>
      </c>
      <c r="F45" s="33"/>
      <c r="G45" s="33"/>
      <c r="H45" s="33"/>
      <c r="I45" s="33">
        <f>D45*15</f>
        <v>40.499999999999993</v>
      </c>
      <c r="J45" s="33"/>
      <c r="L45" s="33">
        <f t="shared" si="4"/>
        <v>94.499999999999986</v>
      </c>
    </row>
    <row r="46" spans="1:12">
      <c r="A46" s="141"/>
      <c r="B46" s="189" t="s">
        <v>1066</v>
      </c>
      <c r="C46" s="181">
        <v>0.3</v>
      </c>
      <c r="D46" s="181">
        <f t="shared" si="3"/>
        <v>2.6999999999999997</v>
      </c>
      <c r="E46" s="1">
        <f t="shared" si="5"/>
        <v>13.499999999999998</v>
      </c>
      <c r="F46" s="33"/>
      <c r="G46" s="33"/>
      <c r="H46" s="33"/>
      <c r="I46" s="33">
        <f>D46*15</f>
        <v>40.499999999999993</v>
      </c>
      <c r="J46" s="33"/>
      <c r="L46" s="33">
        <f t="shared" si="4"/>
        <v>94.499999999999986</v>
      </c>
    </row>
    <row r="47" spans="1:12">
      <c r="A47" s="141"/>
      <c r="B47" s="189" t="s">
        <v>1067</v>
      </c>
      <c r="C47" s="181">
        <v>0.3</v>
      </c>
      <c r="D47" s="181">
        <f t="shared" si="3"/>
        <v>2.6999999999999997</v>
      </c>
      <c r="E47" s="1">
        <f t="shared" si="5"/>
        <v>13.499999999999998</v>
      </c>
      <c r="F47" s="33">
        <f>D47*15</f>
        <v>40.499999999999993</v>
      </c>
      <c r="G47" s="33"/>
      <c r="H47" s="33"/>
      <c r="I47" s="33"/>
      <c r="J47" s="33"/>
      <c r="L47" s="33">
        <f t="shared" si="4"/>
        <v>94.499999999999986</v>
      </c>
    </row>
    <row r="48" spans="1:12">
      <c r="A48" s="141"/>
      <c r="B48" s="189" t="s">
        <v>1068</v>
      </c>
      <c r="C48" s="181">
        <v>0.3</v>
      </c>
      <c r="D48" s="181">
        <f t="shared" si="3"/>
        <v>2.6999999999999997</v>
      </c>
      <c r="E48" s="1">
        <f t="shared" si="5"/>
        <v>13.499999999999998</v>
      </c>
      <c r="F48" s="33"/>
      <c r="G48" s="33">
        <f>D48*15</f>
        <v>40.499999999999993</v>
      </c>
      <c r="H48" s="33"/>
      <c r="I48" s="33"/>
      <c r="J48" s="33"/>
      <c r="L48" s="33">
        <f t="shared" si="4"/>
        <v>94.499999999999986</v>
      </c>
    </row>
    <row r="49" spans="1:12">
      <c r="A49" s="141"/>
      <c r="B49" s="189" t="s">
        <v>1069</v>
      </c>
      <c r="C49" s="181">
        <v>0.5</v>
      </c>
      <c r="D49" s="181">
        <f t="shared" si="3"/>
        <v>4.5</v>
      </c>
      <c r="E49" s="1">
        <f t="shared" si="5"/>
        <v>22.5</v>
      </c>
      <c r="F49" s="33"/>
      <c r="G49" s="33"/>
      <c r="H49" s="33">
        <f>D49*15</f>
        <v>67.5</v>
      </c>
      <c r="I49" s="33"/>
      <c r="J49" s="33"/>
      <c r="L49" s="33">
        <f t="shared" si="4"/>
        <v>157.5</v>
      </c>
    </row>
    <row r="50" spans="1:12">
      <c r="A50" s="141"/>
      <c r="B50" s="189" t="s">
        <v>1070</v>
      </c>
      <c r="C50" s="181">
        <v>0.7</v>
      </c>
      <c r="D50" s="181">
        <f t="shared" si="3"/>
        <v>6.3</v>
      </c>
      <c r="E50" s="1">
        <f t="shared" si="5"/>
        <v>31.5</v>
      </c>
      <c r="F50" s="33"/>
      <c r="G50" s="33"/>
      <c r="H50" s="33">
        <f>D50*15</f>
        <v>94.5</v>
      </c>
      <c r="I50" s="33"/>
      <c r="J50" s="33"/>
      <c r="L50" s="33">
        <f t="shared" si="4"/>
        <v>220.5</v>
      </c>
    </row>
    <row r="51" spans="1:12">
      <c r="A51" s="141"/>
      <c r="B51" s="189" t="s">
        <v>1071</v>
      </c>
      <c r="C51" s="181">
        <v>0.3</v>
      </c>
      <c r="D51" s="181">
        <f t="shared" si="3"/>
        <v>2.6999999999999997</v>
      </c>
      <c r="E51" s="1">
        <f t="shared" si="5"/>
        <v>13.499999999999998</v>
      </c>
      <c r="F51" s="33"/>
      <c r="G51" s="33">
        <f>D51*15</f>
        <v>40.499999999999993</v>
      </c>
      <c r="H51" s="33"/>
      <c r="I51" s="33"/>
      <c r="J51" s="33"/>
      <c r="L51" s="33">
        <f t="shared" si="4"/>
        <v>94.499999999999986</v>
      </c>
    </row>
    <row r="52" spans="1:12">
      <c r="A52" s="141"/>
      <c r="B52" s="189" t="s">
        <v>1072</v>
      </c>
      <c r="C52" s="181">
        <v>0.3</v>
      </c>
      <c r="D52" s="181">
        <f t="shared" si="3"/>
        <v>2.6999999999999997</v>
      </c>
      <c r="E52" s="1">
        <f t="shared" si="5"/>
        <v>13.499999999999998</v>
      </c>
      <c r="F52" s="33"/>
      <c r="G52" s="33">
        <f>D52*15</f>
        <v>40.499999999999993</v>
      </c>
      <c r="H52" s="33"/>
      <c r="I52" s="33"/>
      <c r="J52" s="33"/>
      <c r="L52" s="33">
        <f t="shared" si="4"/>
        <v>94.499999999999986</v>
      </c>
    </row>
    <row r="53" spans="1:12">
      <c r="A53" s="141"/>
      <c r="B53" s="189" t="s">
        <v>1073</v>
      </c>
      <c r="C53" s="181">
        <v>0.3</v>
      </c>
      <c r="D53" s="181">
        <f t="shared" si="3"/>
        <v>2.6999999999999997</v>
      </c>
      <c r="E53" s="1">
        <f t="shared" si="5"/>
        <v>13.499999999999998</v>
      </c>
      <c r="F53" s="33"/>
      <c r="G53" s="33">
        <f>D53*15</f>
        <v>40.499999999999993</v>
      </c>
      <c r="H53" s="33"/>
      <c r="I53" s="33"/>
      <c r="J53" s="33"/>
      <c r="L53" s="33">
        <f t="shared" si="4"/>
        <v>94.499999999999986</v>
      </c>
    </row>
    <row r="54" spans="1:12">
      <c r="A54" s="141"/>
      <c r="B54" s="189" t="s">
        <v>1074</v>
      </c>
      <c r="C54" s="181">
        <v>0.3</v>
      </c>
      <c r="D54" s="181">
        <f t="shared" si="3"/>
        <v>2.6999999999999997</v>
      </c>
      <c r="E54" s="1">
        <f t="shared" si="5"/>
        <v>13.499999999999998</v>
      </c>
      <c r="F54" s="33"/>
      <c r="G54" s="33"/>
      <c r="H54" s="33"/>
      <c r="I54" s="33">
        <f>D54*15</f>
        <v>40.499999999999993</v>
      </c>
      <c r="J54" s="33"/>
      <c r="L54" s="33">
        <f t="shared" si="4"/>
        <v>94.499999999999986</v>
      </c>
    </row>
    <row r="55" spans="1:12">
      <c r="A55" s="141"/>
      <c r="B55" s="189" t="s">
        <v>1075</v>
      </c>
      <c r="C55" s="181">
        <v>0.3</v>
      </c>
      <c r="D55" s="181">
        <f t="shared" si="3"/>
        <v>2.6999999999999997</v>
      </c>
      <c r="E55" s="1">
        <f t="shared" si="5"/>
        <v>13.499999999999998</v>
      </c>
      <c r="F55" s="33"/>
      <c r="G55" s="33"/>
      <c r="H55" s="33"/>
      <c r="I55" s="33">
        <f>D55*15</f>
        <v>40.499999999999993</v>
      </c>
      <c r="J55" s="33"/>
      <c r="L55" s="33">
        <f t="shared" si="4"/>
        <v>94.499999999999986</v>
      </c>
    </row>
    <row r="56" spans="1:12">
      <c r="A56" s="141"/>
      <c r="B56" s="189" t="s">
        <v>1076</v>
      </c>
      <c r="C56" s="181">
        <v>0.3</v>
      </c>
      <c r="D56" s="181">
        <f t="shared" si="3"/>
        <v>2.6999999999999997</v>
      </c>
      <c r="E56" s="1">
        <f t="shared" si="5"/>
        <v>13.499999999999998</v>
      </c>
      <c r="F56" s="33"/>
      <c r="G56" s="33"/>
      <c r="H56" s="33"/>
      <c r="I56" s="33">
        <f>D56*15</f>
        <v>40.499999999999993</v>
      </c>
      <c r="J56" s="33"/>
      <c r="L56" s="33">
        <f t="shared" si="4"/>
        <v>94.499999999999986</v>
      </c>
    </row>
    <row r="57" spans="1:12">
      <c r="A57" s="141"/>
      <c r="B57" s="189" t="s">
        <v>1077</v>
      </c>
      <c r="C57" s="181">
        <v>0.3</v>
      </c>
      <c r="D57" s="181">
        <f t="shared" si="3"/>
        <v>2.6999999999999997</v>
      </c>
      <c r="E57" s="1">
        <f t="shared" si="5"/>
        <v>13.499999999999998</v>
      </c>
      <c r="F57" s="33"/>
      <c r="G57" s="33">
        <f>D57*15</f>
        <v>40.499999999999993</v>
      </c>
      <c r="H57" s="33"/>
      <c r="I57" s="33"/>
      <c r="J57" s="33"/>
      <c r="L57" s="33">
        <f t="shared" si="4"/>
        <v>94.499999999999986</v>
      </c>
    </row>
    <row r="58" spans="1:12">
      <c r="A58" s="141"/>
      <c r="B58" s="189" t="s">
        <v>1078</v>
      </c>
      <c r="C58" s="181">
        <v>0.3</v>
      </c>
      <c r="D58" s="181">
        <f t="shared" si="3"/>
        <v>2.6999999999999997</v>
      </c>
      <c r="E58" s="1">
        <f t="shared" si="5"/>
        <v>13.499999999999998</v>
      </c>
      <c r="F58" s="33"/>
      <c r="G58" s="33"/>
      <c r="H58" s="33"/>
      <c r="I58" s="33"/>
      <c r="J58" s="33">
        <f>D58*15</f>
        <v>40.499999999999993</v>
      </c>
      <c r="L58" s="33">
        <f t="shared" si="4"/>
        <v>94.499999999999986</v>
      </c>
    </row>
    <row r="59" spans="1:12">
      <c r="A59" s="141"/>
      <c r="B59" s="189" t="s">
        <v>1079</v>
      </c>
      <c r="C59" s="181">
        <v>0.3</v>
      </c>
      <c r="D59" s="181">
        <f t="shared" si="3"/>
        <v>2.6999999999999997</v>
      </c>
      <c r="E59" s="1">
        <f t="shared" si="5"/>
        <v>13.499999999999998</v>
      </c>
      <c r="F59" s="33"/>
      <c r="G59" s="33"/>
      <c r="H59" s="33"/>
      <c r="I59" s="33">
        <f>D59*15</f>
        <v>40.499999999999993</v>
      </c>
      <c r="J59" s="33"/>
      <c r="L59" s="33">
        <f t="shared" si="4"/>
        <v>94.499999999999986</v>
      </c>
    </row>
    <row r="60" spans="1:12">
      <c r="A60" s="141"/>
      <c r="B60" s="189" t="s">
        <v>1080</v>
      </c>
      <c r="C60" s="181">
        <v>0.3</v>
      </c>
      <c r="D60" s="181">
        <f t="shared" si="3"/>
        <v>2.6999999999999997</v>
      </c>
      <c r="E60" s="1">
        <f t="shared" si="5"/>
        <v>13.499999999999998</v>
      </c>
      <c r="F60" s="33"/>
      <c r="G60" s="33"/>
      <c r="H60" s="33"/>
      <c r="I60" s="33"/>
      <c r="J60" s="33">
        <f>D60*15</f>
        <v>40.499999999999993</v>
      </c>
      <c r="L60" s="33">
        <f t="shared" si="4"/>
        <v>94.499999999999986</v>
      </c>
    </row>
    <row r="61" spans="1:12">
      <c r="A61" s="141"/>
      <c r="B61" s="189" t="s">
        <v>1081</v>
      </c>
      <c r="C61" s="181">
        <v>0.3</v>
      </c>
      <c r="D61" s="181">
        <f t="shared" si="3"/>
        <v>2.6999999999999997</v>
      </c>
      <c r="E61" s="1">
        <f t="shared" si="5"/>
        <v>13.499999999999998</v>
      </c>
      <c r="F61" s="33">
        <f>D61*15</f>
        <v>40.499999999999993</v>
      </c>
      <c r="G61" s="33"/>
      <c r="H61" s="33"/>
      <c r="I61" s="33"/>
      <c r="J61" s="33">
        <f>D61*15</f>
        <v>40.499999999999993</v>
      </c>
      <c r="L61" s="33">
        <f t="shared" si="4"/>
        <v>94.499999999999986</v>
      </c>
    </row>
    <row r="62" spans="1:12">
      <c r="A62" s="141"/>
      <c r="B62" s="189" t="s">
        <v>1082</v>
      </c>
      <c r="C62" s="181">
        <v>0.3</v>
      </c>
      <c r="D62" s="181">
        <f t="shared" si="3"/>
        <v>2.6999999999999997</v>
      </c>
      <c r="E62" s="1">
        <f t="shared" si="5"/>
        <v>13.499999999999998</v>
      </c>
      <c r="F62" s="33">
        <f>D62*15</f>
        <v>40.499999999999993</v>
      </c>
      <c r="G62" s="33"/>
      <c r="H62" s="33"/>
      <c r="I62" s="33"/>
      <c r="J62" s="33"/>
      <c r="L62" s="33">
        <f t="shared" si="4"/>
        <v>94.499999999999986</v>
      </c>
    </row>
    <row r="63" spans="1:12">
      <c r="A63" s="141"/>
      <c r="B63" s="189" t="s">
        <v>1083</v>
      </c>
      <c r="C63" s="181">
        <v>0.3</v>
      </c>
      <c r="D63" s="181">
        <f t="shared" si="3"/>
        <v>2.6999999999999997</v>
      </c>
      <c r="E63" s="1">
        <f t="shared" si="5"/>
        <v>13.499999999999998</v>
      </c>
      <c r="F63" s="33">
        <f>D63*15</f>
        <v>40.499999999999993</v>
      </c>
      <c r="G63" s="33"/>
      <c r="H63" s="33"/>
      <c r="I63" s="33"/>
      <c r="J63" s="33"/>
      <c r="L63" s="33">
        <f t="shared" si="4"/>
        <v>94.499999999999986</v>
      </c>
    </row>
    <row r="64" spans="1:12">
      <c r="A64" s="141"/>
      <c r="B64" s="189" t="s">
        <v>1084</v>
      </c>
      <c r="C64" s="181">
        <v>0.3</v>
      </c>
      <c r="D64" s="181">
        <f t="shared" si="3"/>
        <v>2.6999999999999997</v>
      </c>
      <c r="E64" s="1">
        <f t="shared" si="5"/>
        <v>13.499999999999998</v>
      </c>
      <c r="F64" s="33"/>
      <c r="G64" s="33">
        <f>D64*15</f>
        <v>40.499999999999993</v>
      </c>
      <c r="H64" s="33"/>
      <c r="I64" s="33"/>
      <c r="J64" s="33"/>
      <c r="L64" s="33">
        <f t="shared" si="4"/>
        <v>94.499999999999986</v>
      </c>
    </row>
    <row r="65" spans="1:20">
      <c r="A65" s="141"/>
      <c r="B65" s="189" t="s">
        <v>1085</v>
      </c>
      <c r="C65" s="181">
        <v>0.3</v>
      </c>
      <c r="D65" s="181">
        <f t="shared" si="3"/>
        <v>2.6999999999999997</v>
      </c>
      <c r="E65" s="1">
        <f t="shared" si="5"/>
        <v>13.499999999999998</v>
      </c>
      <c r="F65" s="33"/>
      <c r="G65" s="33">
        <f>D65*15</f>
        <v>40.499999999999993</v>
      </c>
      <c r="H65" s="33"/>
      <c r="I65" s="33"/>
      <c r="J65" s="33"/>
      <c r="L65" s="33">
        <f t="shared" si="4"/>
        <v>94.499999999999986</v>
      </c>
    </row>
    <row r="66" spans="1:20">
      <c r="A66" s="141"/>
      <c r="B66" s="189" t="s">
        <v>1086</v>
      </c>
      <c r="C66" s="181">
        <v>0.3</v>
      </c>
      <c r="D66" s="181">
        <f t="shared" si="3"/>
        <v>2.6999999999999997</v>
      </c>
      <c r="E66" s="1">
        <f t="shared" si="5"/>
        <v>13.499999999999998</v>
      </c>
      <c r="F66" s="33"/>
      <c r="G66" s="33"/>
      <c r="H66" s="33"/>
      <c r="I66" s="33"/>
      <c r="J66" s="33"/>
      <c r="L66" s="33">
        <f t="shared" si="4"/>
        <v>94.499999999999986</v>
      </c>
    </row>
    <row r="67" spans="1:20">
      <c r="A67" s="141"/>
      <c r="B67" s="189" t="s">
        <v>1087</v>
      </c>
      <c r="C67" s="181">
        <v>0.3</v>
      </c>
      <c r="D67" s="181">
        <f t="shared" si="3"/>
        <v>2.6999999999999997</v>
      </c>
      <c r="E67" s="1">
        <f t="shared" si="5"/>
        <v>13.499999999999998</v>
      </c>
      <c r="F67" s="33"/>
      <c r="G67" s="33"/>
      <c r="H67" s="33"/>
      <c r="I67" s="33">
        <f>D67*15</f>
        <v>40.499999999999993</v>
      </c>
      <c r="J67" s="33"/>
      <c r="L67" s="33">
        <f t="shared" si="4"/>
        <v>94.499999999999986</v>
      </c>
    </row>
    <row r="68" spans="1:20">
      <c r="A68" s="141"/>
      <c r="B68" s="189" t="s">
        <v>1088</v>
      </c>
      <c r="C68" s="181">
        <v>0.3</v>
      </c>
      <c r="D68" s="181">
        <f t="shared" si="3"/>
        <v>2.6999999999999997</v>
      </c>
      <c r="E68" s="1">
        <f t="shared" si="5"/>
        <v>13.499999999999998</v>
      </c>
      <c r="F68" s="33"/>
      <c r="G68" s="33"/>
      <c r="H68" s="33"/>
      <c r="I68" s="33">
        <f>D68*15</f>
        <v>40.499999999999993</v>
      </c>
      <c r="J68" s="33"/>
      <c r="L68" s="33">
        <f t="shared" si="4"/>
        <v>94.499999999999986</v>
      </c>
    </row>
    <row r="69" spans="1:20">
      <c r="A69" s="141"/>
      <c r="B69" s="189" t="s">
        <v>1089</v>
      </c>
      <c r="C69" s="181">
        <v>0.4</v>
      </c>
      <c r="D69" s="181">
        <f t="shared" si="3"/>
        <v>3.6</v>
      </c>
      <c r="E69" s="1">
        <f t="shared" si="5"/>
        <v>18</v>
      </c>
      <c r="F69" s="33"/>
      <c r="G69" s="33"/>
      <c r="H69" s="33"/>
      <c r="I69" s="33">
        <f>D69*15</f>
        <v>54</v>
      </c>
      <c r="J69" s="33"/>
      <c r="L69" s="33">
        <f t="shared" si="4"/>
        <v>126</v>
      </c>
    </row>
    <row r="70" spans="1:20">
      <c r="A70" s="141"/>
      <c r="B70" s="189" t="s">
        <v>1090</v>
      </c>
      <c r="C70" s="181">
        <v>0.4</v>
      </c>
      <c r="D70" s="181">
        <f t="shared" si="3"/>
        <v>3.6</v>
      </c>
      <c r="E70" s="1">
        <f t="shared" si="5"/>
        <v>18</v>
      </c>
      <c r="F70" s="33"/>
      <c r="G70" s="33"/>
      <c r="H70" s="33"/>
      <c r="I70" s="33"/>
      <c r="J70" s="33">
        <f>D70*15</f>
        <v>54</v>
      </c>
      <c r="L70" s="33">
        <f t="shared" si="4"/>
        <v>126</v>
      </c>
    </row>
    <row r="71" spans="1:20">
      <c r="A71" s="141"/>
      <c r="B71" s="189" t="s">
        <v>1091</v>
      </c>
      <c r="C71" s="181">
        <v>0.4</v>
      </c>
      <c r="D71" s="181">
        <f t="shared" si="3"/>
        <v>3.6</v>
      </c>
      <c r="E71" s="1">
        <f t="shared" si="5"/>
        <v>18</v>
      </c>
      <c r="F71" s="33"/>
      <c r="G71" s="33"/>
      <c r="H71" s="33"/>
      <c r="I71" s="33"/>
      <c r="J71" s="33">
        <f>D71*15</f>
        <v>54</v>
      </c>
      <c r="L71" s="33">
        <f t="shared" si="4"/>
        <v>126</v>
      </c>
    </row>
    <row r="72" spans="1:20">
      <c r="A72" s="141"/>
      <c r="B72" s="189" t="s">
        <v>1092</v>
      </c>
      <c r="C72" s="181">
        <v>0.5</v>
      </c>
      <c r="D72" s="181">
        <f t="shared" si="3"/>
        <v>4.5</v>
      </c>
      <c r="E72" s="1">
        <f t="shared" si="5"/>
        <v>22.5</v>
      </c>
      <c r="F72" s="33"/>
      <c r="G72" s="33"/>
      <c r="H72" s="33">
        <f t="shared" ref="H72:H77" si="6">D72*15</f>
        <v>67.5</v>
      </c>
      <c r="I72" s="33"/>
      <c r="J72" s="33"/>
      <c r="L72" s="33">
        <f t="shared" si="4"/>
        <v>157.5</v>
      </c>
    </row>
    <row r="73" spans="1:20">
      <c r="A73" s="141"/>
      <c r="B73" s="189" t="s">
        <v>1093</v>
      </c>
      <c r="C73" s="181">
        <v>0.5</v>
      </c>
      <c r="D73" s="181">
        <f t="shared" si="3"/>
        <v>4.5</v>
      </c>
      <c r="E73" s="1">
        <f t="shared" si="5"/>
        <v>22.5</v>
      </c>
      <c r="F73" s="33"/>
      <c r="G73" s="33"/>
      <c r="H73" s="33">
        <f t="shared" si="6"/>
        <v>67.5</v>
      </c>
      <c r="I73" s="33"/>
      <c r="J73" s="33"/>
      <c r="L73" s="33">
        <f t="shared" si="4"/>
        <v>157.5</v>
      </c>
    </row>
    <row r="74" spans="1:20">
      <c r="A74" s="141"/>
      <c r="B74" s="189" t="s">
        <v>1094</v>
      </c>
      <c r="C74" s="181">
        <v>0.5</v>
      </c>
      <c r="D74" s="181">
        <f t="shared" si="3"/>
        <v>4.5</v>
      </c>
      <c r="E74" s="1">
        <f t="shared" si="5"/>
        <v>22.5</v>
      </c>
      <c r="F74" s="33"/>
      <c r="G74" s="33"/>
      <c r="H74" s="33">
        <f t="shared" si="6"/>
        <v>67.5</v>
      </c>
      <c r="I74" s="33"/>
      <c r="J74" s="33"/>
      <c r="L74" s="33">
        <f t="shared" si="4"/>
        <v>157.5</v>
      </c>
    </row>
    <row r="75" spans="1:20">
      <c r="A75" s="141"/>
      <c r="B75" s="189" t="s">
        <v>1095</v>
      </c>
      <c r="C75" s="181">
        <v>0.5</v>
      </c>
      <c r="D75" s="181">
        <f t="shared" si="3"/>
        <v>4.5</v>
      </c>
      <c r="E75" s="1">
        <f t="shared" si="5"/>
        <v>22.5</v>
      </c>
      <c r="F75" s="33"/>
      <c r="G75" s="33"/>
      <c r="H75" s="33">
        <f t="shared" si="6"/>
        <v>67.5</v>
      </c>
      <c r="I75" s="33"/>
      <c r="J75" s="33"/>
      <c r="L75" s="33">
        <f t="shared" si="4"/>
        <v>157.5</v>
      </c>
    </row>
    <row r="76" spans="1:20">
      <c r="A76" s="141"/>
      <c r="B76" s="189" t="s">
        <v>1096</v>
      </c>
      <c r="C76" s="181">
        <v>0.5</v>
      </c>
      <c r="D76" s="181">
        <f t="shared" si="3"/>
        <v>4.5</v>
      </c>
      <c r="E76" s="1">
        <f t="shared" si="5"/>
        <v>22.5</v>
      </c>
      <c r="F76" s="33"/>
      <c r="G76" s="33"/>
      <c r="H76" s="33">
        <f t="shared" si="6"/>
        <v>67.5</v>
      </c>
      <c r="I76" s="33"/>
      <c r="J76" s="33"/>
      <c r="L76" s="33">
        <f t="shared" si="4"/>
        <v>157.5</v>
      </c>
    </row>
    <row r="77" spans="1:20">
      <c r="A77" s="141"/>
      <c r="B77" s="189" t="s">
        <v>1097</v>
      </c>
      <c r="C77" s="181">
        <v>0.5</v>
      </c>
      <c r="D77" s="181">
        <f t="shared" si="3"/>
        <v>4.5</v>
      </c>
      <c r="E77" s="1">
        <f t="shared" si="5"/>
        <v>22.5</v>
      </c>
      <c r="F77" s="33"/>
      <c r="G77" s="33"/>
      <c r="H77" s="33">
        <f t="shared" si="6"/>
        <v>67.5</v>
      </c>
      <c r="I77" s="33"/>
      <c r="J77" s="33"/>
      <c r="L77" s="33">
        <f t="shared" si="4"/>
        <v>157.5</v>
      </c>
    </row>
    <row r="78" spans="1:20">
      <c r="A78" s="118" t="s">
        <v>199</v>
      </c>
      <c r="B78" s="57"/>
      <c r="C78" s="11">
        <f t="shared" ref="C78:J78" si="7">SUM(C4:C77)</f>
        <v>27.700000000000017</v>
      </c>
      <c r="D78" s="11">
        <f t="shared" si="7"/>
        <v>249.29999999999976</v>
      </c>
      <c r="E78" s="59">
        <f t="shared" si="7"/>
        <v>1246.5</v>
      </c>
      <c r="F78" s="59">
        <f t="shared" si="7"/>
        <v>580.5</v>
      </c>
      <c r="G78" s="59">
        <f t="shared" si="7"/>
        <v>728.99999999999989</v>
      </c>
      <c r="H78" s="59">
        <f t="shared" si="7"/>
        <v>985.5</v>
      </c>
      <c r="I78" s="59">
        <f t="shared" si="7"/>
        <v>742.5</v>
      </c>
      <c r="J78" s="59">
        <f t="shared" si="7"/>
        <v>702</v>
      </c>
      <c r="K78" s="59">
        <f>SUM(E78:J78)</f>
        <v>4986</v>
      </c>
      <c r="L78" s="60">
        <f>SUM(L4:L77)</f>
        <v>8725.5</v>
      </c>
      <c r="M78" s="39"/>
      <c r="N78" s="29" t="s">
        <v>2</v>
      </c>
      <c r="O78" s="16" t="s">
        <v>1</v>
      </c>
    </row>
    <row r="79" spans="1:20">
      <c r="E79" s="7">
        <f>E78*44.5</f>
        <v>55469.25</v>
      </c>
      <c r="F79" s="7">
        <f t="shared" ref="F79:L79" si="8">F78*44.5</f>
        <v>25832.25</v>
      </c>
      <c r="G79" s="7">
        <f t="shared" si="8"/>
        <v>32440.499999999996</v>
      </c>
      <c r="H79" s="7">
        <f t="shared" si="8"/>
        <v>43854.75</v>
      </c>
      <c r="I79" s="7">
        <f t="shared" si="8"/>
        <v>33041.25</v>
      </c>
      <c r="J79" s="7">
        <f t="shared" si="8"/>
        <v>31239</v>
      </c>
      <c r="K79" s="7">
        <f t="shared" si="8"/>
        <v>221877</v>
      </c>
      <c r="L79" s="7">
        <f t="shared" si="8"/>
        <v>388284.75</v>
      </c>
      <c r="M79" s="5" t="s">
        <v>4</v>
      </c>
      <c r="N79" s="7">
        <f t="shared" ref="N79:N81" si="9">O79*44.6</f>
        <v>389157.3</v>
      </c>
      <c r="O79" s="8">
        <f>L78</f>
        <v>8725.5</v>
      </c>
      <c r="T79" s="4"/>
    </row>
    <row r="80" spans="1:20">
      <c r="G80" s="33"/>
      <c r="H80" s="123"/>
      <c r="I80" s="123"/>
      <c r="J80" s="199"/>
      <c r="M80" s="5" t="s">
        <v>3</v>
      </c>
      <c r="N80" s="7">
        <f t="shared" si="9"/>
        <v>369699.43500000006</v>
      </c>
      <c r="O80" s="8">
        <f>O79-O79*0.05</f>
        <v>8289.2250000000004</v>
      </c>
    </row>
    <row r="81" spans="2:15">
      <c r="B81" s="1"/>
      <c r="E81" s="21"/>
      <c r="G81" s="33"/>
      <c r="M81" s="5" t="s">
        <v>5</v>
      </c>
      <c r="N81" s="7">
        <f t="shared" si="9"/>
        <v>222375.6</v>
      </c>
      <c r="O81" s="8">
        <f>K78</f>
        <v>4986</v>
      </c>
    </row>
    <row r="82" spans="2:15">
      <c r="B82" s="1"/>
      <c r="M82" s="37" t="s">
        <v>18</v>
      </c>
      <c r="N82" s="7">
        <f>O82*44.6</f>
        <v>147323.83500000002</v>
      </c>
      <c r="O82" s="8">
        <f>O80-O81</f>
        <v>3303.2250000000004</v>
      </c>
    </row>
    <row r="83" spans="2:15">
      <c r="B83" s="1"/>
      <c r="I83" s="198"/>
    </row>
    <row r="84" spans="2:15">
      <c r="B84" s="169"/>
      <c r="C84" s="166"/>
      <c r="D84" s="176"/>
      <c r="I84" s="169"/>
      <c r="J84" s="169"/>
      <c r="K84" s="166"/>
      <c r="L84" s="176"/>
    </row>
    <row r="85" spans="2:15">
      <c r="B85" s="169"/>
      <c r="C85" s="166"/>
      <c r="D85" s="176"/>
      <c r="I85" s="144"/>
      <c r="J85" s="144"/>
      <c r="K85" s="166"/>
      <c r="L85" s="176"/>
    </row>
    <row r="86" spans="2:15">
      <c r="B86" s="169"/>
      <c r="C86" s="171"/>
      <c r="D86" s="176"/>
      <c r="G86" s="192"/>
      <c r="I86" s="167"/>
      <c r="J86" s="167"/>
      <c r="K86" s="166"/>
      <c r="L86" s="176"/>
    </row>
    <row r="87" spans="2:15">
      <c r="B87" s="169"/>
      <c r="C87" s="192"/>
      <c r="D87" s="192"/>
      <c r="E87" s="192"/>
      <c r="F87" s="192"/>
      <c r="G87" s="192"/>
      <c r="I87" s="169"/>
      <c r="J87" s="169"/>
      <c r="K87" s="166"/>
      <c r="L87" s="176"/>
    </row>
    <row r="88" spans="2:15">
      <c r="B88" s="176"/>
      <c r="C88" s="191"/>
      <c r="D88" s="191"/>
      <c r="E88" s="191"/>
      <c r="G88" s="192"/>
      <c r="I88" s="169"/>
      <c r="J88" s="169"/>
      <c r="K88" s="166"/>
      <c r="L88" s="176"/>
    </row>
    <row r="89" spans="2:15">
      <c r="B89" s="169"/>
      <c r="C89" s="191"/>
      <c r="D89" s="191"/>
      <c r="E89" s="191"/>
      <c r="G89" s="192"/>
      <c r="I89" s="169"/>
      <c r="J89" s="169"/>
      <c r="K89" s="166"/>
      <c r="L89" s="176"/>
    </row>
    <row r="90" spans="2:15">
      <c r="B90" s="169"/>
      <c r="C90" s="192"/>
      <c r="D90" s="192"/>
      <c r="E90" s="192"/>
      <c r="F90" s="192"/>
      <c r="G90" s="192"/>
      <c r="I90" s="169"/>
      <c r="J90" s="169"/>
      <c r="K90" s="166"/>
      <c r="L90" s="176"/>
    </row>
    <row r="91" spans="2:15">
      <c r="B91" s="176"/>
      <c r="C91" s="191"/>
      <c r="D91" s="191"/>
      <c r="E91" s="191"/>
      <c r="G91" s="192"/>
      <c r="I91" s="169"/>
      <c r="J91" s="169"/>
      <c r="K91" s="171"/>
      <c r="L91" s="176"/>
    </row>
    <row r="92" spans="2:15">
      <c r="C92" s="191"/>
      <c r="D92" s="191"/>
      <c r="E92" s="191"/>
      <c r="G92" s="192"/>
      <c r="I92" s="169"/>
      <c r="J92" s="169"/>
      <c r="K92" s="171"/>
      <c r="L92" s="176"/>
    </row>
    <row r="93" spans="2:15">
      <c r="B93" s="169"/>
      <c r="C93" s="192"/>
      <c r="D93" s="192"/>
      <c r="E93" s="192"/>
      <c r="F93" s="192"/>
      <c r="G93" s="192"/>
      <c r="I93" s="169"/>
      <c r="J93" s="169"/>
      <c r="K93" s="171"/>
      <c r="L93" s="176"/>
    </row>
    <row r="94" spans="2:15">
      <c r="B94" s="176"/>
      <c r="C94" s="191"/>
      <c r="D94" s="191"/>
      <c r="E94" s="191"/>
      <c r="G94" s="192"/>
      <c r="H94" s="21"/>
      <c r="I94" s="169"/>
      <c r="J94" s="169"/>
      <c r="K94" s="166"/>
      <c r="L94" s="176"/>
    </row>
    <row r="95" spans="2:15">
      <c r="C95" s="191"/>
      <c r="D95" s="191"/>
      <c r="E95" s="191"/>
      <c r="G95" s="192"/>
    </row>
    <row r="96" spans="2:15">
      <c r="B96" s="169"/>
      <c r="C96" s="192"/>
      <c r="D96" s="192"/>
      <c r="E96" s="192"/>
      <c r="F96" s="192"/>
      <c r="G96" s="192"/>
    </row>
    <row r="97" spans="2:7">
      <c r="B97" s="176"/>
      <c r="C97" s="191"/>
      <c r="D97" s="191"/>
      <c r="E97" s="191"/>
      <c r="G97" s="192"/>
    </row>
    <row r="98" spans="2:7">
      <c r="C98" s="191"/>
      <c r="D98" s="191"/>
      <c r="E98" s="191"/>
      <c r="G98" s="192"/>
    </row>
    <row r="99" spans="2:7">
      <c r="B99" s="169"/>
      <c r="C99" s="192"/>
      <c r="D99" s="192"/>
      <c r="E99" s="192"/>
      <c r="F99" s="192"/>
      <c r="G99" s="192"/>
    </row>
    <row r="100" spans="2:7">
      <c r="B100" s="176"/>
      <c r="C100" s="191"/>
      <c r="D100" s="191"/>
      <c r="E100" s="191"/>
      <c r="G100" s="192"/>
    </row>
    <row r="101" spans="2:7">
      <c r="C101" s="191"/>
      <c r="D101" s="191"/>
      <c r="E101" s="191"/>
      <c r="G101" s="192"/>
    </row>
    <row r="102" spans="2:7">
      <c r="C102" s="191"/>
      <c r="D102" s="191"/>
      <c r="E102" s="191"/>
      <c r="G102" s="192"/>
    </row>
    <row r="103" spans="2:7">
      <c r="G103" s="192"/>
    </row>
    <row r="104" spans="2:7">
      <c r="G104" s="192"/>
    </row>
    <row r="105" spans="2:7">
      <c r="G105" s="192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AD2-E715-BC46-B202-9BB51E7CFFF6}">
  <dimension ref="A1:T88"/>
  <sheetViews>
    <sheetView zoomScale="98" zoomScaleNormal="98" workbookViewId="0">
      <pane ySplit="2" topLeftCell="A6" activePane="bottomLeft" state="frozen"/>
      <selection pane="bottomLeft" activeCell="J62" sqref="J62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10" width="10.83203125" style="1"/>
    <col min="11" max="11" width="11.1640625" style="1" customWidth="1"/>
    <col min="12" max="12" width="13.1640625" style="1" customWidth="1"/>
    <col min="13" max="13" width="12.5" style="1" bestFit="1" customWidth="1"/>
    <col min="14" max="14" width="12" style="1" customWidth="1"/>
    <col min="15" max="15" width="11.1640625" style="1" customWidth="1"/>
    <col min="16" max="16" width="12.5" style="1" bestFit="1" customWidth="1"/>
    <col min="17" max="17" width="13" style="1" customWidth="1"/>
    <col min="18" max="16384" width="10.83203125" style="1"/>
  </cols>
  <sheetData>
    <row r="1" spans="1:17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7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81" t="s">
        <v>758</v>
      </c>
      <c r="J2" s="181" t="s">
        <v>759</v>
      </c>
    </row>
    <row r="3" spans="1:17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31" t="s">
        <v>16</v>
      </c>
      <c r="L3" s="39" t="s">
        <v>18</v>
      </c>
    </row>
    <row r="4" spans="1:17">
      <c r="A4" s="141"/>
      <c r="B4" s="185" t="s">
        <v>1003</v>
      </c>
      <c r="C4" s="181">
        <v>0.5</v>
      </c>
      <c r="D4" s="181">
        <f t="shared" ref="D4:D26" si="0">C4*9</f>
        <v>4.5</v>
      </c>
      <c r="E4" s="1">
        <f>D4*5</f>
        <v>22.5</v>
      </c>
      <c r="F4" s="33">
        <f>D4*15</f>
        <v>67.5</v>
      </c>
      <c r="G4" s="33"/>
      <c r="H4" s="33"/>
      <c r="I4" s="33"/>
      <c r="J4" s="33"/>
      <c r="L4" s="33">
        <f>D4*35</f>
        <v>157.5</v>
      </c>
      <c r="Q4" s="33"/>
    </row>
    <row r="5" spans="1:17">
      <c r="A5" s="141"/>
      <c r="B5" s="185" t="s">
        <v>1004</v>
      </c>
      <c r="C5" s="181">
        <v>2</v>
      </c>
      <c r="D5" s="181">
        <f t="shared" si="0"/>
        <v>18</v>
      </c>
      <c r="E5" s="1">
        <f t="shared" ref="E5:E26" si="1">D5*5</f>
        <v>90</v>
      </c>
      <c r="G5" s="33"/>
      <c r="H5" s="33"/>
      <c r="I5" s="33">
        <f>D5*15</f>
        <v>270</v>
      </c>
      <c r="J5" s="33"/>
      <c r="L5" s="33">
        <f t="shared" ref="L5:L26" si="2">D5*35</f>
        <v>630</v>
      </c>
      <c r="Q5" s="33"/>
    </row>
    <row r="6" spans="1:17">
      <c r="A6" s="141"/>
      <c r="B6" s="185" t="s">
        <v>1005</v>
      </c>
      <c r="C6" s="181">
        <v>0.5</v>
      </c>
      <c r="D6" s="181">
        <f t="shared" si="0"/>
        <v>4.5</v>
      </c>
      <c r="E6" s="1">
        <f t="shared" si="1"/>
        <v>22.5</v>
      </c>
      <c r="F6" s="33"/>
      <c r="G6" s="33">
        <f>D6*15</f>
        <v>67.5</v>
      </c>
      <c r="H6" s="33"/>
      <c r="I6" s="33"/>
      <c r="J6" s="33"/>
      <c r="L6" s="33">
        <f t="shared" si="2"/>
        <v>157.5</v>
      </c>
      <c r="Q6" s="33"/>
    </row>
    <row r="7" spans="1:17">
      <c r="A7" s="141"/>
      <c r="B7" s="185" t="s">
        <v>1006</v>
      </c>
      <c r="C7" s="181">
        <v>0.5</v>
      </c>
      <c r="D7" s="181">
        <f t="shared" si="0"/>
        <v>4.5</v>
      </c>
      <c r="E7" s="1">
        <f t="shared" si="1"/>
        <v>22.5</v>
      </c>
      <c r="F7" s="33">
        <f>D7*15</f>
        <v>67.5</v>
      </c>
      <c r="G7" s="33"/>
      <c r="H7" s="33"/>
      <c r="I7" s="33"/>
      <c r="J7" s="33"/>
      <c r="L7" s="33">
        <f t="shared" si="2"/>
        <v>157.5</v>
      </c>
      <c r="Q7" s="33"/>
    </row>
    <row r="8" spans="1:17">
      <c r="A8" s="141"/>
      <c r="B8" s="185" t="s">
        <v>1007</v>
      </c>
      <c r="C8" s="181">
        <v>0.5</v>
      </c>
      <c r="D8" s="181">
        <f t="shared" si="0"/>
        <v>4.5</v>
      </c>
      <c r="E8" s="1">
        <f t="shared" si="1"/>
        <v>22.5</v>
      </c>
      <c r="F8" s="33"/>
      <c r="G8" s="33"/>
      <c r="H8" s="33">
        <f>D8*15</f>
        <v>67.5</v>
      </c>
      <c r="I8" s="33"/>
      <c r="J8" s="33"/>
      <c r="L8" s="33">
        <f t="shared" si="2"/>
        <v>157.5</v>
      </c>
      <c r="Q8" s="33"/>
    </row>
    <row r="9" spans="1:17">
      <c r="A9" s="141"/>
      <c r="B9" s="185" t="s">
        <v>1008</v>
      </c>
      <c r="C9" s="181">
        <v>0.5</v>
      </c>
      <c r="D9" s="181">
        <f t="shared" si="0"/>
        <v>4.5</v>
      </c>
      <c r="E9" s="1">
        <f t="shared" si="1"/>
        <v>22.5</v>
      </c>
      <c r="F9" s="33"/>
      <c r="G9" s="33"/>
      <c r="H9" s="33"/>
      <c r="I9" s="33">
        <f>D9*15</f>
        <v>67.5</v>
      </c>
      <c r="J9" s="33"/>
      <c r="L9" s="33">
        <f t="shared" si="2"/>
        <v>157.5</v>
      </c>
      <c r="Q9" s="33"/>
    </row>
    <row r="10" spans="1:17">
      <c r="A10" s="141"/>
      <c r="B10" s="185" t="s">
        <v>1009</v>
      </c>
      <c r="C10" s="181">
        <v>1</v>
      </c>
      <c r="D10" s="181">
        <f t="shared" si="0"/>
        <v>9</v>
      </c>
      <c r="E10" s="1">
        <f t="shared" si="1"/>
        <v>45</v>
      </c>
      <c r="F10" s="33"/>
      <c r="G10" s="33"/>
      <c r="H10" s="33"/>
      <c r="I10" s="33">
        <f>D10*15</f>
        <v>135</v>
      </c>
      <c r="J10" s="33"/>
      <c r="L10" s="33">
        <f t="shared" si="2"/>
        <v>315</v>
      </c>
      <c r="Q10" s="33"/>
    </row>
    <row r="11" spans="1:17">
      <c r="A11" s="141"/>
      <c r="B11" s="185" t="s">
        <v>1010</v>
      </c>
      <c r="C11" s="181">
        <v>0.3</v>
      </c>
      <c r="D11" s="181">
        <f t="shared" si="0"/>
        <v>2.6999999999999997</v>
      </c>
      <c r="E11" s="1">
        <f t="shared" si="1"/>
        <v>13.499999999999998</v>
      </c>
      <c r="F11" s="33"/>
      <c r="G11" s="33">
        <f>D11*15</f>
        <v>40.499999999999993</v>
      </c>
      <c r="H11" s="33"/>
      <c r="I11" s="33"/>
      <c r="J11" s="33"/>
      <c r="L11" s="33">
        <f t="shared" si="2"/>
        <v>94.499999999999986</v>
      </c>
      <c r="Q11" s="33"/>
    </row>
    <row r="12" spans="1:17">
      <c r="A12" s="141"/>
      <c r="B12" s="185" t="s">
        <v>1011</v>
      </c>
      <c r="C12" s="181">
        <v>2.5</v>
      </c>
      <c r="D12" s="181">
        <f t="shared" si="0"/>
        <v>22.5</v>
      </c>
      <c r="E12" s="1">
        <f t="shared" si="1"/>
        <v>112.5</v>
      </c>
      <c r="F12" s="33"/>
      <c r="G12" s="33"/>
      <c r="H12" s="33"/>
      <c r="I12" s="33">
        <f>D12*15</f>
        <v>337.5</v>
      </c>
      <c r="J12" s="33"/>
      <c r="L12" s="33">
        <f t="shared" si="2"/>
        <v>787.5</v>
      </c>
      <c r="Q12" s="33"/>
    </row>
    <row r="13" spans="1:17">
      <c r="A13" s="141"/>
      <c r="B13" s="185" t="s">
        <v>1012</v>
      </c>
      <c r="C13" s="181">
        <v>2.5</v>
      </c>
      <c r="D13" s="181">
        <f t="shared" si="0"/>
        <v>22.5</v>
      </c>
      <c r="E13" s="1">
        <f t="shared" si="1"/>
        <v>112.5</v>
      </c>
      <c r="F13" s="33">
        <f>D13*15</f>
        <v>337.5</v>
      </c>
      <c r="G13" s="33"/>
      <c r="H13" s="33"/>
      <c r="I13" s="33"/>
      <c r="J13" s="33"/>
      <c r="L13" s="33">
        <f t="shared" si="2"/>
        <v>787.5</v>
      </c>
      <c r="Q13" s="33"/>
    </row>
    <row r="14" spans="1:17">
      <c r="A14" s="141"/>
      <c r="B14" s="185" t="s">
        <v>1013</v>
      </c>
      <c r="C14" s="181">
        <v>0.5</v>
      </c>
      <c r="D14" s="181">
        <f t="shared" si="0"/>
        <v>4.5</v>
      </c>
      <c r="E14" s="1">
        <f t="shared" si="1"/>
        <v>22.5</v>
      </c>
      <c r="F14" s="33"/>
      <c r="G14" s="33">
        <f>D14*15</f>
        <v>67.5</v>
      </c>
      <c r="H14" s="33"/>
      <c r="I14" s="33"/>
      <c r="J14" s="33"/>
      <c r="L14" s="33">
        <f t="shared" si="2"/>
        <v>157.5</v>
      </c>
      <c r="Q14" s="33"/>
    </row>
    <row r="15" spans="1:17">
      <c r="A15" s="141"/>
      <c r="B15" s="185" t="s">
        <v>1014</v>
      </c>
      <c r="C15" s="181">
        <v>0.5</v>
      </c>
      <c r="D15" s="181">
        <f t="shared" si="0"/>
        <v>4.5</v>
      </c>
      <c r="E15" s="1">
        <f t="shared" si="1"/>
        <v>22.5</v>
      </c>
      <c r="F15" s="33"/>
      <c r="G15" s="33">
        <f>D15*15</f>
        <v>67.5</v>
      </c>
      <c r="H15" s="33"/>
      <c r="I15" s="33"/>
      <c r="J15" s="33"/>
      <c r="L15" s="33">
        <f t="shared" si="2"/>
        <v>157.5</v>
      </c>
      <c r="Q15" s="33"/>
    </row>
    <row r="16" spans="1:17">
      <c r="A16" s="141"/>
      <c r="B16" s="185" t="s">
        <v>1015</v>
      </c>
      <c r="C16" s="181">
        <v>0.5</v>
      </c>
      <c r="D16" s="181">
        <f t="shared" si="0"/>
        <v>4.5</v>
      </c>
      <c r="E16" s="1">
        <f t="shared" si="1"/>
        <v>22.5</v>
      </c>
      <c r="F16" s="33">
        <f>D16*15</f>
        <v>67.5</v>
      </c>
      <c r="G16" s="33"/>
      <c r="H16" s="33"/>
      <c r="I16" s="33"/>
      <c r="J16" s="33"/>
      <c r="L16" s="33">
        <f t="shared" si="2"/>
        <v>157.5</v>
      </c>
      <c r="Q16" s="33"/>
    </row>
    <row r="17" spans="1:17">
      <c r="A17" s="141"/>
      <c r="B17" s="185" t="s">
        <v>1016</v>
      </c>
      <c r="C17" s="181">
        <v>0.5</v>
      </c>
      <c r="D17" s="181">
        <f t="shared" si="0"/>
        <v>4.5</v>
      </c>
      <c r="E17" s="1">
        <f t="shared" si="1"/>
        <v>22.5</v>
      </c>
      <c r="F17" s="33"/>
      <c r="G17" s="33">
        <f>D17*15</f>
        <v>67.5</v>
      </c>
      <c r="H17" s="33"/>
      <c r="I17" s="33"/>
      <c r="J17" s="33"/>
      <c r="L17" s="33">
        <f t="shared" si="2"/>
        <v>157.5</v>
      </c>
      <c r="Q17" s="33"/>
    </row>
    <row r="18" spans="1:17">
      <c r="A18" s="187"/>
      <c r="B18" s="197" t="s">
        <v>1017</v>
      </c>
      <c r="C18" s="181">
        <v>0.5</v>
      </c>
      <c r="D18" s="181">
        <f t="shared" si="0"/>
        <v>4.5</v>
      </c>
      <c r="F18" s="33">
        <f>D18*15</f>
        <v>67.5</v>
      </c>
      <c r="G18" s="33"/>
      <c r="H18" s="33"/>
      <c r="I18" s="33"/>
      <c r="J18" s="33"/>
      <c r="L18" s="33">
        <f t="shared" si="2"/>
        <v>157.5</v>
      </c>
      <c r="Q18" s="33"/>
    </row>
    <row r="19" spans="1:17">
      <c r="A19" s="141"/>
      <c r="B19" s="197" t="s">
        <v>1018</v>
      </c>
      <c r="C19" s="181">
        <v>2.5</v>
      </c>
      <c r="D19" s="181">
        <f t="shared" si="0"/>
        <v>22.5</v>
      </c>
      <c r="F19" s="33"/>
      <c r="G19" s="33"/>
      <c r="H19" s="33">
        <f>D19*15</f>
        <v>337.5</v>
      </c>
      <c r="I19" s="33"/>
      <c r="J19" s="33"/>
      <c r="L19" s="33">
        <f t="shared" si="2"/>
        <v>787.5</v>
      </c>
      <c r="Q19" s="33"/>
    </row>
    <row r="20" spans="1:17">
      <c r="A20" s="141"/>
      <c r="B20" s="197" t="s">
        <v>1019</v>
      </c>
      <c r="C20" s="181">
        <v>0.5</v>
      </c>
      <c r="D20" s="181">
        <f t="shared" si="0"/>
        <v>4.5</v>
      </c>
      <c r="F20" s="33"/>
      <c r="G20" s="33">
        <f>D20*15</f>
        <v>67.5</v>
      </c>
      <c r="H20" s="33"/>
      <c r="I20" s="33"/>
      <c r="J20" s="33"/>
      <c r="L20" s="33">
        <f t="shared" si="2"/>
        <v>157.5</v>
      </c>
      <c r="Q20" s="33"/>
    </row>
    <row r="21" spans="1:17">
      <c r="A21" s="196"/>
      <c r="B21" s="185" t="s">
        <v>1020</v>
      </c>
      <c r="C21" s="181">
        <v>0.3</v>
      </c>
      <c r="D21" s="181">
        <f t="shared" si="0"/>
        <v>2.6999999999999997</v>
      </c>
      <c r="E21" s="1">
        <f t="shared" si="1"/>
        <v>13.499999999999998</v>
      </c>
      <c r="F21" s="33"/>
      <c r="G21" s="33">
        <f>D21*15</f>
        <v>40.499999999999993</v>
      </c>
      <c r="H21" s="33"/>
      <c r="I21" s="33"/>
      <c r="J21" s="33"/>
      <c r="L21" s="33">
        <f t="shared" si="2"/>
        <v>94.499999999999986</v>
      </c>
      <c r="Q21" s="33"/>
    </row>
    <row r="22" spans="1:17">
      <c r="A22" s="141"/>
      <c r="B22" s="185" t="s">
        <v>1021</v>
      </c>
      <c r="C22" s="181">
        <v>0.3</v>
      </c>
      <c r="D22" s="181">
        <f t="shared" si="0"/>
        <v>2.6999999999999997</v>
      </c>
      <c r="E22" s="1">
        <f t="shared" si="1"/>
        <v>13.499999999999998</v>
      </c>
      <c r="F22" s="33"/>
      <c r="G22" s="33">
        <f>D22*15</f>
        <v>40.499999999999993</v>
      </c>
      <c r="H22" s="33"/>
      <c r="I22" s="33"/>
      <c r="J22" s="33"/>
      <c r="L22" s="33">
        <f t="shared" si="2"/>
        <v>94.499999999999986</v>
      </c>
      <c r="Q22" s="33"/>
    </row>
    <row r="23" spans="1:17">
      <c r="A23" s="141"/>
      <c r="B23" s="185" t="s">
        <v>1022</v>
      </c>
      <c r="C23" s="181">
        <v>0.3</v>
      </c>
      <c r="D23" s="181">
        <f t="shared" si="0"/>
        <v>2.6999999999999997</v>
      </c>
      <c r="E23" s="1">
        <f t="shared" si="1"/>
        <v>13.499999999999998</v>
      </c>
      <c r="F23" s="33">
        <f>D23*15</f>
        <v>40.499999999999993</v>
      </c>
      <c r="G23" s="33"/>
      <c r="H23" s="33"/>
      <c r="I23" s="33"/>
      <c r="J23" s="33"/>
      <c r="L23" s="33">
        <f t="shared" si="2"/>
        <v>94.499999999999986</v>
      </c>
      <c r="Q23" s="33"/>
    </row>
    <row r="24" spans="1:17">
      <c r="A24" s="141"/>
      <c r="B24" s="185" t="s">
        <v>1023</v>
      </c>
      <c r="C24" s="181">
        <v>0.3</v>
      </c>
      <c r="D24" s="181">
        <f t="shared" si="0"/>
        <v>2.6999999999999997</v>
      </c>
      <c r="E24" s="1">
        <f t="shared" si="1"/>
        <v>13.499999999999998</v>
      </c>
      <c r="F24" s="33">
        <f>D24*15</f>
        <v>40.499999999999993</v>
      </c>
      <c r="G24" s="33"/>
      <c r="H24" s="33"/>
      <c r="I24" s="33"/>
      <c r="J24" s="33"/>
      <c r="L24" s="33">
        <f t="shared" si="2"/>
        <v>94.499999999999986</v>
      </c>
      <c r="Q24" s="33"/>
    </row>
    <row r="25" spans="1:17">
      <c r="A25" s="141"/>
      <c r="B25" s="185" t="s">
        <v>1024</v>
      </c>
      <c r="C25" s="181">
        <v>0.3</v>
      </c>
      <c r="D25" s="181">
        <f t="shared" si="0"/>
        <v>2.6999999999999997</v>
      </c>
      <c r="E25" s="1">
        <f t="shared" si="1"/>
        <v>13.499999999999998</v>
      </c>
      <c r="F25" s="33"/>
      <c r="G25" s="33"/>
      <c r="H25" s="33"/>
      <c r="I25" s="33"/>
      <c r="J25" s="33">
        <f>D25*15</f>
        <v>40.499999999999993</v>
      </c>
      <c r="L25" s="33">
        <f t="shared" si="2"/>
        <v>94.499999999999986</v>
      </c>
      <c r="Q25" s="33"/>
    </row>
    <row r="26" spans="1:17">
      <c r="A26" s="196"/>
      <c r="B26" s="185" t="s">
        <v>1025</v>
      </c>
      <c r="C26" s="181">
        <v>0.3</v>
      </c>
      <c r="D26" s="181">
        <f t="shared" si="0"/>
        <v>2.6999999999999997</v>
      </c>
      <c r="E26" s="1">
        <f t="shared" si="1"/>
        <v>13.499999999999998</v>
      </c>
      <c r="F26" s="33"/>
      <c r="G26" s="33"/>
      <c r="H26" s="33"/>
      <c r="I26" s="33"/>
      <c r="J26" s="33">
        <f>D26*15</f>
        <v>40.499999999999993</v>
      </c>
      <c r="L26" s="33">
        <f t="shared" si="2"/>
        <v>94.499999999999986</v>
      </c>
      <c r="Q26" s="33"/>
    </row>
    <row r="27" spans="1:17" ht="25" customHeight="1">
      <c r="A27" s="125" t="s">
        <v>81</v>
      </c>
      <c r="B27" s="125" t="s">
        <v>196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spans="1:17">
      <c r="A28" s="141"/>
      <c r="B28" s="189" t="s">
        <v>971</v>
      </c>
      <c r="C28" s="181">
        <v>1.5</v>
      </c>
      <c r="D28" s="181">
        <f t="shared" ref="D28:D38" si="3">C28*9</f>
        <v>13.5</v>
      </c>
      <c r="E28" s="1">
        <f>D28*5</f>
        <v>67.5</v>
      </c>
      <c r="F28" s="33"/>
      <c r="G28" s="33"/>
      <c r="H28" s="33">
        <f>D28*15</f>
        <v>202.5</v>
      </c>
      <c r="I28" s="33"/>
      <c r="J28" s="33"/>
      <c r="L28" s="33">
        <f t="shared" ref="L28:L60" si="4">D28*35</f>
        <v>472.5</v>
      </c>
    </row>
    <row r="29" spans="1:17">
      <c r="A29" s="141"/>
      <c r="B29" s="189" t="s">
        <v>972</v>
      </c>
      <c r="C29" s="181">
        <v>0.3</v>
      </c>
      <c r="D29" s="181">
        <f t="shared" si="3"/>
        <v>2.6999999999999997</v>
      </c>
      <c r="E29" s="1">
        <f t="shared" ref="E29:E60" si="5">D29*5</f>
        <v>13.499999999999998</v>
      </c>
      <c r="F29" s="33"/>
      <c r="G29" s="33">
        <f>D29*15</f>
        <v>40.499999999999993</v>
      </c>
      <c r="H29" s="33"/>
      <c r="I29" s="33"/>
      <c r="J29" s="33"/>
      <c r="L29" s="33">
        <f t="shared" si="4"/>
        <v>94.499999999999986</v>
      </c>
    </row>
    <row r="30" spans="1:17">
      <c r="A30" s="141"/>
      <c r="B30" s="189" t="s">
        <v>973</v>
      </c>
      <c r="C30" s="181">
        <v>1</v>
      </c>
      <c r="D30" s="181">
        <f t="shared" si="3"/>
        <v>9</v>
      </c>
      <c r="E30" s="1">
        <f t="shared" si="5"/>
        <v>45</v>
      </c>
      <c r="F30" s="33">
        <f>D30*15</f>
        <v>135</v>
      </c>
      <c r="G30" s="33"/>
      <c r="H30" s="33"/>
      <c r="I30" s="33"/>
      <c r="J30" s="33"/>
      <c r="L30" s="33">
        <f t="shared" si="4"/>
        <v>315</v>
      </c>
    </row>
    <row r="31" spans="1:17">
      <c r="A31" s="141"/>
      <c r="B31" s="189" t="s">
        <v>974</v>
      </c>
      <c r="C31" s="181">
        <v>1</v>
      </c>
      <c r="D31" s="181">
        <f t="shared" si="3"/>
        <v>9</v>
      </c>
      <c r="E31" s="1">
        <f t="shared" si="5"/>
        <v>45</v>
      </c>
      <c r="F31" s="33"/>
      <c r="G31" s="33"/>
      <c r="H31" s="33"/>
      <c r="I31" s="33"/>
      <c r="J31" s="33"/>
      <c r="L31" s="33">
        <f t="shared" si="4"/>
        <v>315</v>
      </c>
    </row>
    <row r="32" spans="1:17">
      <c r="A32" s="141"/>
      <c r="B32" s="189" t="s">
        <v>969</v>
      </c>
      <c r="C32" s="181">
        <v>0.3</v>
      </c>
      <c r="D32" s="181">
        <f t="shared" si="3"/>
        <v>2.6999999999999997</v>
      </c>
      <c r="E32" s="1">
        <f t="shared" si="5"/>
        <v>13.499999999999998</v>
      </c>
      <c r="F32" s="33">
        <f>D32*15</f>
        <v>40.499999999999993</v>
      </c>
      <c r="G32" s="33"/>
      <c r="H32" s="33"/>
      <c r="I32" s="33"/>
      <c r="J32" s="33"/>
      <c r="L32" s="33">
        <f t="shared" si="4"/>
        <v>94.499999999999986</v>
      </c>
    </row>
    <row r="33" spans="1:12">
      <c r="A33" s="141"/>
      <c r="B33" s="189" t="s">
        <v>975</v>
      </c>
      <c r="C33" s="181">
        <v>0.3</v>
      </c>
      <c r="D33" s="181">
        <f t="shared" si="3"/>
        <v>2.6999999999999997</v>
      </c>
      <c r="E33" s="1">
        <f t="shared" si="5"/>
        <v>13.499999999999998</v>
      </c>
      <c r="F33" s="33">
        <f>D33*15</f>
        <v>40.499999999999993</v>
      </c>
      <c r="G33" s="33"/>
      <c r="H33" s="33"/>
      <c r="I33" s="33"/>
      <c r="J33" s="33"/>
      <c r="L33" s="33">
        <f t="shared" si="4"/>
        <v>94.499999999999986</v>
      </c>
    </row>
    <row r="34" spans="1:12">
      <c r="A34" s="141"/>
      <c r="B34" s="189" t="s">
        <v>976</v>
      </c>
      <c r="C34" s="181">
        <v>0.3</v>
      </c>
      <c r="D34" s="181">
        <f t="shared" si="3"/>
        <v>2.6999999999999997</v>
      </c>
      <c r="E34" s="1">
        <f t="shared" si="5"/>
        <v>13.499999999999998</v>
      </c>
      <c r="F34" s="33"/>
      <c r="G34" s="33"/>
      <c r="H34" s="33"/>
      <c r="I34" s="33"/>
      <c r="J34" s="33">
        <f>D34*15</f>
        <v>40.499999999999993</v>
      </c>
      <c r="L34" s="33">
        <f t="shared" si="4"/>
        <v>94.499999999999986</v>
      </c>
    </row>
    <row r="35" spans="1:12">
      <c r="A35" s="141"/>
      <c r="B35" s="189" t="s">
        <v>977</v>
      </c>
      <c r="C35" s="181">
        <v>1.5</v>
      </c>
      <c r="D35" s="181">
        <f t="shared" si="3"/>
        <v>13.5</v>
      </c>
      <c r="E35" s="1">
        <f t="shared" si="5"/>
        <v>67.5</v>
      </c>
      <c r="F35" s="33"/>
      <c r="G35" s="33"/>
      <c r="H35" s="33"/>
      <c r="I35" s="33"/>
      <c r="J35" s="33">
        <f>D35*15</f>
        <v>202.5</v>
      </c>
      <c r="L35" s="33">
        <f t="shared" si="4"/>
        <v>472.5</v>
      </c>
    </row>
    <row r="36" spans="1:12">
      <c r="A36" s="141"/>
      <c r="B36" s="189" t="s">
        <v>978</v>
      </c>
      <c r="C36" s="181">
        <v>1</v>
      </c>
      <c r="D36" s="181">
        <f t="shared" si="3"/>
        <v>9</v>
      </c>
      <c r="E36" s="1">
        <f t="shared" si="5"/>
        <v>45</v>
      </c>
      <c r="F36" s="33"/>
      <c r="G36" s="33"/>
      <c r="H36" s="33"/>
      <c r="I36" s="33"/>
      <c r="J36" s="33">
        <f>D36*15</f>
        <v>135</v>
      </c>
      <c r="L36" s="33">
        <f t="shared" si="4"/>
        <v>315</v>
      </c>
    </row>
    <row r="37" spans="1:12">
      <c r="A37" s="141"/>
      <c r="B37" s="189" t="s">
        <v>979</v>
      </c>
      <c r="C37" s="181">
        <v>0.3</v>
      </c>
      <c r="D37" s="181">
        <f t="shared" si="3"/>
        <v>2.6999999999999997</v>
      </c>
      <c r="E37" s="1">
        <f t="shared" si="5"/>
        <v>13.499999999999998</v>
      </c>
      <c r="F37" s="33"/>
      <c r="G37" s="33">
        <f>D37*15</f>
        <v>40.499999999999993</v>
      </c>
      <c r="H37" s="33"/>
      <c r="I37" s="33"/>
      <c r="J37" s="33"/>
      <c r="L37" s="33">
        <f t="shared" si="4"/>
        <v>94.499999999999986</v>
      </c>
    </row>
    <row r="38" spans="1:12">
      <c r="A38" s="141"/>
      <c r="B38" s="189" t="s">
        <v>980</v>
      </c>
      <c r="C38" s="181">
        <v>0.3</v>
      </c>
      <c r="D38" s="181">
        <f t="shared" si="3"/>
        <v>2.6999999999999997</v>
      </c>
      <c r="E38" s="1">
        <f t="shared" si="5"/>
        <v>13.499999999999998</v>
      </c>
      <c r="F38" s="33"/>
      <c r="G38" s="33">
        <f>D38*15</f>
        <v>40.499999999999993</v>
      </c>
      <c r="H38" s="33"/>
      <c r="I38" s="33"/>
      <c r="J38" s="33"/>
      <c r="L38" s="33">
        <f t="shared" si="4"/>
        <v>94.499999999999986</v>
      </c>
    </row>
    <row r="39" spans="1:12">
      <c r="A39" s="141"/>
      <c r="B39" s="189" t="s">
        <v>981</v>
      </c>
      <c r="C39" s="181">
        <v>0.3</v>
      </c>
      <c r="D39" s="181">
        <v>2.7</v>
      </c>
      <c r="E39" s="1">
        <f t="shared" si="5"/>
        <v>13.5</v>
      </c>
      <c r="F39" s="33">
        <f>D39*15</f>
        <v>40.5</v>
      </c>
      <c r="G39" s="33"/>
      <c r="H39" s="33"/>
      <c r="I39" s="33"/>
      <c r="J39" s="33"/>
      <c r="L39" s="33">
        <f t="shared" si="4"/>
        <v>94.5</v>
      </c>
    </row>
    <row r="40" spans="1:12">
      <c r="A40" s="141"/>
      <c r="B40" s="189" t="s">
        <v>982</v>
      </c>
      <c r="C40" s="181">
        <v>1</v>
      </c>
      <c r="D40" s="181">
        <f t="shared" ref="D40:D59" si="6">C40*9</f>
        <v>9</v>
      </c>
      <c r="E40" s="1">
        <f t="shared" si="5"/>
        <v>45</v>
      </c>
      <c r="F40" s="33"/>
      <c r="G40" s="33"/>
      <c r="H40" s="33"/>
      <c r="I40" s="33"/>
      <c r="J40" s="33">
        <f>D40*15</f>
        <v>135</v>
      </c>
      <c r="L40" s="33">
        <f t="shared" si="4"/>
        <v>315</v>
      </c>
    </row>
    <row r="41" spans="1:12">
      <c r="A41" s="141"/>
      <c r="B41" s="195" t="s">
        <v>983</v>
      </c>
      <c r="C41" s="181">
        <v>0.3</v>
      </c>
      <c r="D41" s="181">
        <f t="shared" si="6"/>
        <v>2.6999999999999997</v>
      </c>
      <c r="F41" s="33"/>
      <c r="G41" s="33"/>
      <c r="H41" s="33"/>
      <c r="I41" s="33"/>
      <c r="J41" s="33">
        <f>D41*15</f>
        <v>40.499999999999993</v>
      </c>
      <c r="L41" s="33">
        <f t="shared" si="4"/>
        <v>94.499999999999986</v>
      </c>
    </row>
    <row r="42" spans="1:12">
      <c r="A42" s="141"/>
      <c r="B42" s="195" t="s">
        <v>984</v>
      </c>
      <c r="C42" s="181">
        <v>1.5</v>
      </c>
      <c r="D42" s="181">
        <f t="shared" si="6"/>
        <v>13.5</v>
      </c>
      <c r="F42" s="33"/>
      <c r="G42" s="33"/>
      <c r="H42" s="33">
        <f>D42*15</f>
        <v>202.5</v>
      </c>
      <c r="I42" s="33"/>
      <c r="J42" s="33"/>
      <c r="L42" s="33">
        <f t="shared" si="4"/>
        <v>472.5</v>
      </c>
    </row>
    <row r="43" spans="1:12">
      <c r="A43" s="141"/>
      <c r="B43" s="195" t="s">
        <v>985</v>
      </c>
      <c r="C43" s="181">
        <v>0.3</v>
      </c>
      <c r="D43" s="181">
        <f t="shared" si="6"/>
        <v>2.6999999999999997</v>
      </c>
      <c r="F43" s="33"/>
      <c r="G43" s="33">
        <f>D43*15</f>
        <v>40.499999999999993</v>
      </c>
      <c r="H43" s="33"/>
      <c r="I43" s="33"/>
      <c r="J43" s="33"/>
      <c r="L43" s="33">
        <f t="shared" si="4"/>
        <v>94.499999999999986</v>
      </c>
    </row>
    <row r="44" spans="1:12">
      <c r="A44" s="196"/>
      <c r="B44" s="195" t="s">
        <v>986</v>
      </c>
      <c r="C44" s="181">
        <v>0.5</v>
      </c>
      <c r="D44" s="181">
        <f t="shared" si="6"/>
        <v>4.5</v>
      </c>
      <c r="F44" s="33"/>
      <c r="G44" s="33"/>
      <c r="H44" s="33"/>
      <c r="I44" s="33"/>
      <c r="J44" s="33">
        <f>D44*15</f>
        <v>67.5</v>
      </c>
      <c r="L44" s="33">
        <f t="shared" si="4"/>
        <v>157.5</v>
      </c>
    </row>
    <row r="45" spans="1:12">
      <c r="A45" s="141"/>
      <c r="B45" s="189" t="s">
        <v>987</v>
      </c>
      <c r="C45" s="181">
        <v>0.3</v>
      </c>
      <c r="D45" s="181">
        <f t="shared" si="6"/>
        <v>2.6999999999999997</v>
      </c>
      <c r="E45" s="1">
        <f t="shared" si="5"/>
        <v>13.499999999999998</v>
      </c>
      <c r="F45" s="33"/>
      <c r="G45" s="33"/>
      <c r="H45" s="33"/>
      <c r="I45" s="33"/>
      <c r="J45" s="33">
        <f>D45*15</f>
        <v>40.499999999999993</v>
      </c>
      <c r="L45" s="33">
        <f t="shared" si="4"/>
        <v>94.499999999999986</v>
      </c>
    </row>
    <row r="46" spans="1:12">
      <c r="A46" s="141"/>
      <c r="B46" s="189" t="s">
        <v>988</v>
      </c>
      <c r="C46" s="181">
        <v>0.3</v>
      </c>
      <c r="D46" s="181">
        <f t="shared" si="6"/>
        <v>2.6999999999999997</v>
      </c>
      <c r="E46" s="1">
        <f t="shared" si="5"/>
        <v>13.499999999999998</v>
      </c>
      <c r="F46" s="33"/>
      <c r="G46" s="33"/>
      <c r="H46" s="33"/>
      <c r="I46" s="33"/>
      <c r="J46" s="33">
        <f>D46*15</f>
        <v>40.499999999999993</v>
      </c>
      <c r="L46" s="33">
        <f t="shared" si="4"/>
        <v>94.499999999999986</v>
      </c>
    </row>
    <row r="47" spans="1:12">
      <c r="A47" s="141"/>
      <c r="B47" s="189" t="s">
        <v>989</v>
      </c>
      <c r="C47" s="181">
        <v>0.3</v>
      </c>
      <c r="D47" s="181">
        <f t="shared" si="6"/>
        <v>2.6999999999999997</v>
      </c>
      <c r="E47" s="1">
        <f t="shared" si="5"/>
        <v>13.499999999999998</v>
      </c>
      <c r="F47" s="33"/>
      <c r="G47" s="33"/>
      <c r="H47" s="33"/>
      <c r="I47" s="33"/>
      <c r="J47" s="33">
        <f>D47*15</f>
        <v>40.499999999999993</v>
      </c>
      <c r="L47" s="33">
        <f t="shared" si="4"/>
        <v>94.499999999999986</v>
      </c>
    </row>
    <row r="48" spans="1:12">
      <c r="A48" s="141"/>
      <c r="B48" s="189" t="s">
        <v>990</v>
      </c>
      <c r="C48" s="181">
        <v>0.3</v>
      </c>
      <c r="D48" s="181">
        <f t="shared" si="6"/>
        <v>2.6999999999999997</v>
      </c>
      <c r="E48" s="1">
        <f t="shared" si="5"/>
        <v>13.499999999999998</v>
      </c>
      <c r="F48" s="33"/>
      <c r="G48" s="33">
        <f t="shared" ref="G48:G53" si="7">D48*15</f>
        <v>40.499999999999993</v>
      </c>
      <c r="H48" s="33"/>
      <c r="I48" s="33"/>
      <c r="J48" s="33"/>
      <c r="L48" s="33">
        <f t="shared" si="4"/>
        <v>94.499999999999986</v>
      </c>
    </row>
    <row r="49" spans="1:20">
      <c r="A49" s="141"/>
      <c r="B49" s="189" t="s">
        <v>991</v>
      </c>
      <c r="C49" s="181">
        <v>0.3</v>
      </c>
      <c r="D49" s="181">
        <f t="shared" si="6"/>
        <v>2.6999999999999997</v>
      </c>
      <c r="E49" s="1">
        <f t="shared" si="5"/>
        <v>13.499999999999998</v>
      </c>
      <c r="F49" s="33"/>
      <c r="G49" s="33">
        <f t="shared" si="7"/>
        <v>40.499999999999993</v>
      </c>
      <c r="H49" s="33"/>
      <c r="I49" s="33"/>
      <c r="J49" s="33"/>
      <c r="L49" s="33">
        <f t="shared" si="4"/>
        <v>94.499999999999986</v>
      </c>
    </row>
    <row r="50" spans="1:20">
      <c r="A50" s="141"/>
      <c r="B50" s="189" t="s">
        <v>992</v>
      </c>
      <c r="C50" s="181">
        <v>0.3</v>
      </c>
      <c r="D50" s="181">
        <f t="shared" si="6"/>
        <v>2.6999999999999997</v>
      </c>
      <c r="E50" s="1">
        <f t="shared" si="5"/>
        <v>13.499999999999998</v>
      </c>
      <c r="F50" s="33"/>
      <c r="G50" s="33">
        <f t="shared" si="7"/>
        <v>40.499999999999993</v>
      </c>
      <c r="H50" s="33"/>
      <c r="I50" s="33"/>
      <c r="J50" s="33"/>
      <c r="L50" s="33">
        <f t="shared" si="4"/>
        <v>94.499999999999986</v>
      </c>
    </row>
    <row r="51" spans="1:20">
      <c r="A51" s="141"/>
      <c r="B51" s="189" t="s">
        <v>993</v>
      </c>
      <c r="C51" s="181">
        <v>0.3</v>
      </c>
      <c r="D51" s="181">
        <f t="shared" si="6"/>
        <v>2.6999999999999997</v>
      </c>
      <c r="E51" s="1">
        <f t="shared" si="5"/>
        <v>13.499999999999998</v>
      </c>
      <c r="F51" s="33"/>
      <c r="G51" s="33">
        <f t="shared" si="7"/>
        <v>40.499999999999993</v>
      </c>
      <c r="H51" s="33"/>
      <c r="I51" s="33"/>
      <c r="J51" s="33"/>
      <c r="L51" s="33">
        <f t="shared" si="4"/>
        <v>94.499999999999986</v>
      </c>
    </row>
    <row r="52" spans="1:20">
      <c r="A52" s="141"/>
      <c r="B52" s="189" t="s">
        <v>994</v>
      </c>
      <c r="C52" s="181">
        <v>0.3</v>
      </c>
      <c r="D52" s="181">
        <f t="shared" si="6"/>
        <v>2.6999999999999997</v>
      </c>
      <c r="E52" s="1">
        <f t="shared" si="5"/>
        <v>13.499999999999998</v>
      </c>
      <c r="F52" s="33"/>
      <c r="G52" s="33">
        <f t="shared" si="7"/>
        <v>40.499999999999993</v>
      </c>
      <c r="H52" s="33"/>
      <c r="I52" s="33"/>
      <c r="J52" s="33"/>
      <c r="L52" s="33">
        <f t="shared" si="4"/>
        <v>94.499999999999986</v>
      </c>
    </row>
    <row r="53" spans="1:20">
      <c r="A53" s="141"/>
      <c r="B53" s="189" t="s">
        <v>995</v>
      </c>
      <c r="C53" s="181">
        <v>0.3</v>
      </c>
      <c r="D53" s="181">
        <f t="shared" si="6"/>
        <v>2.6999999999999997</v>
      </c>
      <c r="E53" s="1">
        <f t="shared" si="5"/>
        <v>13.499999999999998</v>
      </c>
      <c r="F53" s="33"/>
      <c r="G53" s="33">
        <f t="shared" si="7"/>
        <v>40.499999999999993</v>
      </c>
      <c r="H53" s="33"/>
      <c r="I53" s="33"/>
      <c r="J53" s="33"/>
      <c r="L53" s="33">
        <f t="shared" si="4"/>
        <v>94.499999999999986</v>
      </c>
    </row>
    <row r="54" spans="1:20">
      <c r="A54" s="141"/>
      <c r="B54" s="189" t="s">
        <v>996</v>
      </c>
      <c r="C54" s="181">
        <v>0.3</v>
      </c>
      <c r="D54" s="181">
        <f t="shared" si="6"/>
        <v>2.6999999999999997</v>
      </c>
      <c r="E54" s="1">
        <f t="shared" si="5"/>
        <v>13.499999999999998</v>
      </c>
      <c r="F54" s="33">
        <f>D54*15</f>
        <v>40.499999999999993</v>
      </c>
      <c r="G54" s="33"/>
      <c r="H54" s="33"/>
      <c r="I54" s="33"/>
      <c r="J54" s="33"/>
      <c r="L54" s="33">
        <f t="shared" si="4"/>
        <v>94.499999999999986</v>
      </c>
    </row>
    <row r="55" spans="1:20">
      <c r="A55" s="141"/>
      <c r="B55" s="189" t="s">
        <v>997</v>
      </c>
      <c r="C55" s="181">
        <v>0.3</v>
      </c>
      <c r="D55" s="181">
        <f t="shared" si="6"/>
        <v>2.6999999999999997</v>
      </c>
      <c r="E55" s="1">
        <f t="shared" si="5"/>
        <v>13.499999999999998</v>
      </c>
      <c r="F55" s="33">
        <f>D55*15</f>
        <v>40.499999999999993</v>
      </c>
      <c r="G55" s="33"/>
      <c r="H55" s="33"/>
      <c r="I55" s="33"/>
      <c r="J55" s="33"/>
      <c r="L55" s="33">
        <f t="shared" si="4"/>
        <v>94.499999999999986</v>
      </c>
    </row>
    <row r="56" spans="1:20">
      <c r="A56" s="141"/>
      <c r="B56" s="189" t="s">
        <v>998</v>
      </c>
      <c r="C56" s="181">
        <v>0.3</v>
      </c>
      <c r="D56" s="181">
        <f t="shared" si="6"/>
        <v>2.6999999999999997</v>
      </c>
      <c r="E56" s="1">
        <f t="shared" si="5"/>
        <v>13.499999999999998</v>
      </c>
      <c r="F56" s="33"/>
      <c r="G56" s="33">
        <f>D56*15</f>
        <v>40.499999999999993</v>
      </c>
      <c r="H56" s="33"/>
      <c r="I56" s="33"/>
      <c r="J56" s="33"/>
      <c r="L56" s="33">
        <f t="shared" si="4"/>
        <v>94.499999999999986</v>
      </c>
    </row>
    <row r="57" spans="1:20">
      <c r="A57" s="141"/>
      <c r="B57" s="189" t="s">
        <v>999</v>
      </c>
      <c r="C57" s="181">
        <v>0.3</v>
      </c>
      <c r="D57" s="181">
        <f t="shared" si="6"/>
        <v>2.6999999999999997</v>
      </c>
      <c r="E57" s="1">
        <f t="shared" si="5"/>
        <v>13.499999999999998</v>
      </c>
      <c r="F57" s="33"/>
      <c r="G57" s="33">
        <f>D57*15</f>
        <v>40.499999999999993</v>
      </c>
      <c r="H57" s="33"/>
      <c r="I57" s="33"/>
      <c r="J57" s="33"/>
      <c r="L57" s="33">
        <f t="shared" si="4"/>
        <v>94.499999999999986</v>
      </c>
    </row>
    <row r="58" spans="1:20">
      <c r="A58" s="141"/>
      <c r="B58" s="189" t="s">
        <v>1000</v>
      </c>
      <c r="C58" s="181">
        <v>0.3</v>
      </c>
      <c r="D58" s="181">
        <f t="shared" si="6"/>
        <v>2.6999999999999997</v>
      </c>
      <c r="E58" s="1">
        <f t="shared" si="5"/>
        <v>13.499999999999998</v>
      </c>
      <c r="F58" s="33"/>
      <c r="G58" s="33"/>
      <c r="H58" s="33"/>
      <c r="I58" s="33"/>
      <c r="J58" s="135" t="s">
        <v>304</v>
      </c>
      <c r="L58" s="33">
        <f t="shared" si="4"/>
        <v>94.499999999999986</v>
      </c>
    </row>
    <row r="59" spans="1:20">
      <c r="A59" s="141"/>
      <c r="B59" s="189" t="s">
        <v>1001</v>
      </c>
      <c r="C59" s="181">
        <v>0.3</v>
      </c>
      <c r="D59" s="181">
        <f t="shared" si="6"/>
        <v>2.6999999999999997</v>
      </c>
      <c r="E59" s="1">
        <f t="shared" si="5"/>
        <v>13.499999999999998</v>
      </c>
      <c r="F59" s="33"/>
      <c r="G59" s="33">
        <f>D59*15</f>
        <v>40.499999999999993</v>
      </c>
      <c r="H59" s="33"/>
      <c r="I59" s="33"/>
      <c r="J59" s="33"/>
      <c r="L59" s="33">
        <f t="shared" si="4"/>
        <v>94.499999999999986</v>
      </c>
    </row>
    <row r="60" spans="1:20">
      <c r="A60" s="141"/>
      <c r="B60" s="189" t="s">
        <v>1002</v>
      </c>
      <c r="C60" s="181">
        <v>0.3</v>
      </c>
      <c r="D60" s="181">
        <v>2.7</v>
      </c>
      <c r="E60" s="1">
        <f t="shared" si="5"/>
        <v>13.5</v>
      </c>
      <c r="F60" s="33"/>
      <c r="G60" s="33">
        <f>D60*15</f>
        <v>40.5</v>
      </c>
      <c r="H60" s="33"/>
      <c r="I60" s="33"/>
      <c r="J60" s="33"/>
      <c r="L60" s="33">
        <f t="shared" si="4"/>
        <v>94.5</v>
      </c>
    </row>
    <row r="61" spans="1:20">
      <c r="A61" s="118" t="s">
        <v>199</v>
      </c>
      <c r="B61" s="57"/>
      <c r="C61" s="11">
        <f t="shared" ref="C61:J61" si="8">SUM(C4:C60)</f>
        <v>34.599999999999994</v>
      </c>
      <c r="D61" s="11">
        <f t="shared" si="8"/>
        <v>311.39999999999964</v>
      </c>
      <c r="E61" s="59">
        <f t="shared" si="8"/>
        <v>1282.5</v>
      </c>
      <c r="F61" s="59">
        <f t="shared" si="8"/>
        <v>1026</v>
      </c>
      <c r="G61" s="59">
        <f t="shared" si="8"/>
        <v>1026</v>
      </c>
      <c r="H61" s="59">
        <f t="shared" si="8"/>
        <v>810</v>
      </c>
      <c r="I61" s="59">
        <f t="shared" si="8"/>
        <v>810</v>
      </c>
      <c r="J61" s="59">
        <f t="shared" si="8"/>
        <v>823.5</v>
      </c>
      <c r="K61" s="59">
        <f>SUM(E61:J61)</f>
        <v>5778</v>
      </c>
      <c r="L61" s="60">
        <f>SUM(L4:L60)</f>
        <v>10899</v>
      </c>
      <c r="M61" s="39"/>
      <c r="N61" s="29" t="s">
        <v>2</v>
      </c>
      <c r="O61" s="16" t="s">
        <v>1</v>
      </c>
    </row>
    <row r="62" spans="1:20">
      <c r="E62" s="142">
        <f>E61*44.6</f>
        <v>57199.5</v>
      </c>
      <c r="F62" s="142">
        <f>F61*43.86</f>
        <v>45000.36</v>
      </c>
      <c r="G62" s="142">
        <f t="shared" ref="G62:K62" si="9">G61*43.86</f>
        <v>45000.36</v>
      </c>
      <c r="H62" s="142">
        <f t="shared" si="9"/>
        <v>35526.6</v>
      </c>
      <c r="I62" s="142">
        <f t="shared" si="9"/>
        <v>35526.6</v>
      </c>
      <c r="J62" s="142">
        <f t="shared" si="9"/>
        <v>36118.71</v>
      </c>
      <c r="K62" s="7">
        <f t="shared" si="9"/>
        <v>253423.08</v>
      </c>
      <c r="L62" s="7">
        <f>L61*44.6</f>
        <v>486095.4</v>
      </c>
      <c r="M62" s="5" t="s">
        <v>4</v>
      </c>
      <c r="N62" s="7">
        <f t="shared" ref="N62:N64" si="10">O62*44.6</f>
        <v>486095.4</v>
      </c>
      <c r="O62" s="8">
        <f>L61</f>
        <v>10899</v>
      </c>
      <c r="T62" s="4"/>
    </row>
    <row r="63" spans="1:20">
      <c r="G63" s="33"/>
      <c r="H63" s="123"/>
      <c r="I63" s="123"/>
      <c r="J63" s="123"/>
      <c r="M63" s="5" t="s">
        <v>3</v>
      </c>
      <c r="N63" s="7">
        <f t="shared" si="10"/>
        <v>461790.63</v>
      </c>
      <c r="O63" s="8">
        <f>O62-O62*0.05</f>
        <v>10354.049999999999</v>
      </c>
    </row>
    <row r="64" spans="1:20">
      <c r="B64" s="1"/>
      <c r="E64" s="21"/>
      <c r="G64" s="33"/>
      <c r="M64" s="5" t="s">
        <v>5</v>
      </c>
      <c r="N64" s="7">
        <f t="shared" si="10"/>
        <v>257698.80000000002</v>
      </c>
      <c r="O64" s="8">
        <f>K61</f>
        <v>5778</v>
      </c>
    </row>
    <row r="65" spans="2:15">
      <c r="B65" s="1"/>
      <c r="M65" s="37" t="s">
        <v>18</v>
      </c>
      <c r="N65" s="7">
        <f>O65*44.6</f>
        <v>204091.83</v>
      </c>
      <c r="O65" s="8">
        <f>O63-O64</f>
        <v>4576.0499999999993</v>
      </c>
    </row>
    <row r="66" spans="2:15">
      <c r="B66" s="1"/>
      <c r="I66" s="198">
        <v>478030</v>
      </c>
    </row>
    <row r="67" spans="2:15">
      <c r="B67" s="169"/>
      <c r="C67" s="166"/>
      <c r="D67" s="176"/>
      <c r="I67" s="169"/>
      <c r="J67" s="169"/>
      <c r="K67" s="166"/>
      <c r="L67" s="176"/>
    </row>
    <row r="68" spans="2:15">
      <c r="B68" s="169"/>
      <c r="C68" s="166"/>
      <c r="D68" s="176"/>
      <c r="I68" s="144"/>
      <c r="J68" s="144"/>
      <c r="K68" s="166"/>
      <c r="L68" s="176"/>
    </row>
    <row r="69" spans="2:15">
      <c r="B69" s="169"/>
      <c r="C69" s="171"/>
      <c r="D69" s="176"/>
      <c r="G69" s="192"/>
      <c r="I69" s="167"/>
      <c r="J69" s="167"/>
      <c r="K69" s="166"/>
      <c r="L69" s="176"/>
    </row>
    <row r="70" spans="2:15">
      <c r="B70" s="169"/>
      <c r="C70" s="192"/>
      <c r="D70" s="192"/>
      <c r="E70" s="192"/>
      <c r="F70" s="192"/>
      <c r="G70" s="192"/>
      <c r="I70" s="169"/>
      <c r="J70" s="169"/>
      <c r="K70" s="166"/>
      <c r="L70" s="176"/>
    </row>
    <row r="71" spans="2:15">
      <c r="B71" s="176"/>
      <c r="C71" s="191"/>
      <c r="D71" s="191"/>
      <c r="E71" s="191"/>
      <c r="G71" s="192"/>
      <c r="I71" s="169"/>
      <c r="J71" s="169"/>
      <c r="K71" s="166"/>
      <c r="L71" s="176"/>
    </row>
    <row r="72" spans="2:15">
      <c r="B72" s="169"/>
      <c r="C72" s="191"/>
      <c r="D72" s="191"/>
      <c r="E72" s="191"/>
      <c r="G72" s="192"/>
      <c r="I72" s="169"/>
      <c r="J72" s="169"/>
      <c r="K72" s="166"/>
      <c r="L72" s="176"/>
    </row>
    <row r="73" spans="2:15">
      <c r="B73" s="169"/>
      <c r="C73" s="192"/>
      <c r="D73" s="192"/>
      <c r="E73" s="192"/>
      <c r="F73" s="192"/>
      <c r="G73" s="192"/>
      <c r="I73" s="169"/>
      <c r="J73" s="169"/>
      <c r="K73" s="166"/>
      <c r="L73" s="176"/>
    </row>
    <row r="74" spans="2:15">
      <c r="B74" s="176"/>
      <c r="C74" s="191"/>
      <c r="D74" s="191"/>
      <c r="E74" s="191"/>
      <c r="G74" s="192"/>
      <c r="I74" s="169"/>
      <c r="J74" s="169"/>
      <c r="K74" s="171"/>
      <c r="L74" s="176"/>
    </row>
    <row r="75" spans="2:15">
      <c r="C75" s="191"/>
      <c r="D75" s="191"/>
      <c r="E75" s="191"/>
      <c r="G75" s="192"/>
      <c r="I75" s="169"/>
      <c r="J75" s="169"/>
      <c r="K75" s="171"/>
      <c r="L75" s="176"/>
    </row>
    <row r="76" spans="2:15">
      <c r="B76" s="169"/>
      <c r="C76" s="192"/>
      <c r="D76" s="192"/>
      <c r="E76" s="192"/>
      <c r="F76" s="192"/>
      <c r="G76" s="192"/>
      <c r="I76" s="169"/>
      <c r="J76" s="169"/>
      <c r="K76" s="171"/>
      <c r="L76" s="176"/>
    </row>
    <row r="77" spans="2:15">
      <c r="B77" s="176"/>
      <c r="C77" s="191"/>
      <c r="D77" s="191"/>
      <c r="E77" s="191"/>
      <c r="G77" s="192"/>
      <c r="H77" s="21"/>
      <c r="I77" s="169"/>
      <c r="J77" s="169"/>
      <c r="K77" s="166"/>
      <c r="L77" s="176"/>
    </row>
    <row r="78" spans="2:15">
      <c r="C78" s="191"/>
      <c r="D78" s="191"/>
      <c r="E78" s="191"/>
      <c r="G78" s="192"/>
    </row>
    <row r="79" spans="2:15">
      <c r="B79" s="169"/>
      <c r="C79" s="192"/>
      <c r="D79" s="192"/>
      <c r="E79" s="192"/>
      <c r="F79" s="192"/>
      <c r="G79" s="192"/>
    </row>
    <row r="80" spans="2:15">
      <c r="B80" s="176"/>
      <c r="C80" s="191"/>
      <c r="D80" s="191"/>
      <c r="E80" s="191"/>
      <c r="G80" s="192"/>
    </row>
    <row r="81" spans="2:7">
      <c r="C81" s="191"/>
      <c r="D81" s="191"/>
      <c r="E81" s="191"/>
      <c r="G81" s="192"/>
    </row>
    <row r="82" spans="2:7">
      <c r="B82" s="169"/>
      <c r="C82" s="192"/>
      <c r="D82" s="192"/>
      <c r="E82" s="192"/>
      <c r="F82" s="192"/>
      <c r="G82" s="192"/>
    </row>
    <row r="83" spans="2:7">
      <c r="B83" s="176"/>
      <c r="C83" s="191"/>
      <c r="D83" s="191"/>
      <c r="E83" s="191"/>
      <c r="G83" s="192"/>
    </row>
    <row r="84" spans="2:7">
      <c r="C84" s="191"/>
      <c r="D84" s="191"/>
      <c r="E84" s="191"/>
      <c r="G84" s="192"/>
    </row>
    <row r="85" spans="2:7">
      <c r="C85" s="191"/>
      <c r="D85" s="191"/>
      <c r="E85" s="191"/>
      <c r="G85" s="192"/>
    </row>
    <row r="86" spans="2:7">
      <c r="G86" s="192"/>
    </row>
    <row r="87" spans="2:7">
      <c r="G87" s="192"/>
    </row>
    <row r="88" spans="2:7">
      <c r="G88" s="192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109B-0A6D-864B-A2BE-3220AA20F60A}">
  <dimension ref="A1:T105"/>
  <sheetViews>
    <sheetView topLeftCell="B1" zoomScale="98" zoomScaleNormal="98" workbookViewId="0">
      <pane ySplit="2" topLeftCell="A25" activePane="bottomLeft" state="frozen"/>
      <selection pane="bottomLeft" activeCell="J79" sqref="J79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10" width="10.83203125" style="1"/>
    <col min="11" max="11" width="11.1640625" style="1" customWidth="1"/>
    <col min="12" max="12" width="13.1640625" style="1" customWidth="1"/>
    <col min="13" max="13" width="12.5" style="1" bestFit="1" customWidth="1"/>
    <col min="14" max="14" width="12" style="1" customWidth="1"/>
    <col min="15" max="15" width="11.1640625" style="1" customWidth="1"/>
    <col min="16" max="16" width="12.5" style="1" bestFit="1" customWidth="1"/>
    <col min="17" max="17" width="13" style="1" customWidth="1"/>
    <col min="18" max="16384" width="10.83203125" style="1"/>
  </cols>
  <sheetData>
    <row r="1" spans="1:17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7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81" t="s">
        <v>758</v>
      </c>
      <c r="J2" s="181" t="s">
        <v>759</v>
      </c>
    </row>
    <row r="3" spans="1:17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31" t="s">
        <v>16</v>
      </c>
      <c r="L3" s="39" t="s">
        <v>18</v>
      </c>
    </row>
    <row r="4" spans="1:17">
      <c r="A4" s="141"/>
      <c r="B4" s="185" t="s">
        <v>900</v>
      </c>
      <c r="C4" s="181">
        <v>0.3</v>
      </c>
      <c r="D4" s="181">
        <f t="shared" ref="D4:D16" si="0">C4*9</f>
        <v>2.6999999999999997</v>
      </c>
      <c r="E4" s="1">
        <f>D4*5</f>
        <v>13.499999999999998</v>
      </c>
      <c r="F4" s="33">
        <f>D4*15</f>
        <v>40.499999999999993</v>
      </c>
      <c r="G4" s="33"/>
      <c r="H4" s="33"/>
      <c r="I4" s="33"/>
      <c r="J4" s="33"/>
      <c r="L4" s="33">
        <f t="shared" ref="L4:L16" si="1">D4*40</f>
        <v>107.99999999999999</v>
      </c>
      <c r="Q4" s="33"/>
    </row>
    <row r="5" spans="1:17">
      <c r="A5" s="141"/>
      <c r="B5" s="185" t="s">
        <v>901</v>
      </c>
      <c r="C5" s="181">
        <v>0.3</v>
      </c>
      <c r="D5" s="181">
        <f t="shared" si="0"/>
        <v>2.6999999999999997</v>
      </c>
      <c r="E5" s="1">
        <f t="shared" ref="E5:E16" si="2">D5*5</f>
        <v>13.499999999999998</v>
      </c>
      <c r="F5" s="33">
        <f t="shared" ref="F5:F8" si="3">D5*15</f>
        <v>40.499999999999993</v>
      </c>
      <c r="G5" s="33"/>
      <c r="H5" s="33"/>
      <c r="I5" s="33"/>
      <c r="J5" s="33"/>
      <c r="L5" s="33">
        <f t="shared" si="1"/>
        <v>107.99999999999999</v>
      </c>
      <c r="Q5" s="33"/>
    </row>
    <row r="6" spans="1:17">
      <c r="A6" s="141"/>
      <c r="B6" s="185" t="s">
        <v>902</v>
      </c>
      <c r="C6" s="181">
        <v>0.3</v>
      </c>
      <c r="D6" s="181">
        <f t="shared" si="0"/>
        <v>2.6999999999999997</v>
      </c>
      <c r="E6" s="1">
        <f t="shared" si="2"/>
        <v>13.499999999999998</v>
      </c>
      <c r="F6" s="33">
        <f t="shared" si="3"/>
        <v>40.499999999999993</v>
      </c>
      <c r="G6" s="33"/>
      <c r="H6" s="33"/>
      <c r="I6" s="33"/>
      <c r="J6" s="33"/>
      <c r="L6" s="33">
        <f t="shared" si="1"/>
        <v>107.99999999999999</v>
      </c>
      <c r="Q6" s="33"/>
    </row>
    <row r="7" spans="1:17">
      <c r="A7" s="141"/>
      <c r="B7" s="185" t="s">
        <v>903</v>
      </c>
      <c r="C7" s="181">
        <v>0.3</v>
      </c>
      <c r="D7" s="181">
        <f t="shared" si="0"/>
        <v>2.6999999999999997</v>
      </c>
      <c r="E7" s="1">
        <f t="shared" si="2"/>
        <v>13.499999999999998</v>
      </c>
      <c r="F7" s="33">
        <f t="shared" si="3"/>
        <v>40.499999999999993</v>
      </c>
      <c r="G7" s="33"/>
      <c r="H7" s="33"/>
      <c r="I7" s="33"/>
      <c r="J7" s="33"/>
      <c r="L7" s="33">
        <f t="shared" si="1"/>
        <v>107.99999999999999</v>
      </c>
      <c r="Q7" s="33"/>
    </row>
    <row r="8" spans="1:17">
      <c r="A8" s="141"/>
      <c r="B8" s="185" t="s">
        <v>904</v>
      </c>
      <c r="C8" s="181">
        <v>0.3</v>
      </c>
      <c r="D8" s="181">
        <f t="shared" si="0"/>
        <v>2.6999999999999997</v>
      </c>
      <c r="E8" s="1">
        <f t="shared" si="2"/>
        <v>13.499999999999998</v>
      </c>
      <c r="F8" s="33">
        <f t="shared" si="3"/>
        <v>40.499999999999993</v>
      </c>
      <c r="G8" s="33"/>
      <c r="H8" s="33"/>
      <c r="I8" s="33"/>
      <c r="J8" s="33"/>
      <c r="L8" s="33">
        <f t="shared" si="1"/>
        <v>107.99999999999999</v>
      </c>
      <c r="Q8" s="33"/>
    </row>
    <row r="9" spans="1:17">
      <c r="A9" s="141"/>
      <c r="B9" s="185" t="s">
        <v>905</v>
      </c>
      <c r="C9" s="181">
        <v>0.3</v>
      </c>
      <c r="D9" s="181">
        <f t="shared" si="0"/>
        <v>2.6999999999999997</v>
      </c>
      <c r="E9" s="1">
        <f t="shared" si="2"/>
        <v>13.499999999999998</v>
      </c>
      <c r="F9" s="33"/>
      <c r="G9" s="33">
        <f>D9*15</f>
        <v>40.499999999999993</v>
      </c>
      <c r="H9" s="33"/>
      <c r="I9" s="33"/>
      <c r="J9" s="33"/>
      <c r="L9" s="33">
        <f t="shared" si="1"/>
        <v>107.99999999999999</v>
      </c>
      <c r="Q9" s="33"/>
    </row>
    <row r="10" spans="1:17">
      <c r="A10" s="141"/>
      <c r="B10" s="185" t="s">
        <v>906</v>
      </c>
      <c r="C10" s="181">
        <v>0.3</v>
      </c>
      <c r="D10" s="181">
        <f t="shared" si="0"/>
        <v>2.6999999999999997</v>
      </c>
      <c r="E10" s="1">
        <f t="shared" si="2"/>
        <v>13.499999999999998</v>
      </c>
      <c r="F10" s="33"/>
      <c r="G10" s="33">
        <f>D10*15</f>
        <v>40.499999999999993</v>
      </c>
      <c r="H10" s="33"/>
      <c r="I10" s="33"/>
      <c r="J10" s="33"/>
      <c r="L10" s="33">
        <f t="shared" si="1"/>
        <v>107.99999999999999</v>
      </c>
      <c r="Q10" s="33"/>
    </row>
    <row r="11" spans="1:17">
      <c r="A11" s="141"/>
      <c r="B11" s="185" t="s">
        <v>907</v>
      </c>
      <c r="C11" s="181">
        <v>0.3</v>
      </c>
      <c r="D11" s="181">
        <f t="shared" si="0"/>
        <v>2.6999999999999997</v>
      </c>
      <c r="E11" s="1">
        <f t="shared" si="2"/>
        <v>13.499999999999998</v>
      </c>
      <c r="F11" s="33"/>
      <c r="G11" s="33"/>
      <c r="H11" s="33"/>
      <c r="I11" s="33"/>
      <c r="J11" s="33">
        <f>D11*15</f>
        <v>40.499999999999993</v>
      </c>
      <c r="L11" s="33">
        <f t="shared" si="1"/>
        <v>107.99999999999999</v>
      </c>
      <c r="Q11" s="33"/>
    </row>
    <row r="12" spans="1:17">
      <c r="A12" s="141"/>
      <c r="B12" s="185" t="s">
        <v>908</v>
      </c>
      <c r="C12" s="181">
        <v>0.3</v>
      </c>
      <c r="D12" s="181">
        <f t="shared" si="0"/>
        <v>2.6999999999999997</v>
      </c>
      <c r="E12" s="1">
        <f t="shared" si="2"/>
        <v>13.499999999999998</v>
      </c>
      <c r="F12" s="33"/>
      <c r="G12" s="33"/>
      <c r="H12" s="33"/>
      <c r="I12" s="33"/>
      <c r="J12" s="33">
        <f>D12*15</f>
        <v>40.499999999999993</v>
      </c>
      <c r="L12" s="33">
        <f t="shared" si="1"/>
        <v>107.99999999999999</v>
      </c>
      <c r="Q12" s="33"/>
    </row>
    <row r="13" spans="1:17">
      <c r="A13" s="141"/>
      <c r="B13" s="185" t="s">
        <v>909</v>
      </c>
      <c r="C13" s="181">
        <v>0.5</v>
      </c>
      <c r="D13" s="181">
        <f t="shared" si="0"/>
        <v>4.5</v>
      </c>
      <c r="E13" s="1">
        <f t="shared" si="2"/>
        <v>22.5</v>
      </c>
      <c r="F13" s="33"/>
      <c r="G13" s="33"/>
      <c r="H13" s="33">
        <f>D13*15</f>
        <v>67.5</v>
      </c>
      <c r="I13" s="33"/>
      <c r="J13" s="33"/>
      <c r="L13" s="33">
        <f t="shared" si="1"/>
        <v>180</v>
      </c>
      <c r="Q13" s="33"/>
    </row>
    <row r="14" spans="1:17">
      <c r="A14" s="141"/>
      <c r="B14" s="185" t="s">
        <v>910</v>
      </c>
      <c r="C14" s="181">
        <v>0.3</v>
      </c>
      <c r="D14" s="181">
        <f t="shared" si="0"/>
        <v>2.6999999999999997</v>
      </c>
      <c r="E14" s="1">
        <f t="shared" si="2"/>
        <v>13.499999999999998</v>
      </c>
      <c r="F14" s="33">
        <f>D14*15</f>
        <v>40.499999999999993</v>
      </c>
      <c r="G14" s="33"/>
      <c r="H14" s="33"/>
      <c r="I14" s="33"/>
      <c r="J14" s="33"/>
      <c r="L14" s="33">
        <f t="shared" si="1"/>
        <v>107.99999999999999</v>
      </c>
      <c r="Q14" s="33"/>
    </row>
    <row r="15" spans="1:17">
      <c r="A15" s="141"/>
      <c r="B15" s="185" t="s">
        <v>911</v>
      </c>
      <c r="C15" s="181">
        <v>0.5</v>
      </c>
      <c r="D15" s="181">
        <f t="shared" si="0"/>
        <v>4.5</v>
      </c>
      <c r="E15" s="1">
        <f t="shared" si="2"/>
        <v>22.5</v>
      </c>
      <c r="F15" s="33"/>
      <c r="G15" s="33"/>
      <c r="H15" s="33"/>
      <c r="I15" s="33"/>
      <c r="J15" s="33">
        <f>D15*15</f>
        <v>67.5</v>
      </c>
      <c r="L15" s="33">
        <f t="shared" si="1"/>
        <v>180</v>
      </c>
      <c r="Q15" s="33"/>
    </row>
    <row r="16" spans="1:17">
      <c r="A16" s="141"/>
      <c r="B16" s="185" t="s">
        <v>912</v>
      </c>
      <c r="C16" s="181">
        <v>0.5</v>
      </c>
      <c r="D16" s="181">
        <f t="shared" si="0"/>
        <v>4.5</v>
      </c>
      <c r="E16" s="1">
        <f t="shared" si="2"/>
        <v>22.5</v>
      </c>
      <c r="F16" s="33"/>
      <c r="G16" s="33"/>
      <c r="H16" s="33"/>
      <c r="I16" s="33">
        <f>D16*15</f>
        <v>67.5</v>
      </c>
      <c r="J16" s="33"/>
      <c r="L16" s="33">
        <f t="shared" si="1"/>
        <v>180</v>
      </c>
      <c r="Q16" s="33"/>
    </row>
    <row r="17" spans="1:12" ht="25" customHeight="1">
      <c r="A17" s="125" t="s">
        <v>81</v>
      </c>
      <c r="B17" s="125" t="s">
        <v>196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1:12">
      <c r="A18" s="141"/>
      <c r="B18" s="185" t="s">
        <v>913</v>
      </c>
      <c r="C18" s="181">
        <v>0.3</v>
      </c>
      <c r="D18" s="181">
        <f t="shared" ref="D18:D32" si="4">C18*9</f>
        <v>2.6999999999999997</v>
      </c>
      <c r="E18" s="1">
        <f>D18*5</f>
        <v>13.499999999999998</v>
      </c>
      <c r="F18" s="33"/>
      <c r="G18" s="33">
        <f t="shared" ref="G18:G23" si="5">D18*15</f>
        <v>40.499999999999993</v>
      </c>
      <c r="H18" s="33"/>
      <c r="I18" s="33"/>
      <c r="J18" s="33"/>
      <c r="L18" s="33">
        <f t="shared" ref="L18:L77" si="6">D18*35</f>
        <v>94.499999999999986</v>
      </c>
    </row>
    <row r="19" spans="1:12">
      <c r="A19" s="141"/>
      <c r="B19" s="185" t="s">
        <v>914</v>
      </c>
      <c r="C19" s="181">
        <v>1</v>
      </c>
      <c r="D19" s="181">
        <f t="shared" si="4"/>
        <v>9</v>
      </c>
      <c r="E19" s="1">
        <f t="shared" ref="E19:E77" si="7">D19*5</f>
        <v>45</v>
      </c>
      <c r="F19" s="33"/>
      <c r="G19" s="33"/>
      <c r="H19" s="33">
        <f>D19*15</f>
        <v>135</v>
      </c>
      <c r="I19" s="33"/>
      <c r="J19" s="33"/>
      <c r="L19" s="33">
        <f t="shared" si="6"/>
        <v>315</v>
      </c>
    </row>
    <row r="20" spans="1:12">
      <c r="A20" s="141"/>
      <c r="B20" s="188" t="s">
        <v>915</v>
      </c>
      <c r="C20" s="181">
        <v>0.5</v>
      </c>
      <c r="D20" s="181">
        <f t="shared" si="4"/>
        <v>4.5</v>
      </c>
      <c r="E20" s="1">
        <f t="shared" si="7"/>
        <v>22.5</v>
      </c>
      <c r="F20" s="33"/>
      <c r="G20" s="33"/>
      <c r="H20" s="33"/>
      <c r="I20" s="33">
        <f>D20*15</f>
        <v>67.5</v>
      </c>
      <c r="J20" s="33"/>
      <c r="L20" s="33">
        <f t="shared" si="6"/>
        <v>157.5</v>
      </c>
    </row>
    <row r="21" spans="1:12">
      <c r="A21" s="141"/>
      <c r="B21" s="188" t="s">
        <v>916</v>
      </c>
      <c r="C21" s="181">
        <v>0.3</v>
      </c>
      <c r="D21" s="181">
        <f t="shared" si="4"/>
        <v>2.6999999999999997</v>
      </c>
      <c r="E21" s="1">
        <f t="shared" si="7"/>
        <v>13.499999999999998</v>
      </c>
      <c r="F21" s="33"/>
      <c r="G21" s="33">
        <f t="shared" si="5"/>
        <v>40.499999999999993</v>
      </c>
      <c r="H21" s="33"/>
      <c r="I21" s="33"/>
      <c r="J21" s="33"/>
      <c r="L21" s="33">
        <f t="shared" si="6"/>
        <v>94.499999999999986</v>
      </c>
    </row>
    <row r="22" spans="1:12">
      <c r="A22" s="141"/>
      <c r="B22" s="189" t="s">
        <v>917</v>
      </c>
      <c r="C22" s="181">
        <v>0.3</v>
      </c>
      <c r="D22" s="181">
        <f t="shared" si="4"/>
        <v>2.6999999999999997</v>
      </c>
      <c r="E22" s="1">
        <f t="shared" si="7"/>
        <v>13.499999999999998</v>
      </c>
      <c r="F22" s="33"/>
      <c r="G22" s="33">
        <f t="shared" si="5"/>
        <v>40.499999999999993</v>
      </c>
      <c r="H22" s="33"/>
      <c r="I22" s="33"/>
      <c r="J22" s="33"/>
      <c r="L22" s="33">
        <f t="shared" si="6"/>
        <v>94.499999999999986</v>
      </c>
    </row>
    <row r="23" spans="1:12">
      <c r="A23" s="141"/>
      <c r="B23" s="189" t="s">
        <v>918</v>
      </c>
      <c r="C23" s="181">
        <v>0.1</v>
      </c>
      <c r="D23" s="181">
        <f t="shared" si="4"/>
        <v>0.9</v>
      </c>
      <c r="E23" s="1">
        <f t="shared" si="7"/>
        <v>4.5</v>
      </c>
      <c r="F23" s="33"/>
      <c r="G23" s="33">
        <f t="shared" si="5"/>
        <v>13.5</v>
      </c>
      <c r="H23" s="33"/>
      <c r="I23" s="33"/>
      <c r="J23" s="33"/>
      <c r="L23" s="33">
        <f t="shared" si="6"/>
        <v>31.5</v>
      </c>
    </row>
    <row r="24" spans="1:12">
      <c r="A24" s="141"/>
      <c r="B24" s="188" t="s">
        <v>919</v>
      </c>
      <c r="C24" s="181">
        <v>0.3</v>
      </c>
      <c r="D24" s="181">
        <f t="shared" si="4"/>
        <v>2.6999999999999997</v>
      </c>
      <c r="E24" s="1">
        <f t="shared" si="7"/>
        <v>13.499999999999998</v>
      </c>
      <c r="F24" s="33"/>
      <c r="G24" s="33"/>
      <c r="H24" s="33"/>
      <c r="I24" s="33">
        <f>D24*15</f>
        <v>40.499999999999993</v>
      </c>
      <c r="J24" s="33"/>
      <c r="L24" s="33">
        <f t="shared" si="6"/>
        <v>94.499999999999986</v>
      </c>
    </row>
    <row r="25" spans="1:12">
      <c r="A25" s="141"/>
      <c r="B25" s="189" t="s">
        <v>920</v>
      </c>
      <c r="C25" s="181">
        <v>0.3</v>
      </c>
      <c r="D25" s="181">
        <f t="shared" si="4"/>
        <v>2.6999999999999997</v>
      </c>
      <c r="E25" s="1">
        <f t="shared" si="7"/>
        <v>13.499999999999998</v>
      </c>
      <c r="F25" s="33"/>
      <c r="G25" s="33"/>
      <c r="H25" s="33"/>
      <c r="I25" s="33">
        <f t="shared" ref="I25:I27" si="8">D25*15</f>
        <v>40.499999999999993</v>
      </c>
      <c r="J25" s="33"/>
      <c r="L25" s="33">
        <f t="shared" si="6"/>
        <v>94.499999999999986</v>
      </c>
    </row>
    <row r="26" spans="1:12">
      <c r="A26" s="141"/>
      <c r="B26" s="189" t="s">
        <v>921</v>
      </c>
      <c r="C26" s="181">
        <v>0.3</v>
      </c>
      <c r="D26" s="181">
        <f t="shared" si="4"/>
        <v>2.6999999999999997</v>
      </c>
      <c r="E26" s="1">
        <f t="shared" si="7"/>
        <v>13.499999999999998</v>
      </c>
      <c r="F26" s="33"/>
      <c r="G26" s="33"/>
      <c r="H26" s="33"/>
      <c r="I26" s="33">
        <f t="shared" si="8"/>
        <v>40.499999999999993</v>
      </c>
      <c r="J26" s="33"/>
      <c r="L26" s="33">
        <f t="shared" si="6"/>
        <v>94.499999999999986</v>
      </c>
    </row>
    <row r="27" spans="1:12">
      <c r="A27" s="141"/>
      <c r="B27" s="189" t="s">
        <v>799</v>
      </c>
      <c r="C27" s="181">
        <v>0.3</v>
      </c>
      <c r="D27" s="181">
        <f t="shared" si="4"/>
        <v>2.6999999999999997</v>
      </c>
      <c r="E27" s="1">
        <f t="shared" si="7"/>
        <v>13.499999999999998</v>
      </c>
      <c r="F27" s="33"/>
      <c r="G27" s="33"/>
      <c r="H27" s="33"/>
      <c r="I27" s="33">
        <f t="shared" si="8"/>
        <v>40.499999999999993</v>
      </c>
      <c r="J27" s="33"/>
      <c r="L27" s="33">
        <f t="shared" si="6"/>
        <v>94.499999999999986</v>
      </c>
    </row>
    <row r="28" spans="1:12">
      <c r="A28" s="141"/>
      <c r="B28" s="189" t="s">
        <v>922</v>
      </c>
      <c r="C28" s="181">
        <v>0.3</v>
      </c>
      <c r="D28" s="181">
        <f t="shared" si="4"/>
        <v>2.6999999999999997</v>
      </c>
      <c r="E28" s="1">
        <f t="shared" si="7"/>
        <v>13.499999999999998</v>
      </c>
      <c r="F28" s="33"/>
      <c r="G28" s="33"/>
      <c r="H28" s="33"/>
      <c r="I28" s="33"/>
      <c r="J28" s="33">
        <f>D28*15</f>
        <v>40.499999999999993</v>
      </c>
      <c r="L28" s="33">
        <f t="shared" si="6"/>
        <v>94.499999999999986</v>
      </c>
    </row>
    <row r="29" spans="1:12">
      <c r="A29" s="141"/>
      <c r="B29" s="189" t="s">
        <v>720</v>
      </c>
      <c r="C29" s="181">
        <v>0.3</v>
      </c>
      <c r="D29" s="181">
        <f t="shared" si="4"/>
        <v>2.6999999999999997</v>
      </c>
      <c r="E29" s="1">
        <f t="shared" si="7"/>
        <v>13.499999999999998</v>
      </c>
      <c r="F29" s="33"/>
      <c r="G29" s="33"/>
      <c r="H29" s="33"/>
      <c r="I29" s="33"/>
      <c r="J29" s="33">
        <f>D29*15</f>
        <v>40.499999999999993</v>
      </c>
      <c r="L29" s="33">
        <f t="shared" si="6"/>
        <v>94.499999999999986</v>
      </c>
    </row>
    <row r="30" spans="1:12">
      <c r="A30" s="141"/>
      <c r="B30" s="189" t="s">
        <v>923</v>
      </c>
      <c r="C30" s="181">
        <v>0.3</v>
      </c>
      <c r="D30" s="181">
        <f t="shared" si="4"/>
        <v>2.6999999999999997</v>
      </c>
      <c r="E30" s="1">
        <f t="shared" si="7"/>
        <v>13.499999999999998</v>
      </c>
      <c r="F30" s="33"/>
      <c r="G30" s="33"/>
      <c r="H30" s="33"/>
      <c r="I30" s="33"/>
      <c r="J30" s="33">
        <f>D30*15</f>
        <v>40.499999999999993</v>
      </c>
      <c r="L30" s="33">
        <f t="shared" si="6"/>
        <v>94.499999999999986</v>
      </c>
    </row>
    <row r="31" spans="1:12">
      <c r="A31" s="141"/>
      <c r="B31" s="189" t="s">
        <v>924</v>
      </c>
      <c r="C31" s="181">
        <v>0.3</v>
      </c>
      <c r="D31" s="181">
        <f t="shared" si="4"/>
        <v>2.6999999999999997</v>
      </c>
      <c r="E31" s="1">
        <f t="shared" si="7"/>
        <v>13.499999999999998</v>
      </c>
      <c r="F31" s="33">
        <f>D31*15</f>
        <v>40.499999999999993</v>
      </c>
      <c r="G31" s="33"/>
      <c r="H31" s="33"/>
      <c r="I31" s="33"/>
      <c r="J31" s="33"/>
      <c r="L31" s="33">
        <f t="shared" si="6"/>
        <v>94.499999999999986</v>
      </c>
    </row>
    <row r="32" spans="1:12">
      <c r="A32" s="141"/>
      <c r="B32" s="189" t="s">
        <v>925</v>
      </c>
      <c r="C32" s="181">
        <v>0.3</v>
      </c>
      <c r="D32" s="181">
        <f t="shared" si="4"/>
        <v>2.6999999999999997</v>
      </c>
      <c r="E32" s="1">
        <f t="shared" si="7"/>
        <v>13.499999999999998</v>
      </c>
      <c r="F32" s="33"/>
      <c r="G32" s="33"/>
      <c r="H32" s="33">
        <f>D32*15</f>
        <v>40.499999999999993</v>
      </c>
      <c r="I32" s="33"/>
      <c r="J32" s="33"/>
      <c r="L32" s="33">
        <f t="shared" si="6"/>
        <v>94.499999999999986</v>
      </c>
    </row>
    <row r="33" spans="1:12">
      <c r="A33" s="194"/>
      <c r="B33" s="189" t="s">
        <v>926</v>
      </c>
      <c r="C33" s="181"/>
      <c r="D33" s="181"/>
      <c r="E33" s="1">
        <f t="shared" si="7"/>
        <v>0</v>
      </c>
      <c r="F33" s="33"/>
      <c r="G33" s="33"/>
      <c r="H33" s="33"/>
      <c r="I33" s="33"/>
      <c r="J33" s="33"/>
      <c r="L33" s="33">
        <f t="shared" si="6"/>
        <v>0</v>
      </c>
    </row>
    <row r="34" spans="1:12">
      <c r="A34" s="141"/>
      <c r="B34" s="189" t="s">
        <v>927</v>
      </c>
      <c r="C34" s="181">
        <v>0.3</v>
      </c>
      <c r="D34" s="181">
        <f t="shared" ref="D34:D69" si="9">C34*9</f>
        <v>2.6999999999999997</v>
      </c>
      <c r="E34" s="1">
        <f t="shared" si="7"/>
        <v>13.499999999999998</v>
      </c>
      <c r="F34" s="33"/>
      <c r="G34" s="33"/>
      <c r="H34" s="33">
        <f>D34*15</f>
        <v>40.499999999999993</v>
      </c>
      <c r="I34" s="33"/>
      <c r="J34" s="33"/>
      <c r="L34" s="33">
        <f t="shared" si="6"/>
        <v>94.499999999999986</v>
      </c>
    </row>
    <row r="35" spans="1:12">
      <c r="A35" s="141"/>
      <c r="B35" s="189" t="s">
        <v>928</v>
      </c>
      <c r="C35" s="181">
        <v>0.3</v>
      </c>
      <c r="D35" s="181">
        <f t="shared" si="9"/>
        <v>2.6999999999999997</v>
      </c>
      <c r="E35" s="1">
        <f t="shared" si="7"/>
        <v>13.499999999999998</v>
      </c>
      <c r="F35" s="33"/>
      <c r="G35" s="33"/>
      <c r="H35" s="33">
        <f>D35*15</f>
        <v>40.499999999999993</v>
      </c>
      <c r="I35" s="33"/>
      <c r="J35" s="33"/>
      <c r="L35" s="33">
        <f t="shared" si="6"/>
        <v>94.499999999999986</v>
      </c>
    </row>
    <row r="36" spans="1:12">
      <c r="A36" s="141"/>
      <c r="B36" s="189" t="s">
        <v>929</v>
      </c>
      <c r="C36" s="181">
        <v>0.3</v>
      </c>
      <c r="D36" s="181">
        <f t="shared" si="9"/>
        <v>2.6999999999999997</v>
      </c>
      <c r="E36" s="1">
        <f t="shared" si="7"/>
        <v>13.499999999999998</v>
      </c>
      <c r="F36" s="33">
        <f>D36*15</f>
        <v>40.499999999999993</v>
      </c>
      <c r="G36" s="33"/>
      <c r="H36" s="33"/>
      <c r="I36" s="33"/>
      <c r="J36" s="33"/>
      <c r="L36" s="33">
        <f t="shared" si="6"/>
        <v>94.499999999999986</v>
      </c>
    </row>
    <row r="37" spans="1:12">
      <c r="A37" s="141"/>
      <c r="B37" s="189" t="s">
        <v>930</v>
      </c>
      <c r="C37" s="181">
        <v>0.3</v>
      </c>
      <c r="D37" s="181">
        <f t="shared" si="9"/>
        <v>2.6999999999999997</v>
      </c>
      <c r="E37" s="1">
        <f t="shared" si="7"/>
        <v>13.499999999999998</v>
      </c>
      <c r="F37" s="33">
        <f>D37*15</f>
        <v>40.499999999999993</v>
      </c>
      <c r="G37" s="33"/>
      <c r="H37" s="33"/>
      <c r="I37" s="33"/>
      <c r="J37" s="33"/>
      <c r="L37" s="33">
        <f t="shared" si="6"/>
        <v>94.499999999999986</v>
      </c>
    </row>
    <row r="38" spans="1:12">
      <c r="A38" s="141"/>
      <c r="B38" s="189" t="s">
        <v>931</v>
      </c>
      <c r="C38" s="181">
        <v>0.3</v>
      </c>
      <c r="D38" s="181">
        <f t="shared" si="9"/>
        <v>2.6999999999999997</v>
      </c>
      <c r="E38" s="1">
        <f t="shared" si="7"/>
        <v>13.499999999999998</v>
      </c>
      <c r="F38" s="33"/>
      <c r="G38" s="33"/>
      <c r="H38" s="33">
        <f>D38*15</f>
        <v>40.499999999999993</v>
      </c>
      <c r="I38" s="33"/>
      <c r="J38" s="33"/>
      <c r="L38" s="33">
        <f t="shared" si="6"/>
        <v>94.499999999999986</v>
      </c>
    </row>
    <row r="39" spans="1:12">
      <c r="A39" s="141"/>
      <c r="B39" s="189" t="s">
        <v>932</v>
      </c>
      <c r="C39" s="181">
        <v>0.3</v>
      </c>
      <c r="D39" s="181">
        <f t="shared" si="9"/>
        <v>2.6999999999999997</v>
      </c>
      <c r="E39" s="1">
        <f t="shared" si="7"/>
        <v>13.499999999999998</v>
      </c>
      <c r="F39" s="33">
        <f>D39*15</f>
        <v>40.499999999999993</v>
      </c>
      <c r="G39" s="33"/>
      <c r="H39" s="33"/>
      <c r="I39" s="33"/>
      <c r="J39" s="33"/>
      <c r="L39" s="33">
        <f t="shared" si="6"/>
        <v>94.499999999999986</v>
      </c>
    </row>
    <row r="40" spans="1:12">
      <c r="A40" s="141"/>
      <c r="B40" s="189" t="s">
        <v>933</v>
      </c>
      <c r="C40" s="181">
        <v>0.3</v>
      </c>
      <c r="D40" s="181">
        <f t="shared" si="9"/>
        <v>2.6999999999999997</v>
      </c>
      <c r="E40" s="1">
        <f t="shared" si="7"/>
        <v>13.499999999999998</v>
      </c>
      <c r="F40" s="33">
        <f>D40*15</f>
        <v>40.499999999999993</v>
      </c>
      <c r="G40" s="33"/>
      <c r="H40" s="33"/>
      <c r="I40" s="33"/>
      <c r="J40" s="33"/>
      <c r="L40" s="33">
        <f t="shared" si="6"/>
        <v>94.499999999999986</v>
      </c>
    </row>
    <row r="41" spans="1:12">
      <c r="A41" s="141"/>
      <c r="B41" s="189" t="s">
        <v>934</v>
      </c>
      <c r="C41" s="181">
        <v>0.3</v>
      </c>
      <c r="D41" s="181">
        <f t="shared" si="9"/>
        <v>2.6999999999999997</v>
      </c>
      <c r="E41" s="1">
        <f t="shared" si="7"/>
        <v>13.499999999999998</v>
      </c>
      <c r="F41" s="33">
        <f>D41*15</f>
        <v>40.499999999999993</v>
      </c>
      <c r="G41" s="33"/>
      <c r="H41" s="33"/>
      <c r="I41" s="33"/>
      <c r="J41" s="33"/>
      <c r="L41" s="33">
        <f t="shared" si="6"/>
        <v>94.499999999999986</v>
      </c>
    </row>
    <row r="42" spans="1:12">
      <c r="A42" s="141"/>
      <c r="B42" s="189" t="s">
        <v>935</v>
      </c>
      <c r="C42" s="181">
        <v>0.3</v>
      </c>
      <c r="D42" s="181">
        <f t="shared" si="9"/>
        <v>2.6999999999999997</v>
      </c>
      <c r="E42" s="1">
        <f t="shared" si="7"/>
        <v>13.499999999999998</v>
      </c>
      <c r="F42" s="33"/>
      <c r="G42" s="33">
        <f t="shared" ref="G42:G47" si="10">D42*15</f>
        <v>40.499999999999993</v>
      </c>
      <c r="H42" s="33"/>
      <c r="I42" s="33"/>
      <c r="J42" s="33"/>
      <c r="L42" s="33">
        <f t="shared" si="6"/>
        <v>94.499999999999986</v>
      </c>
    </row>
    <row r="43" spans="1:12">
      <c r="A43" s="141"/>
      <c r="B43" s="189" t="s">
        <v>936</v>
      </c>
      <c r="C43" s="181">
        <v>0.3</v>
      </c>
      <c r="D43" s="181">
        <f t="shared" si="9"/>
        <v>2.6999999999999997</v>
      </c>
      <c r="E43" s="1">
        <f t="shared" si="7"/>
        <v>13.499999999999998</v>
      </c>
      <c r="F43" s="33"/>
      <c r="G43" s="33">
        <f t="shared" si="10"/>
        <v>40.499999999999993</v>
      </c>
      <c r="H43" s="33"/>
      <c r="I43" s="33"/>
      <c r="J43" s="33"/>
      <c r="L43" s="33">
        <f t="shared" si="6"/>
        <v>94.499999999999986</v>
      </c>
    </row>
    <row r="44" spans="1:12">
      <c r="A44" s="141"/>
      <c r="B44" s="189" t="s">
        <v>937</v>
      </c>
      <c r="C44" s="181">
        <v>0.3</v>
      </c>
      <c r="D44" s="181">
        <f t="shared" si="9"/>
        <v>2.6999999999999997</v>
      </c>
      <c r="E44" s="1">
        <f t="shared" si="7"/>
        <v>13.499999999999998</v>
      </c>
      <c r="F44" s="33"/>
      <c r="G44" s="33">
        <f t="shared" si="10"/>
        <v>40.499999999999993</v>
      </c>
      <c r="H44" s="33"/>
      <c r="I44" s="33"/>
      <c r="J44" s="33"/>
      <c r="L44" s="33">
        <f t="shared" si="6"/>
        <v>94.499999999999986</v>
      </c>
    </row>
    <row r="45" spans="1:12">
      <c r="A45" s="141"/>
      <c r="B45" s="189" t="s">
        <v>938</v>
      </c>
      <c r="C45" s="181">
        <v>0.3</v>
      </c>
      <c r="D45" s="181">
        <f t="shared" si="9"/>
        <v>2.6999999999999997</v>
      </c>
      <c r="E45" s="1">
        <f t="shared" si="7"/>
        <v>13.499999999999998</v>
      </c>
      <c r="F45" s="33"/>
      <c r="G45" s="33">
        <f t="shared" si="10"/>
        <v>40.499999999999993</v>
      </c>
      <c r="H45" s="33"/>
      <c r="I45" s="33"/>
      <c r="J45" s="33"/>
      <c r="L45" s="33">
        <f t="shared" si="6"/>
        <v>94.499999999999986</v>
      </c>
    </row>
    <row r="46" spans="1:12">
      <c r="A46" s="141"/>
      <c r="B46" s="189" t="s">
        <v>939</v>
      </c>
      <c r="C46" s="181">
        <v>0.3</v>
      </c>
      <c r="D46" s="181">
        <f t="shared" si="9"/>
        <v>2.6999999999999997</v>
      </c>
      <c r="E46" s="1">
        <f t="shared" si="7"/>
        <v>13.499999999999998</v>
      </c>
      <c r="F46" s="33"/>
      <c r="G46" s="33">
        <f t="shared" si="10"/>
        <v>40.499999999999993</v>
      </c>
      <c r="H46" s="33"/>
      <c r="I46" s="33"/>
      <c r="J46" s="33"/>
      <c r="L46" s="33">
        <f t="shared" si="6"/>
        <v>94.499999999999986</v>
      </c>
    </row>
    <row r="47" spans="1:12">
      <c r="A47" s="141"/>
      <c r="B47" s="189" t="s">
        <v>940</v>
      </c>
      <c r="C47" s="181">
        <v>0.3</v>
      </c>
      <c r="D47" s="181">
        <f t="shared" si="9"/>
        <v>2.6999999999999997</v>
      </c>
      <c r="E47" s="1">
        <f t="shared" si="7"/>
        <v>13.499999999999998</v>
      </c>
      <c r="F47" s="33"/>
      <c r="G47" s="33">
        <f t="shared" si="10"/>
        <v>40.499999999999993</v>
      </c>
      <c r="H47" s="33"/>
      <c r="I47" s="33"/>
      <c r="J47" s="33"/>
      <c r="L47" s="33">
        <f t="shared" si="6"/>
        <v>94.499999999999986</v>
      </c>
    </row>
    <row r="48" spans="1:12">
      <c r="A48" s="141"/>
      <c r="B48" s="189" t="s">
        <v>941</v>
      </c>
      <c r="C48" s="181">
        <v>0.3</v>
      </c>
      <c r="D48" s="181">
        <f t="shared" si="9"/>
        <v>2.6999999999999997</v>
      </c>
      <c r="E48" s="1">
        <f t="shared" si="7"/>
        <v>13.499999999999998</v>
      </c>
      <c r="F48" s="33">
        <f>D48*15</f>
        <v>40.499999999999993</v>
      </c>
      <c r="G48" s="33"/>
      <c r="H48" s="33"/>
      <c r="I48" s="33"/>
      <c r="J48" s="33"/>
      <c r="L48" s="33">
        <f t="shared" si="6"/>
        <v>94.499999999999986</v>
      </c>
    </row>
    <row r="49" spans="1:12">
      <c r="A49" s="141"/>
      <c r="B49" s="189" t="s">
        <v>942</v>
      </c>
      <c r="C49" s="181">
        <v>0.3</v>
      </c>
      <c r="D49" s="181">
        <f t="shared" si="9"/>
        <v>2.6999999999999997</v>
      </c>
      <c r="E49" s="1">
        <f t="shared" si="7"/>
        <v>13.499999999999998</v>
      </c>
      <c r="F49" s="33">
        <f>D49*15</f>
        <v>40.499999999999993</v>
      </c>
      <c r="G49" s="33"/>
      <c r="H49" s="33"/>
      <c r="I49" s="33"/>
      <c r="J49" s="33"/>
      <c r="L49" s="33">
        <f t="shared" si="6"/>
        <v>94.499999999999986</v>
      </c>
    </row>
    <row r="50" spans="1:12">
      <c r="A50" s="141"/>
      <c r="B50" s="189" t="s">
        <v>943</v>
      </c>
      <c r="C50" s="181">
        <v>0.3</v>
      </c>
      <c r="D50" s="181">
        <f t="shared" si="9"/>
        <v>2.6999999999999997</v>
      </c>
      <c r="E50" s="1">
        <f t="shared" si="7"/>
        <v>13.499999999999998</v>
      </c>
      <c r="F50" s="33"/>
      <c r="G50" s="33">
        <f t="shared" ref="G50:G52" si="11">D50*15</f>
        <v>40.499999999999993</v>
      </c>
      <c r="H50" s="33"/>
      <c r="I50" s="33"/>
      <c r="J50" s="33"/>
      <c r="L50" s="33">
        <f t="shared" si="6"/>
        <v>94.499999999999986</v>
      </c>
    </row>
    <row r="51" spans="1:12">
      <c r="A51" s="141"/>
      <c r="B51" s="189" t="s">
        <v>944</v>
      </c>
      <c r="C51" s="181">
        <v>0.3</v>
      </c>
      <c r="D51" s="181">
        <f t="shared" si="9"/>
        <v>2.6999999999999997</v>
      </c>
      <c r="E51" s="1">
        <f t="shared" si="7"/>
        <v>13.499999999999998</v>
      </c>
      <c r="F51" s="33"/>
      <c r="G51" s="33">
        <f t="shared" si="11"/>
        <v>40.499999999999993</v>
      </c>
      <c r="H51" s="33"/>
      <c r="I51" s="33"/>
      <c r="J51" s="33"/>
      <c r="L51" s="33">
        <f t="shared" si="6"/>
        <v>94.499999999999986</v>
      </c>
    </row>
    <row r="52" spans="1:12">
      <c r="A52" s="141"/>
      <c r="B52" s="189" t="s">
        <v>945</v>
      </c>
      <c r="C52" s="181">
        <v>0.3</v>
      </c>
      <c r="D52" s="181">
        <f t="shared" si="9"/>
        <v>2.6999999999999997</v>
      </c>
      <c r="E52" s="1">
        <f t="shared" si="7"/>
        <v>13.499999999999998</v>
      </c>
      <c r="F52" s="33"/>
      <c r="G52" s="33">
        <f t="shared" si="11"/>
        <v>40.499999999999993</v>
      </c>
      <c r="H52" s="33"/>
      <c r="I52" s="33"/>
      <c r="J52" s="33"/>
      <c r="L52" s="33">
        <f t="shared" si="6"/>
        <v>94.499999999999986</v>
      </c>
    </row>
    <row r="53" spans="1:12">
      <c r="A53" s="141"/>
      <c r="B53" s="189" t="s">
        <v>946</v>
      </c>
      <c r="C53" s="181">
        <v>0.3</v>
      </c>
      <c r="D53" s="181">
        <f t="shared" si="9"/>
        <v>2.6999999999999997</v>
      </c>
      <c r="E53" s="1">
        <f t="shared" si="7"/>
        <v>13.499999999999998</v>
      </c>
      <c r="F53" s="33"/>
      <c r="G53" s="33"/>
      <c r="H53" s="33"/>
      <c r="I53" s="33">
        <f t="shared" ref="I53" si="12">D53*15</f>
        <v>40.499999999999993</v>
      </c>
      <c r="J53" s="33"/>
      <c r="L53" s="33">
        <f t="shared" si="6"/>
        <v>94.499999999999986</v>
      </c>
    </row>
    <row r="54" spans="1:12">
      <c r="A54" s="141"/>
      <c r="B54" s="189" t="s">
        <v>947</v>
      </c>
      <c r="C54" s="181">
        <v>0.3</v>
      </c>
      <c r="D54" s="181">
        <f t="shared" si="9"/>
        <v>2.6999999999999997</v>
      </c>
      <c r="E54" s="1">
        <f t="shared" si="7"/>
        <v>13.499999999999998</v>
      </c>
      <c r="F54" s="33"/>
      <c r="G54" s="33"/>
      <c r="H54" s="33"/>
      <c r="I54" s="33"/>
      <c r="J54" s="33">
        <f>D54*15</f>
        <v>40.499999999999993</v>
      </c>
      <c r="L54" s="33">
        <f t="shared" si="6"/>
        <v>94.499999999999986</v>
      </c>
    </row>
    <row r="55" spans="1:12">
      <c r="A55" s="141"/>
      <c r="B55" s="189" t="s">
        <v>948</v>
      </c>
      <c r="C55" s="181">
        <v>0.3</v>
      </c>
      <c r="D55" s="181">
        <f t="shared" si="9"/>
        <v>2.6999999999999997</v>
      </c>
      <c r="E55" s="1">
        <f t="shared" si="7"/>
        <v>13.499999999999998</v>
      </c>
      <c r="F55" s="33">
        <f>D55*15</f>
        <v>40.499999999999993</v>
      </c>
      <c r="G55" s="33"/>
      <c r="H55" s="33"/>
      <c r="I55" s="33"/>
      <c r="J55" s="33"/>
      <c r="L55" s="33">
        <f t="shared" si="6"/>
        <v>94.499999999999986</v>
      </c>
    </row>
    <row r="56" spans="1:12">
      <c r="A56" s="141"/>
      <c r="B56" s="189" t="s">
        <v>949</v>
      </c>
      <c r="C56" s="181">
        <v>1</v>
      </c>
      <c r="D56" s="181">
        <f t="shared" si="9"/>
        <v>9</v>
      </c>
      <c r="E56" s="1">
        <f t="shared" si="7"/>
        <v>45</v>
      </c>
      <c r="F56" s="33"/>
      <c r="G56" s="33"/>
      <c r="H56" s="33">
        <f>D56*15</f>
        <v>135</v>
      </c>
      <c r="I56" s="33"/>
      <c r="J56" s="33"/>
      <c r="L56" s="33">
        <f t="shared" si="6"/>
        <v>315</v>
      </c>
    </row>
    <row r="57" spans="1:12">
      <c r="A57" s="141"/>
      <c r="B57" s="189" t="s">
        <v>950</v>
      </c>
      <c r="C57" s="181">
        <v>0.5</v>
      </c>
      <c r="D57" s="181">
        <f t="shared" si="9"/>
        <v>4.5</v>
      </c>
      <c r="E57" s="1">
        <f t="shared" si="7"/>
        <v>22.5</v>
      </c>
      <c r="F57" s="33"/>
      <c r="G57" s="33"/>
      <c r="H57" s="33"/>
      <c r="I57" s="33"/>
      <c r="J57" s="33">
        <f>D57*15</f>
        <v>67.5</v>
      </c>
      <c r="L57" s="33">
        <f t="shared" si="6"/>
        <v>157.5</v>
      </c>
    </row>
    <row r="58" spans="1:12">
      <c r="A58" s="141"/>
      <c r="B58" s="189" t="s">
        <v>951</v>
      </c>
      <c r="C58" s="181">
        <v>1</v>
      </c>
      <c r="D58" s="181">
        <f t="shared" si="9"/>
        <v>9</v>
      </c>
      <c r="E58" s="1">
        <f t="shared" si="7"/>
        <v>45</v>
      </c>
      <c r="F58" s="33"/>
      <c r="G58" s="33"/>
      <c r="H58" s="33"/>
      <c r="I58" s="33"/>
      <c r="J58" s="33">
        <f>D58*15</f>
        <v>135</v>
      </c>
      <c r="L58" s="33">
        <f t="shared" si="6"/>
        <v>315</v>
      </c>
    </row>
    <row r="59" spans="1:12">
      <c r="A59" s="141"/>
      <c r="B59" s="189" t="s">
        <v>952</v>
      </c>
      <c r="C59" s="181">
        <v>1</v>
      </c>
      <c r="D59" s="181">
        <f t="shared" si="9"/>
        <v>9</v>
      </c>
      <c r="E59" s="1">
        <f t="shared" si="7"/>
        <v>45</v>
      </c>
      <c r="F59" s="33"/>
      <c r="G59" s="33"/>
      <c r="H59" s="33"/>
      <c r="I59" s="33"/>
      <c r="J59" s="33">
        <f>D59*15</f>
        <v>135</v>
      </c>
      <c r="L59" s="33">
        <f t="shared" si="6"/>
        <v>315</v>
      </c>
    </row>
    <row r="60" spans="1:12">
      <c r="A60" s="141"/>
      <c r="B60" s="189" t="s">
        <v>953</v>
      </c>
      <c r="C60" s="181">
        <v>1</v>
      </c>
      <c r="D60" s="181">
        <f t="shared" si="9"/>
        <v>9</v>
      </c>
      <c r="E60" s="1">
        <f t="shared" si="7"/>
        <v>45</v>
      </c>
      <c r="F60" s="33"/>
      <c r="G60" s="33"/>
      <c r="H60" s="33"/>
      <c r="I60" s="33">
        <f t="shared" ref="I60" si="13">D60*15</f>
        <v>135</v>
      </c>
      <c r="J60" s="33"/>
      <c r="L60" s="33">
        <f t="shared" si="6"/>
        <v>315</v>
      </c>
    </row>
    <row r="61" spans="1:12">
      <c r="A61" s="141"/>
      <c r="B61" s="189" t="s">
        <v>954</v>
      </c>
      <c r="C61" s="181">
        <v>0.3</v>
      </c>
      <c r="D61" s="181">
        <f t="shared" si="9"/>
        <v>2.6999999999999997</v>
      </c>
      <c r="E61" s="1">
        <f t="shared" si="7"/>
        <v>13.499999999999998</v>
      </c>
      <c r="F61" s="33">
        <f>D61*15</f>
        <v>40.499999999999993</v>
      </c>
      <c r="G61" s="33"/>
      <c r="H61" s="33"/>
      <c r="I61" s="33"/>
      <c r="J61" s="33"/>
      <c r="L61" s="33">
        <f t="shared" si="6"/>
        <v>94.499999999999986</v>
      </c>
    </row>
    <row r="62" spans="1:12">
      <c r="A62" s="141"/>
      <c r="B62" s="189" t="s">
        <v>955</v>
      </c>
      <c r="C62" s="181">
        <v>0.3</v>
      </c>
      <c r="D62" s="181">
        <f t="shared" si="9"/>
        <v>2.6999999999999997</v>
      </c>
      <c r="E62" s="1">
        <f t="shared" si="7"/>
        <v>13.499999999999998</v>
      </c>
      <c r="F62" s="33"/>
      <c r="G62" s="33">
        <f t="shared" ref="G62" si="14">D62*15</f>
        <v>40.499999999999993</v>
      </c>
      <c r="H62" s="33"/>
      <c r="I62" s="33"/>
      <c r="J62" s="33"/>
      <c r="L62" s="33">
        <f t="shared" si="6"/>
        <v>94.499999999999986</v>
      </c>
    </row>
    <row r="63" spans="1:12">
      <c r="A63" s="141"/>
      <c r="B63" s="189" t="s">
        <v>956</v>
      </c>
      <c r="C63" s="181">
        <v>0.3</v>
      </c>
      <c r="D63" s="181">
        <f t="shared" si="9"/>
        <v>2.6999999999999997</v>
      </c>
      <c r="E63" s="1">
        <f t="shared" si="7"/>
        <v>13.499999999999998</v>
      </c>
      <c r="F63" s="33">
        <f>D63*15</f>
        <v>40.499999999999993</v>
      </c>
      <c r="G63" s="33"/>
      <c r="H63" s="33"/>
      <c r="I63" s="33"/>
      <c r="J63" s="33"/>
      <c r="L63" s="33">
        <f t="shared" si="6"/>
        <v>94.499999999999986</v>
      </c>
    </row>
    <row r="64" spans="1:12">
      <c r="A64" s="141"/>
      <c r="B64" s="189" t="s">
        <v>957</v>
      </c>
      <c r="C64" s="181">
        <v>0.3</v>
      </c>
      <c r="D64" s="181">
        <f t="shared" si="9"/>
        <v>2.6999999999999997</v>
      </c>
      <c r="E64" s="1">
        <f t="shared" si="7"/>
        <v>13.499999999999998</v>
      </c>
      <c r="F64" s="33">
        <f>D64*15</f>
        <v>40.499999999999993</v>
      </c>
      <c r="G64" s="33"/>
      <c r="H64" s="33"/>
      <c r="I64" s="33"/>
      <c r="J64" s="33"/>
      <c r="L64" s="33">
        <f t="shared" si="6"/>
        <v>94.499999999999986</v>
      </c>
    </row>
    <row r="65" spans="1:20">
      <c r="A65" s="141"/>
      <c r="B65" s="189" t="s">
        <v>958</v>
      </c>
      <c r="C65" s="181">
        <v>0.3</v>
      </c>
      <c r="D65" s="181">
        <f t="shared" si="9"/>
        <v>2.6999999999999997</v>
      </c>
      <c r="E65" s="1">
        <f t="shared" si="7"/>
        <v>13.499999999999998</v>
      </c>
      <c r="F65" s="33">
        <f>D65*15</f>
        <v>40.499999999999993</v>
      </c>
      <c r="G65" s="33"/>
      <c r="H65" s="33"/>
      <c r="I65" s="33"/>
      <c r="J65" s="33"/>
      <c r="L65" s="33">
        <f t="shared" si="6"/>
        <v>94.499999999999986</v>
      </c>
    </row>
    <row r="66" spans="1:20">
      <c r="A66" s="141"/>
      <c r="B66" s="189" t="s">
        <v>959</v>
      </c>
      <c r="C66" s="181">
        <v>0.3</v>
      </c>
      <c r="D66" s="181">
        <f t="shared" si="9"/>
        <v>2.6999999999999997</v>
      </c>
      <c r="E66" s="1">
        <f t="shared" si="7"/>
        <v>13.499999999999998</v>
      </c>
      <c r="F66" s="33"/>
      <c r="G66" s="33">
        <f t="shared" ref="G66:G70" si="15">D66*15</f>
        <v>40.499999999999993</v>
      </c>
      <c r="H66" s="33"/>
      <c r="I66" s="33"/>
      <c r="J66" s="33"/>
      <c r="L66" s="33">
        <f t="shared" si="6"/>
        <v>94.499999999999986</v>
      </c>
    </row>
    <row r="67" spans="1:20">
      <c r="A67" s="141"/>
      <c r="B67" s="189" t="s">
        <v>960</v>
      </c>
      <c r="C67" s="181">
        <v>0.3</v>
      </c>
      <c r="D67" s="181">
        <f t="shared" si="9"/>
        <v>2.6999999999999997</v>
      </c>
      <c r="E67" s="1">
        <f t="shared" si="7"/>
        <v>13.499999999999998</v>
      </c>
      <c r="F67" s="33"/>
      <c r="G67" s="33">
        <f t="shared" si="15"/>
        <v>40.499999999999993</v>
      </c>
      <c r="H67" s="33"/>
      <c r="I67" s="33"/>
      <c r="J67" s="33"/>
      <c r="L67" s="33">
        <f t="shared" si="6"/>
        <v>94.499999999999986</v>
      </c>
    </row>
    <row r="68" spans="1:20">
      <c r="A68" s="141"/>
      <c r="B68" s="189" t="s">
        <v>961</v>
      </c>
      <c r="C68" s="181">
        <v>0.3</v>
      </c>
      <c r="D68" s="181">
        <f t="shared" si="9"/>
        <v>2.6999999999999997</v>
      </c>
      <c r="E68" s="1">
        <f t="shared" si="7"/>
        <v>13.499999999999998</v>
      </c>
      <c r="F68" s="33">
        <f>D68*15</f>
        <v>40.499999999999993</v>
      </c>
      <c r="G68" s="33"/>
      <c r="H68" s="33"/>
      <c r="I68" s="33"/>
      <c r="J68" s="33"/>
      <c r="L68" s="33">
        <f t="shared" si="6"/>
        <v>94.499999999999986</v>
      </c>
    </row>
    <row r="69" spans="1:20">
      <c r="A69" s="141"/>
      <c r="B69" s="189" t="s">
        <v>962</v>
      </c>
      <c r="C69" s="181">
        <v>0.3</v>
      </c>
      <c r="D69" s="181">
        <f t="shared" si="9"/>
        <v>2.6999999999999997</v>
      </c>
      <c r="E69" s="1">
        <f t="shared" si="7"/>
        <v>13.499999999999998</v>
      </c>
      <c r="F69" s="33"/>
      <c r="G69" s="33">
        <f t="shared" si="15"/>
        <v>40.499999999999993</v>
      </c>
      <c r="H69" s="33"/>
      <c r="I69" s="33"/>
      <c r="J69" s="33"/>
      <c r="L69" s="33">
        <f t="shared" si="6"/>
        <v>94.499999999999986</v>
      </c>
    </row>
    <row r="70" spans="1:20">
      <c r="A70" s="141"/>
      <c r="B70" s="189" t="s">
        <v>963</v>
      </c>
      <c r="C70" s="181">
        <v>0.3</v>
      </c>
      <c r="D70" s="181">
        <v>2.7</v>
      </c>
      <c r="E70" s="1">
        <f t="shared" si="7"/>
        <v>13.5</v>
      </c>
      <c r="F70" s="33"/>
      <c r="G70" s="33">
        <f t="shared" si="15"/>
        <v>40.5</v>
      </c>
      <c r="H70" s="33"/>
      <c r="I70" s="33"/>
      <c r="J70" s="33"/>
      <c r="L70" s="33">
        <f t="shared" si="6"/>
        <v>94.5</v>
      </c>
    </row>
    <row r="71" spans="1:20">
      <c r="A71" s="141"/>
      <c r="B71" s="189" t="s">
        <v>964</v>
      </c>
      <c r="C71" s="181">
        <v>1.5</v>
      </c>
      <c r="D71" s="181">
        <f t="shared" ref="D71:D77" si="16">C71*9</f>
        <v>13.5</v>
      </c>
      <c r="E71" s="1">
        <f t="shared" si="7"/>
        <v>67.5</v>
      </c>
      <c r="F71" s="33"/>
      <c r="G71" s="33"/>
      <c r="H71" s="33"/>
      <c r="I71" s="33">
        <f t="shared" ref="I71" si="17">D71*15</f>
        <v>202.5</v>
      </c>
      <c r="J71" s="33"/>
      <c r="L71" s="33">
        <f t="shared" si="6"/>
        <v>472.5</v>
      </c>
    </row>
    <row r="72" spans="1:20">
      <c r="A72" s="141"/>
      <c r="B72" s="189" t="s">
        <v>965</v>
      </c>
      <c r="C72" s="181">
        <v>0.3</v>
      </c>
      <c r="D72" s="181">
        <f t="shared" si="16"/>
        <v>2.6999999999999997</v>
      </c>
      <c r="E72" s="1">
        <f t="shared" si="7"/>
        <v>13.499999999999998</v>
      </c>
      <c r="F72" s="33">
        <f>D72*15</f>
        <v>40.499999999999993</v>
      </c>
      <c r="G72" s="33"/>
      <c r="H72" s="33"/>
      <c r="I72" s="33"/>
      <c r="J72" s="33"/>
      <c r="L72" s="33">
        <f t="shared" si="6"/>
        <v>94.499999999999986</v>
      </c>
    </row>
    <row r="73" spans="1:20">
      <c r="A73" s="141"/>
      <c r="B73" s="189" t="s">
        <v>966</v>
      </c>
      <c r="C73" s="181">
        <v>0.3</v>
      </c>
      <c r="D73" s="181">
        <f t="shared" si="16"/>
        <v>2.6999999999999997</v>
      </c>
      <c r="E73" s="1">
        <f t="shared" si="7"/>
        <v>13.499999999999998</v>
      </c>
      <c r="F73" s="33">
        <f>D73*15</f>
        <v>40.499999999999993</v>
      </c>
      <c r="G73" s="33"/>
      <c r="H73" s="33"/>
      <c r="I73" s="33"/>
      <c r="J73" s="33"/>
      <c r="L73" s="33">
        <f t="shared" si="6"/>
        <v>94.499999999999986</v>
      </c>
    </row>
    <row r="74" spans="1:20">
      <c r="A74" s="141"/>
      <c r="B74" s="189" t="s">
        <v>967</v>
      </c>
      <c r="C74" s="181">
        <v>0.3</v>
      </c>
      <c r="D74" s="181">
        <f t="shared" si="16"/>
        <v>2.6999999999999997</v>
      </c>
      <c r="E74" s="1">
        <f t="shared" si="7"/>
        <v>13.499999999999998</v>
      </c>
      <c r="F74" s="33"/>
      <c r="G74" s="33">
        <f t="shared" ref="G74:G76" si="18">D74*15</f>
        <v>40.499999999999993</v>
      </c>
      <c r="H74" s="33"/>
      <c r="I74" s="33"/>
      <c r="J74" s="33"/>
      <c r="L74" s="33">
        <f t="shared" si="6"/>
        <v>94.499999999999986</v>
      </c>
    </row>
    <row r="75" spans="1:20">
      <c r="A75" s="141"/>
      <c r="B75" s="189" t="s">
        <v>968</v>
      </c>
      <c r="C75" s="181">
        <v>0.3</v>
      </c>
      <c r="D75" s="181">
        <f t="shared" si="16"/>
        <v>2.6999999999999997</v>
      </c>
      <c r="E75" s="1">
        <f t="shared" si="7"/>
        <v>13.499999999999998</v>
      </c>
      <c r="F75" s="33"/>
      <c r="G75" s="33">
        <f t="shared" si="18"/>
        <v>40.499999999999993</v>
      </c>
      <c r="H75" s="33"/>
      <c r="I75" s="33"/>
      <c r="J75" s="33"/>
      <c r="L75" s="33">
        <f t="shared" si="6"/>
        <v>94.499999999999986</v>
      </c>
    </row>
    <row r="76" spans="1:20">
      <c r="A76" s="141"/>
      <c r="B76" s="189" t="s">
        <v>969</v>
      </c>
      <c r="C76" s="181">
        <v>0.3</v>
      </c>
      <c r="D76" s="181">
        <f t="shared" si="16"/>
        <v>2.6999999999999997</v>
      </c>
      <c r="E76" s="1">
        <f t="shared" si="7"/>
        <v>13.499999999999998</v>
      </c>
      <c r="F76" s="33"/>
      <c r="G76" s="33">
        <f t="shared" si="18"/>
        <v>40.499999999999993</v>
      </c>
      <c r="H76" s="33"/>
      <c r="I76" s="33"/>
      <c r="J76" s="33"/>
      <c r="L76" s="33">
        <f t="shared" si="6"/>
        <v>94.499999999999986</v>
      </c>
    </row>
    <row r="77" spans="1:20">
      <c r="A77" s="141"/>
      <c r="B77" s="189" t="s">
        <v>970</v>
      </c>
      <c r="C77" s="181">
        <v>0.3</v>
      </c>
      <c r="D77" s="181">
        <f t="shared" si="16"/>
        <v>2.6999999999999997</v>
      </c>
      <c r="E77" s="1">
        <f t="shared" si="7"/>
        <v>13.499999999999998</v>
      </c>
      <c r="F77" s="33">
        <f>D77*15</f>
        <v>40.499999999999993</v>
      </c>
      <c r="G77" s="33"/>
      <c r="H77" s="33"/>
      <c r="I77" s="33"/>
      <c r="J77" s="33"/>
      <c r="L77" s="33">
        <f t="shared" si="6"/>
        <v>94.499999999999986</v>
      </c>
    </row>
    <row r="78" spans="1:20">
      <c r="A78" s="118" t="s">
        <v>199</v>
      </c>
      <c r="B78" s="57"/>
      <c r="C78" s="11">
        <f t="shared" ref="C78:J78" si="19">SUM(C4:C77)</f>
        <v>27.10000000000003</v>
      </c>
      <c r="D78" s="11">
        <f t="shared" si="19"/>
        <v>243.89999999999981</v>
      </c>
      <c r="E78" s="59">
        <f t="shared" si="19"/>
        <v>1219.5</v>
      </c>
      <c r="F78" s="59">
        <f t="shared" si="19"/>
        <v>931.49999999999989</v>
      </c>
      <c r="G78" s="59">
        <f t="shared" si="19"/>
        <v>904.49999999999989</v>
      </c>
      <c r="H78" s="59">
        <f t="shared" si="19"/>
        <v>499.5</v>
      </c>
      <c r="I78" s="59">
        <f t="shared" si="19"/>
        <v>675</v>
      </c>
      <c r="J78" s="59">
        <f t="shared" si="19"/>
        <v>648</v>
      </c>
      <c r="K78" s="59">
        <f>SUM(E78:J78)</f>
        <v>4878</v>
      </c>
      <c r="L78" s="60">
        <f>SUM(L4:L77)</f>
        <v>8739</v>
      </c>
      <c r="M78" s="39"/>
      <c r="N78" s="29" t="s">
        <v>2</v>
      </c>
      <c r="O78" s="16" t="s">
        <v>1</v>
      </c>
    </row>
    <row r="79" spans="1:20">
      <c r="E79" s="142">
        <f>E78*43.96</f>
        <v>53609.22</v>
      </c>
      <c r="F79" s="142">
        <f>F78*43.86</f>
        <v>40855.589999999997</v>
      </c>
      <c r="G79" s="142">
        <f t="shared" ref="G79:L79" si="20">G78*43.86</f>
        <v>39671.369999999995</v>
      </c>
      <c r="H79" s="142">
        <f t="shared" si="20"/>
        <v>21908.07</v>
      </c>
      <c r="I79" s="142">
        <f t="shared" si="20"/>
        <v>29605.5</v>
      </c>
      <c r="J79" s="142">
        <f t="shared" si="20"/>
        <v>28421.279999999999</v>
      </c>
      <c r="K79" s="7">
        <f t="shared" si="20"/>
        <v>213949.08</v>
      </c>
      <c r="L79" s="7">
        <f t="shared" si="20"/>
        <v>383292.54</v>
      </c>
      <c r="M79" s="5" t="s">
        <v>4</v>
      </c>
      <c r="N79" s="7">
        <f>O79*43.96</f>
        <v>384166.44</v>
      </c>
      <c r="O79" s="8">
        <f>L78</f>
        <v>8739</v>
      </c>
      <c r="T79" s="4"/>
    </row>
    <row r="80" spans="1:20">
      <c r="G80" s="33"/>
      <c r="H80" s="123"/>
      <c r="I80" s="123"/>
      <c r="J80" s="123"/>
      <c r="M80" s="5" t="s">
        <v>3</v>
      </c>
      <c r="N80" s="7">
        <f t="shared" ref="N80:N82" si="21">O80*43.96</f>
        <v>364958.11799999996</v>
      </c>
      <c r="O80" s="8">
        <f>O79-O79*0.05</f>
        <v>8302.0499999999993</v>
      </c>
    </row>
    <row r="81" spans="2:15">
      <c r="B81" s="1"/>
      <c r="E81" s="21"/>
      <c r="G81" s="33"/>
      <c r="M81" s="5" t="s">
        <v>5</v>
      </c>
      <c r="N81" s="7">
        <f t="shared" si="21"/>
        <v>214436.88</v>
      </c>
      <c r="O81" s="8">
        <f>K78</f>
        <v>4878</v>
      </c>
    </row>
    <row r="82" spans="2:15">
      <c r="B82" s="1"/>
      <c r="M82" s="37" t="s">
        <v>18</v>
      </c>
      <c r="N82" s="7">
        <f t="shared" si="21"/>
        <v>150521.23799999998</v>
      </c>
      <c r="O82" s="8">
        <f>O80-O81</f>
        <v>3424.0499999999993</v>
      </c>
    </row>
    <row r="83" spans="2:15">
      <c r="B83" s="1"/>
    </row>
    <row r="84" spans="2:15">
      <c r="B84" s="169"/>
      <c r="C84" s="166"/>
      <c r="D84" s="176"/>
      <c r="I84" s="169"/>
      <c r="J84" s="169"/>
      <c r="K84" s="166"/>
      <c r="L84" s="176"/>
    </row>
    <row r="85" spans="2:15">
      <c r="B85" s="169"/>
      <c r="C85" s="166"/>
      <c r="D85" s="176"/>
      <c r="I85" s="144"/>
      <c r="J85" s="144"/>
      <c r="K85" s="166"/>
      <c r="L85" s="176"/>
    </row>
    <row r="86" spans="2:15">
      <c r="B86" s="169"/>
      <c r="C86" s="171"/>
      <c r="D86" s="176"/>
      <c r="G86" s="192"/>
      <c r="I86" s="167"/>
      <c r="J86" s="167"/>
      <c r="K86" s="166"/>
      <c r="L86" s="176"/>
    </row>
    <row r="87" spans="2:15">
      <c r="B87" s="169"/>
      <c r="C87" s="192"/>
      <c r="D87" s="192"/>
      <c r="E87" s="192"/>
      <c r="F87" s="192"/>
      <c r="G87" s="192"/>
      <c r="I87" s="169"/>
      <c r="J87" s="169"/>
      <c r="K87" s="166"/>
      <c r="L87" s="176"/>
    </row>
    <row r="88" spans="2:15">
      <c r="B88" s="176"/>
      <c r="C88" s="191"/>
      <c r="D88" s="191"/>
      <c r="E88" s="191"/>
      <c r="G88" s="192"/>
      <c r="I88" s="169"/>
      <c r="J88" s="169"/>
      <c r="K88" s="166"/>
      <c r="L88" s="176"/>
    </row>
    <row r="89" spans="2:15">
      <c r="B89" s="169"/>
      <c r="C89" s="191"/>
      <c r="D89" s="191"/>
      <c r="E89" s="191"/>
      <c r="G89" s="192"/>
      <c r="I89" s="169"/>
      <c r="J89" s="169"/>
      <c r="K89" s="166"/>
      <c r="L89" s="176"/>
    </row>
    <row r="90" spans="2:15">
      <c r="B90" s="169"/>
      <c r="C90" s="192"/>
      <c r="D90" s="192"/>
      <c r="E90" s="192"/>
      <c r="F90" s="192"/>
      <c r="G90" s="192"/>
      <c r="I90" s="169"/>
      <c r="J90" s="169"/>
      <c r="K90" s="166"/>
      <c r="L90" s="176"/>
    </row>
    <row r="91" spans="2:15">
      <c r="B91" s="176"/>
      <c r="C91" s="191"/>
      <c r="D91" s="191"/>
      <c r="E91" s="191"/>
      <c r="G91" s="192"/>
      <c r="I91" s="169"/>
      <c r="J91" s="169"/>
      <c r="K91" s="171"/>
      <c r="L91" s="176"/>
    </row>
    <row r="92" spans="2:15">
      <c r="C92" s="191"/>
      <c r="D92" s="191"/>
      <c r="E92" s="191"/>
      <c r="G92" s="192"/>
      <c r="I92" s="169"/>
      <c r="J92" s="169"/>
      <c r="K92" s="171"/>
      <c r="L92" s="176"/>
    </row>
    <row r="93" spans="2:15">
      <c r="B93" s="169"/>
      <c r="C93" s="192"/>
      <c r="D93" s="192"/>
      <c r="E93" s="192"/>
      <c r="F93" s="192"/>
      <c r="G93" s="192"/>
      <c r="I93" s="169"/>
      <c r="J93" s="169"/>
      <c r="K93" s="171"/>
      <c r="L93" s="176"/>
    </row>
    <row r="94" spans="2:15">
      <c r="B94" s="176"/>
      <c r="C94" s="191"/>
      <c r="D94" s="191"/>
      <c r="E94" s="191"/>
      <c r="G94" s="192"/>
      <c r="H94" s="21"/>
      <c r="I94" s="169"/>
      <c r="J94" s="169"/>
      <c r="K94" s="166"/>
      <c r="L94" s="176"/>
    </row>
    <row r="95" spans="2:15">
      <c r="C95" s="191"/>
      <c r="D95" s="191"/>
      <c r="E95" s="191"/>
      <c r="G95" s="192"/>
    </row>
    <row r="96" spans="2:15">
      <c r="B96" s="169"/>
      <c r="C96" s="192"/>
      <c r="D96" s="192"/>
      <c r="E96" s="192"/>
      <c r="F96" s="192"/>
      <c r="G96" s="192"/>
    </row>
    <row r="97" spans="2:7">
      <c r="B97" s="176"/>
      <c r="C97" s="191"/>
      <c r="D97" s="191"/>
      <c r="E97" s="191"/>
      <c r="G97" s="192"/>
    </row>
    <row r="98" spans="2:7">
      <c r="C98" s="191"/>
      <c r="D98" s="191"/>
      <c r="E98" s="191"/>
      <c r="G98" s="192"/>
    </row>
    <row r="99" spans="2:7">
      <c r="B99" s="169"/>
      <c r="C99" s="192"/>
      <c r="D99" s="192"/>
      <c r="E99" s="192"/>
      <c r="F99" s="192"/>
      <c r="G99" s="192"/>
    </row>
    <row r="100" spans="2:7">
      <c r="B100" s="176"/>
      <c r="C100" s="191"/>
      <c r="D100" s="191"/>
      <c r="E100" s="191"/>
      <c r="G100" s="192"/>
    </row>
    <row r="101" spans="2:7">
      <c r="C101" s="191"/>
      <c r="D101" s="191"/>
      <c r="E101" s="191"/>
      <c r="G101" s="192"/>
    </row>
    <row r="102" spans="2:7">
      <c r="C102" s="191"/>
      <c r="D102" s="191"/>
      <c r="E102" s="191"/>
      <c r="G102" s="192"/>
    </row>
    <row r="103" spans="2:7">
      <c r="G103" s="192"/>
    </row>
    <row r="104" spans="2:7">
      <c r="G104" s="192"/>
    </row>
    <row r="105" spans="2:7">
      <c r="G105" s="192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8CF02-3E1A-E54F-B34C-BF352CD7E735}">
  <dimension ref="A1:T74"/>
  <sheetViews>
    <sheetView zoomScale="98" zoomScaleNormal="98" workbookViewId="0">
      <pane ySplit="2" topLeftCell="A3" activePane="bottomLeft" state="frozen"/>
      <selection pane="bottomLeft" activeCell="J2" sqref="J2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10" width="10.83203125" style="1"/>
    <col min="11" max="11" width="11.1640625" style="1" customWidth="1"/>
    <col min="12" max="12" width="13.1640625" style="1" customWidth="1"/>
    <col min="13" max="13" width="12.5" style="1" bestFit="1" customWidth="1"/>
    <col min="14" max="14" width="12" style="1" customWidth="1"/>
    <col min="15" max="15" width="11.1640625" style="1" customWidth="1"/>
    <col min="16" max="16" width="12.5" style="1" bestFit="1" customWidth="1"/>
    <col min="17" max="17" width="13" style="1" customWidth="1"/>
    <col min="18" max="16384" width="10.83203125" style="1"/>
  </cols>
  <sheetData>
    <row r="1" spans="1:17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7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81" t="s">
        <v>758</v>
      </c>
      <c r="J2" s="181" t="s">
        <v>759</v>
      </c>
    </row>
    <row r="3" spans="1:17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31" t="s">
        <v>16</v>
      </c>
      <c r="L3" s="39" t="s">
        <v>18</v>
      </c>
    </row>
    <row r="4" spans="1:17">
      <c r="A4" s="141"/>
      <c r="B4" s="185" t="s">
        <v>856</v>
      </c>
      <c r="C4" s="181">
        <v>1</v>
      </c>
      <c r="D4" s="181">
        <f t="shared" ref="D4:D19" si="0">C4*9</f>
        <v>9</v>
      </c>
      <c r="E4" s="1">
        <f>D4*5</f>
        <v>45</v>
      </c>
      <c r="F4" s="33">
        <f>D4*15</f>
        <v>135</v>
      </c>
      <c r="G4" s="33"/>
      <c r="H4" s="33"/>
      <c r="I4" s="33"/>
      <c r="J4" s="33"/>
      <c r="L4" s="33">
        <f t="shared" ref="L4:L19" si="1">D4*40</f>
        <v>360</v>
      </c>
      <c r="Q4" s="33"/>
    </row>
    <row r="5" spans="1:17">
      <c r="A5" s="141"/>
      <c r="B5" s="185" t="s">
        <v>857</v>
      </c>
      <c r="C5" s="181">
        <v>0.3</v>
      </c>
      <c r="D5" s="181">
        <f t="shared" si="0"/>
        <v>2.6999999999999997</v>
      </c>
      <c r="E5" s="1">
        <f t="shared" ref="E5:E19" si="2">D5*5</f>
        <v>13.499999999999998</v>
      </c>
      <c r="G5" s="33">
        <f>D5*15</f>
        <v>40.499999999999993</v>
      </c>
      <c r="H5" s="33"/>
      <c r="I5" s="33"/>
      <c r="J5" s="33"/>
      <c r="L5" s="33">
        <f t="shared" si="1"/>
        <v>107.99999999999999</v>
      </c>
      <c r="Q5" s="33"/>
    </row>
    <row r="6" spans="1:17">
      <c r="A6" s="141"/>
      <c r="B6" s="185" t="s">
        <v>858</v>
      </c>
      <c r="C6" s="181">
        <v>0.5</v>
      </c>
      <c r="D6" s="181">
        <f t="shared" si="0"/>
        <v>4.5</v>
      </c>
      <c r="E6" s="1">
        <f t="shared" si="2"/>
        <v>22.5</v>
      </c>
      <c r="F6" s="33">
        <f>D6*15</f>
        <v>67.5</v>
      </c>
      <c r="G6" s="33"/>
      <c r="H6" s="33"/>
      <c r="I6" s="33"/>
      <c r="J6" s="33"/>
      <c r="L6" s="33">
        <f t="shared" si="1"/>
        <v>180</v>
      </c>
      <c r="Q6" s="33"/>
    </row>
    <row r="7" spans="1:17">
      <c r="A7" s="141"/>
      <c r="B7" s="185" t="s">
        <v>859</v>
      </c>
      <c r="C7" s="181">
        <v>0.5</v>
      </c>
      <c r="D7" s="181">
        <f t="shared" si="0"/>
        <v>4.5</v>
      </c>
      <c r="E7" s="1">
        <f t="shared" si="2"/>
        <v>22.5</v>
      </c>
      <c r="F7" s="33">
        <f t="shared" ref="F7" si="3">D7*15</f>
        <v>67.5</v>
      </c>
      <c r="G7" s="33"/>
      <c r="H7" s="33"/>
      <c r="I7" s="33"/>
      <c r="J7" s="33"/>
      <c r="L7" s="33">
        <f t="shared" si="1"/>
        <v>180</v>
      </c>
      <c r="Q7" s="33"/>
    </row>
    <row r="8" spans="1:17">
      <c r="A8" s="141"/>
      <c r="B8" s="185" t="s">
        <v>860</v>
      </c>
      <c r="C8" s="181">
        <v>0.3</v>
      </c>
      <c r="D8" s="181">
        <f t="shared" si="0"/>
        <v>2.6999999999999997</v>
      </c>
      <c r="E8" s="1">
        <f t="shared" si="2"/>
        <v>13.499999999999998</v>
      </c>
      <c r="F8" s="33"/>
      <c r="G8" s="33">
        <f>D8*15</f>
        <v>40.499999999999993</v>
      </c>
      <c r="H8" s="33"/>
      <c r="I8" s="33"/>
      <c r="J8" s="33"/>
      <c r="L8" s="33">
        <f t="shared" si="1"/>
        <v>107.99999999999999</v>
      </c>
      <c r="Q8" s="33"/>
    </row>
    <row r="9" spans="1:17">
      <c r="A9" s="141"/>
      <c r="B9" s="185" t="s">
        <v>861</v>
      </c>
      <c r="C9" s="181">
        <v>0.3</v>
      </c>
      <c r="D9" s="181">
        <f t="shared" si="0"/>
        <v>2.6999999999999997</v>
      </c>
      <c r="E9" s="1">
        <f t="shared" si="2"/>
        <v>13.499999999999998</v>
      </c>
      <c r="F9" s="33"/>
      <c r="G9" s="33">
        <f>D9*15</f>
        <v>40.499999999999993</v>
      </c>
      <c r="H9" s="33"/>
      <c r="I9" s="33"/>
      <c r="J9" s="33"/>
      <c r="L9" s="33">
        <f t="shared" si="1"/>
        <v>107.99999999999999</v>
      </c>
      <c r="Q9" s="33"/>
    </row>
    <row r="10" spans="1:17">
      <c r="A10" s="141"/>
      <c r="B10" s="185" t="s">
        <v>862</v>
      </c>
      <c r="C10" s="181">
        <v>0.3</v>
      </c>
      <c r="D10" s="181">
        <f t="shared" si="0"/>
        <v>2.6999999999999997</v>
      </c>
      <c r="E10" s="1">
        <f t="shared" si="2"/>
        <v>13.499999999999998</v>
      </c>
      <c r="F10" s="33"/>
      <c r="G10" s="33"/>
      <c r="H10" s="33"/>
      <c r="I10" s="33"/>
      <c r="J10" s="33">
        <f>D10*15</f>
        <v>40.499999999999993</v>
      </c>
      <c r="L10" s="33">
        <f t="shared" si="1"/>
        <v>107.99999999999999</v>
      </c>
      <c r="Q10" s="33"/>
    </row>
    <row r="11" spans="1:17">
      <c r="A11" s="141"/>
      <c r="B11" s="185" t="s">
        <v>863</v>
      </c>
      <c r="C11" s="181">
        <v>0.3</v>
      </c>
      <c r="D11" s="181">
        <f t="shared" si="0"/>
        <v>2.6999999999999997</v>
      </c>
      <c r="E11" s="1">
        <f t="shared" si="2"/>
        <v>13.499999999999998</v>
      </c>
      <c r="F11" s="33"/>
      <c r="G11" s="33"/>
      <c r="H11" s="33"/>
      <c r="I11" s="33"/>
      <c r="J11" s="33">
        <f>D11*15</f>
        <v>40.499999999999993</v>
      </c>
      <c r="L11" s="33">
        <f t="shared" si="1"/>
        <v>107.99999999999999</v>
      </c>
      <c r="Q11" s="33"/>
    </row>
    <row r="12" spans="1:17">
      <c r="A12" s="141"/>
      <c r="B12" s="185" t="s">
        <v>864</v>
      </c>
      <c r="C12" s="181">
        <v>0.3</v>
      </c>
      <c r="D12" s="181">
        <f t="shared" si="0"/>
        <v>2.6999999999999997</v>
      </c>
      <c r="E12" s="1">
        <f t="shared" si="2"/>
        <v>13.499999999999998</v>
      </c>
      <c r="F12" s="33"/>
      <c r="G12" s="33"/>
      <c r="H12" s="33"/>
      <c r="I12" s="33">
        <f>D12*15</f>
        <v>40.499999999999993</v>
      </c>
      <c r="J12" s="33"/>
      <c r="L12" s="33">
        <f t="shared" si="1"/>
        <v>107.99999999999999</v>
      </c>
      <c r="Q12" s="33"/>
    </row>
    <row r="13" spans="1:17">
      <c r="A13" s="141"/>
      <c r="B13" s="185" t="s">
        <v>865</v>
      </c>
      <c r="C13" s="181">
        <v>0.3</v>
      </c>
      <c r="D13" s="181">
        <f t="shared" si="0"/>
        <v>2.6999999999999997</v>
      </c>
      <c r="E13" s="1">
        <f t="shared" si="2"/>
        <v>13.499999999999998</v>
      </c>
      <c r="F13" s="33"/>
      <c r="G13" s="33"/>
      <c r="H13" s="33"/>
      <c r="I13" s="33">
        <f>D13*15</f>
        <v>40.499999999999993</v>
      </c>
      <c r="J13" s="33"/>
      <c r="L13" s="33">
        <f t="shared" si="1"/>
        <v>107.99999999999999</v>
      </c>
      <c r="Q13" s="33"/>
    </row>
    <row r="14" spans="1:17">
      <c r="A14" s="141"/>
      <c r="B14" s="185" t="s">
        <v>866</v>
      </c>
      <c r="C14" s="181">
        <v>0.3</v>
      </c>
      <c r="D14" s="181">
        <f t="shared" si="0"/>
        <v>2.6999999999999997</v>
      </c>
      <c r="E14" s="1">
        <f t="shared" si="2"/>
        <v>13.499999999999998</v>
      </c>
      <c r="F14" s="33">
        <f>D14*15</f>
        <v>40.499999999999993</v>
      </c>
      <c r="G14" s="33"/>
      <c r="H14" s="33"/>
      <c r="I14" s="33"/>
      <c r="J14" s="33"/>
      <c r="L14" s="33">
        <f t="shared" si="1"/>
        <v>107.99999999999999</v>
      </c>
      <c r="Q14" s="33"/>
    </row>
    <row r="15" spans="1:17">
      <c r="A15" s="141"/>
      <c r="B15" s="185" t="s">
        <v>867</v>
      </c>
      <c r="C15" s="181">
        <v>0.3</v>
      </c>
      <c r="D15" s="181">
        <f t="shared" si="0"/>
        <v>2.6999999999999997</v>
      </c>
      <c r="E15" s="1">
        <f t="shared" si="2"/>
        <v>13.499999999999998</v>
      </c>
      <c r="F15" s="33">
        <f>D15*15</f>
        <v>40.499999999999993</v>
      </c>
      <c r="G15" s="33"/>
      <c r="H15" s="33"/>
      <c r="I15" s="33"/>
      <c r="J15" s="33"/>
      <c r="L15" s="33">
        <f t="shared" si="1"/>
        <v>107.99999999999999</v>
      </c>
      <c r="Q15" s="33"/>
    </row>
    <row r="16" spans="1:17">
      <c r="A16" s="141"/>
      <c r="B16" s="185" t="s">
        <v>868</v>
      </c>
      <c r="C16" s="181">
        <v>0.3</v>
      </c>
      <c r="D16" s="181">
        <f t="shared" si="0"/>
        <v>2.6999999999999997</v>
      </c>
      <c r="E16" s="1">
        <f t="shared" si="2"/>
        <v>13.499999999999998</v>
      </c>
      <c r="F16" s="33"/>
      <c r="G16" s="33">
        <f>D16*15</f>
        <v>40.499999999999993</v>
      </c>
      <c r="H16" s="33"/>
      <c r="I16" s="33"/>
      <c r="J16" s="33"/>
      <c r="L16" s="33">
        <f t="shared" si="1"/>
        <v>107.99999999999999</v>
      </c>
      <c r="Q16" s="33"/>
    </row>
    <row r="17" spans="1:17">
      <c r="A17" s="141"/>
      <c r="B17" s="185" t="s">
        <v>869</v>
      </c>
      <c r="C17" s="181">
        <v>0.3</v>
      </c>
      <c r="D17" s="181">
        <f t="shared" si="0"/>
        <v>2.6999999999999997</v>
      </c>
      <c r="E17" s="1">
        <f t="shared" si="2"/>
        <v>13.499999999999998</v>
      </c>
      <c r="F17" s="33"/>
      <c r="G17" s="33">
        <f t="shared" ref="G17:G19" si="4">D17*15</f>
        <v>40.499999999999993</v>
      </c>
      <c r="H17" s="33"/>
      <c r="I17" s="33"/>
      <c r="J17" s="33"/>
      <c r="L17" s="33">
        <f t="shared" si="1"/>
        <v>107.99999999999999</v>
      </c>
      <c r="Q17" s="33"/>
    </row>
    <row r="18" spans="1:17">
      <c r="A18" s="141"/>
      <c r="B18" s="185" t="s">
        <v>870</v>
      </c>
      <c r="C18" s="181">
        <v>0.3</v>
      </c>
      <c r="D18" s="181">
        <f t="shared" si="0"/>
        <v>2.6999999999999997</v>
      </c>
      <c r="E18" s="1">
        <f t="shared" si="2"/>
        <v>13.499999999999998</v>
      </c>
      <c r="F18" s="33"/>
      <c r="G18" s="33">
        <f t="shared" si="4"/>
        <v>40.499999999999993</v>
      </c>
      <c r="H18" s="33"/>
      <c r="I18" s="33"/>
      <c r="J18" s="33"/>
      <c r="L18" s="33">
        <f t="shared" si="1"/>
        <v>107.99999999999999</v>
      </c>
      <c r="Q18" s="33"/>
    </row>
    <row r="19" spans="1:17">
      <c r="A19" s="141"/>
      <c r="B19" s="185" t="s">
        <v>871</v>
      </c>
      <c r="C19" s="181">
        <v>0.3</v>
      </c>
      <c r="D19" s="181">
        <f t="shared" si="0"/>
        <v>2.6999999999999997</v>
      </c>
      <c r="E19" s="1">
        <f t="shared" si="2"/>
        <v>13.499999999999998</v>
      </c>
      <c r="F19" s="33"/>
      <c r="G19" s="33">
        <f t="shared" si="4"/>
        <v>40.499999999999993</v>
      </c>
      <c r="H19" s="33"/>
      <c r="I19" s="33"/>
      <c r="J19" s="33"/>
      <c r="L19" s="33">
        <f t="shared" si="1"/>
        <v>107.99999999999999</v>
      </c>
      <c r="Q19" s="33"/>
    </row>
    <row r="20" spans="1:17" ht="25" customHeight="1">
      <c r="A20" s="125" t="s">
        <v>81</v>
      </c>
      <c r="B20" s="125" t="s">
        <v>196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7">
      <c r="A21" s="141"/>
      <c r="B21" s="185" t="s">
        <v>872</v>
      </c>
      <c r="C21" s="181">
        <v>0.3</v>
      </c>
      <c r="D21" s="181">
        <f t="shared" ref="D21:D46" si="5">C21*9</f>
        <v>2.6999999999999997</v>
      </c>
      <c r="E21" s="1">
        <f>D21*5</f>
        <v>13.499999999999998</v>
      </c>
      <c r="F21" s="33"/>
      <c r="G21" s="33"/>
      <c r="H21" s="33"/>
      <c r="I21" s="33">
        <f>D21*15</f>
        <v>40.499999999999993</v>
      </c>
      <c r="J21" s="33"/>
      <c r="L21" s="33">
        <f t="shared" ref="L21:L31" si="6">D21*35</f>
        <v>94.499999999999986</v>
      </c>
    </row>
    <row r="22" spans="1:17">
      <c r="A22" s="141"/>
      <c r="B22" s="185" t="s">
        <v>873</v>
      </c>
      <c r="C22" s="181">
        <v>0.3</v>
      </c>
      <c r="D22" s="181">
        <f t="shared" si="5"/>
        <v>2.6999999999999997</v>
      </c>
      <c r="E22" s="1">
        <f t="shared" ref="E22:E46" si="7">D22*5</f>
        <v>13.499999999999998</v>
      </c>
      <c r="F22" s="33"/>
      <c r="G22" s="33"/>
      <c r="H22" s="33"/>
      <c r="I22" s="33">
        <f>D22*15</f>
        <v>40.499999999999993</v>
      </c>
      <c r="J22" s="33"/>
      <c r="L22" s="33">
        <f t="shared" si="6"/>
        <v>94.499999999999986</v>
      </c>
    </row>
    <row r="23" spans="1:17">
      <c r="A23" s="141"/>
      <c r="B23" s="188" t="s">
        <v>874</v>
      </c>
      <c r="C23" s="181">
        <v>0.3</v>
      </c>
      <c r="D23" s="181">
        <f t="shared" si="5"/>
        <v>2.6999999999999997</v>
      </c>
      <c r="E23" s="1">
        <f t="shared" si="7"/>
        <v>13.499999999999998</v>
      </c>
      <c r="F23" s="33"/>
      <c r="G23" s="33">
        <f t="shared" ref="G23:G24" si="8">D23*15</f>
        <v>40.499999999999993</v>
      </c>
      <c r="H23" s="33"/>
      <c r="I23" s="33"/>
      <c r="J23" s="33"/>
      <c r="L23" s="33">
        <f t="shared" si="6"/>
        <v>94.499999999999986</v>
      </c>
    </row>
    <row r="24" spans="1:17">
      <c r="A24" s="141"/>
      <c r="B24" s="188" t="s">
        <v>875</v>
      </c>
      <c r="C24" s="181">
        <v>0.3</v>
      </c>
      <c r="D24" s="181">
        <f t="shared" si="5"/>
        <v>2.6999999999999997</v>
      </c>
      <c r="E24" s="1">
        <f t="shared" si="7"/>
        <v>13.499999999999998</v>
      </c>
      <c r="F24" s="33"/>
      <c r="G24" s="33">
        <f t="shared" si="8"/>
        <v>40.499999999999993</v>
      </c>
      <c r="H24" s="33">
        <f>D24*15</f>
        <v>40.499999999999993</v>
      </c>
      <c r="I24" s="33"/>
      <c r="J24" s="33"/>
      <c r="L24" s="33">
        <f t="shared" si="6"/>
        <v>94.499999999999986</v>
      </c>
    </row>
    <row r="25" spans="1:17">
      <c r="A25" s="141"/>
      <c r="B25" s="189" t="s">
        <v>876</v>
      </c>
      <c r="C25" s="181">
        <v>0.3</v>
      </c>
      <c r="D25" s="181">
        <f t="shared" si="5"/>
        <v>2.6999999999999997</v>
      </c>
      <c r="E25" s="1">
        <f t="shared" si="7"/>
        <v>13.499999999999998</v>
      </c>
      <c r="F25" s="33"/>
      <c r="G25" s="33"/>
      <c r="H25" s="33"/>
      <c r="I25" s="33"/>
      <c r="J25" s="33">
        <f>D25*15</f>
        <v>40.499999999999993</v>
      </c>
      <c r="L25" s="33">
        <f t="shared" si="6"/>
        <v>94.499999999999986</v>
      </c>
    </row>
    <row r="26" spans="1:17">
      <c r="A26" s="141"/>
      <c r="B26" s="189" t="s">
        <v>877</v>
      </c>
      <c r="C26" s="181">
        <v>0.3</v>
      </c>
      <c r="D26" s="181">
        <f t="shared" si="5"/>
        <v>2.6999999999999997</v>
      </c>
      <c r="E26" s="1">
        <f t="shared" si="7"/>
        <v>13.499999999999998</v>
      </c>
      <c r="F26" s="33">
        <f>D26*15</f>
        <v>40.499999999999993</v>
      </c>
      <c r="G26" s="33"/>
      <c r="H26" s="33"/>
      <c r="I26" s="33"/>
      <c r="J26" s="33"/>
      <c r="L26" s="33">
        <f t="shared" si="6"/>
        <v>94.499999999999986</v>
      </c>
    </row>
    <row r="27" spans="1:17">
      <c r="A27" s="141"/>
      <c r="B27" s="188" t="s">
        <v>878</v>
      </c>
      <c r="C27" s="181">
        <v>0.3</v>
      </c>
      <c r="D27" s="181">
        <f t="shared" si="5"/>
        <v>2.6999999999999997</v>
      </c>
      <c r="E27" s="1">
        <f t="shared" si="7"/>
        <v>13.499999999999998</v>
      </c>
      <c r="F27" s="33"/>
      <c r="G27" s="33"/>
      <c r="H27" s="33"/>
      <c r="I27" s="33"/>
      <c r="J27" s="33">
        <f>D27*15</f>
        <v>40.499999999999993</v>
      </c>
      <c r="L27" s="33">
        <f t="shared" si="6"/>
        <v>94.499999999999986</v>
      </c>
    </row>
    <row r="28" spans="1:17">
      <c r="A28" s="141"/>
      <c r="B28" s="189" t="s">
        <v>879</v>
      </c>
      <c r="C28" s="181">
        <v>0.3</v>
      </c>
      <c r="D28" s="181">
        <f t="shared" si="5"/>
        <v>2.6999999999999997</v>
      </c>
      <c r="E28" s="1">
        <f t="shared" si="7"/>
        <v>13.499999999999998</v>
      </c>
      <c r="F28" s="33">
        <f>D28*15</f>
        <v>40.499999999999993</v>
      </c>
      <c r="G28" s="33"/>
      <c r="H28" s="33"/>
      <c r="I28" s="33"/>
      <c r="J28" s="33"/>
      <c r="L28" s="33">
        <f t="shared" si="6"/>
        <v>94.499999999999986</v>
      </c>
    </row>
    <row r="29" spans="1:17">
      <c r="A29" s="141"/>
      <c r="B29" s="189" t="s">
        <v>880</v>
      </c>
      <c r="C29" s="181">
        <v>0.3</v>
      </c>
      <c r="D29" s="181">
        <f t="shared" si="5"/>
        <v>2.6999999999999997</v>
      </c>
      <c r="E29" s="1">
        <f t="shared" si="7"/>
        <v>13.499999999999998</v>
      </c>
      <c r="F29" s="33"/>
      <c r="G29" s="33"/>
      <c r="H29" s="33">
        <f>D29*15</f>
        <v>40.499999999999993</v>
      </c>
      <c r="I29" s="33"/>
      <c r="J29" s="33"/>
      <c r="L29" s="33">
        <f t="shared" si="6"/>
        <v>94.499999999999986</v>
      </c>
    </row>
    <row r="30" spans="1:17">
      <c r="A30" s="141"/>
      <c r="B30" s="189" t="s">
        <v>881</v>
      </c>
      <c r="C30" s="181">
        <v>0.3</v>
      </c>
      <c r="D30" s="181">
        <f t="shared" si="5"/>
        <v>2.6999999999999997</v>
      </c>
      <c r="E30" s="1">
        <f t="shared" si="7"/>
        <v>13.499999999999998</v>
      </c>
      <c r="F30" s="33"/>
      <c r="G30" s="33"/>
      <c r="H30" s="33">
        <f>D30*15</f>
        <v>40.499999999999993</v>
      </c>
      <c r="I30" s="33"/>
      <c r="J30" s="33"/>
      <c r="L30" s="33">
        <f t="shared" si="6"/>
        <v>94.499999999999986</v>
      </c>
    </row>
    <row r="31" spans="1:17">
      <c r="A31" s="141"/>
      <c r="B31" s="189" t="s">
        <v>882</v>
      </c>
      <c r="C31" s="181">
        <v>0.3</v>
      </c>
      <c r="D31" s="181">
        <f t="shared" si="5"/>
        <v>2.6999999999999997</v>
      </c>
      <c r="E31" s="1">
        <f t="shared" si="7"/>
        <v>13.499999999999998</v>
      </c>
      <c r="F31" s="33"/>
      <c r="G31" s="33"/>
      <c r="H31" s="33">
        <f>D31*15</f>
        <v>40.499999999999993</v>
      </c>
      <c r="I31" s="33"/>
      <c r="J31" s="33"/>
      <c r="L31" s="33">
        <f t="shared" si="6"/>
        <v>94.499999999999986</v>
      </c>
    </row>
    <row r="32" spans="1:17">
      <c r="A32" s="141"/>
      <c r="B32" s="189" t="s">
        <v>883</v>
      </c>
      <c r="C32" s="181">
        <v>0.3</v>
      </c>
      <c r="D32" s="181">
        <f t="shared" si="5"/>
        <v>2.6999999999999997</v>
      </c>
      <c r="E32" s="1">
        <f t="shared" si="7"/>
        <v>13.499999999999998</v>
      </c>
      <c r="F32" s="33"/>
      <c r="G32" s="33"/>
      <c r="H32" s="33">
        <f>D32*15</f>
        <v>40.499999999999993</v>
      </c>
      <c r="I32" s="33"/>
      <c r="J32" s="33"/>
      <c r="L32" s="33">
        <f t="shared" ref="L32:L37" si="9">D32*35</f>
        <v>94.499999999999986</v>
      </c>
    </row>
    <row r="33" spans="1:20">
      <c r="A33" s="141"/>
      <c r="B33" s="189" t="s">
        <v>884</v>
      </c>
      <c r="C33" s="181">
        <v>0.3</v>
      </c>
      <c r="D33" s="181">
        <f t="shared" si="5"/>
        <v>2.6999999999999997</v>
      </c>
      <c r="E33" s="1">
        <f t="shared" si="7"/>
        <v>13.499999999999998</v>
      </c>
      <c r="F33" s="33"/>
      <c r="G33" s="33">
        <f t="shared" ref="G33:G34" si="10">D33*15</f>
        <v>40.499999999999993</v>
      </c>
      <c r="H33" s="33"/>
      <c r="I33" s="33"/>
      <c r="J33" s="33"/>
      <c r="L33" s="33">
        <f t="shared" si="9"/>
        <v>94.499999999999986</v>
      </c>
    </row>
    <row r="34" spans="1:20">
      <c r="A34" s="141"/>
      <c r="B34" s="189" t="s">
        <v>885</v>
      </c>
      <c r="C34" s="181">
        <v>0.3</v>
      </c>
      <c r="D34" s="181">
        <f t="shared" si="5"/>
        <v>2.6999999999999997</v>
      </c>
      <c r="E34" s="1">
        <f t="shared" si="7"/>
        <v>13.499999999999998</v>
      </c>
      <c r="F34" s="33"/>
      <c r="G34" s="33">
        <f t="shared" si="10"/>
        <v>40.499999999999993</v>
      </c>
      <c r="H34" s="33"/>
      <c r="I34" s="33"/>
      <c r="J34" s="33"/>
      <c r="L34" s="33">
        <f t="shared" si="9"/>
        <v>94.499999999999986</v>
      </c>
    </row>
    <row r="35" spans="1:20">
      <c r="A35" s="141"/>
      <c r="B35" s="189" t="s">
        <v>886</v>
      </c>
      <c r="C35" s="181">
        <v>1.5</v>
      </c>
      <c r="D35" s="181">
        <f t="shared" si="5"/>
        <v>13.5</v>
      </c>
      <c r="E35" s="1">
        <f t="shared" si="7"/>
        <v>67.5</v>
      </c>
      <c r="F35" s="33"/>
      <c r="G35" s="33"/>
      <c r="H35" s="33">
        <f>D35*15</f>
        <v>202.5</v>
      </c>
      <c r="I35" s="33"/>
      <c r="J35" s="33"/>
      <c r="L35" s="33">
        <f t="shared" si="9"/>
        <v>472.5</v>
      </c>
    </row>
    <row r="36" spans="1:20">
      <c r="A36" s="141"/>
      <c r="B36" s="189" t="s">
        <v>887</v>
      </c>
      <c r="C36" s="181">
        <v>0.3</v>
      </c>
      <c r="D36" s="181">
        <f t="shared" si="5"/>
        <v>2.6999999999999997</v>
      </c>
      <c r="E36" s="1">
        <f t="shared" si="7"/>
        <v>13.499999999999998</v>
      </c>
      <c r="F36" s="33"/>
      <c r="G36" s="33"/>
      <c r="H36" s="33"/>
      <c r="I36" s="33"/>
      <c r="J36" s="33">
        <f>D36*15</f>
        <v>40.499999999999993</v>
      </c>
      <c r="L36" s="33">
        <f t="shared" si="9"/>
        <v>94.499999999999986</v>
      </c>
    </row>
    <row r="37" spans="1:20">
      <c r="A37" s="141"/>
      <c r="B37" s="189" t="s">
        <v>888</v>
      </c>
      <c r="C37" s="181">
        <v>0.3</v>
      </c>
      <c r="D37" s="181">
        <f t="shared" si="5"/>
        <v>2.6999999999999997</v>
      </c>
      <c r="E37" s="1">
        <f t="shared" si="7"/>
        <v>13.499999999999998</v>
      </c>
      <c r="F37" s="33"/>
      <c r="G37" s="33"/>
      <c r="H37" s="33"/>
      <c r="I37" s="33">
        <f>D37*15</f>
        <v>40.499999999999993</v>
      </c>
      <c r="J37" s="33"/>
      <c r="L37" s="33">
        <f t="shared" si="9"/>
        <v>94.499999999999986</v>
      </c>
    </row>
    <row r="38" spans="1:20">
      <c r="A38" s="141"/>
      <c r="B38" s="189" t="s">
        <v>889</v>
      </c>
      <c r="C38" s="181">
        <v>0.3</v>
      </c>
      <c r="D38" s="181">
        <f t="shared" si="5"/>
        <v>2.6999999999999997</v>
      </c>
      <c r="E38" s="1">
        <f t="shared" si="7"/>
        <v>13.499999999999998</v>
      </c>
      <c r="F38" s="33"/>
      <c r="G38" s="33"/>
      <c r="H38" s="33">
        <f>D38*15</f>
        <v>40.499999999999993</v>
      </c>
      <c r="I38" s="33"/>
      <c r="J38" s="33"/>
      <c r="L38" s="33">
        <f t="shared" ref="L38:L46" si="11">D38*35</f>
        <v>94.499999999999986</v>
      </c>
    </row>
    <row r="39" spans="1:20">
      <c r="A39" s="141"/>
      <c r="B39" s="189" t="s">
        <v>890</v>
      </c>
      <c r="C39" s="181">
        <v>0.3</v>
      </c>
      <c r="D39" s="181">
        <f t="shared" si="5"/>
        <v>2.6999999999999997</v>
      </c>
      <c r="E39" s="1">
        <f t="shared" si="7"/>
        <v>13.499999999999998</v>
      </c>
      <c r="F39" s="33"/>
      <c r="G39" s="33"/>
      <c r="H39" s="33">
        <f>D39*15</f>
        <v>40.499999999999993</v>
      </c>
      <c r="I39" s="33"/>
      <c r="J39" s="33"/>
      <c r="L39" s="33">
        <f t="shared" si="11"/>
        <v>94.499999999999986</v>
      </c>
    </row>
    <row r="40" spans="1:20">
      <c r="A40" s="141"/>
      <c r="B40" s="189" t="s">
        <v>891</v>
      </c>
      <c r="C40" s="181">
        <v>0.3</v>
      </c>
      <c r="D40" s="181">
        <f t="shared" si="5"/>
        <v>2.6999999999999997</v>
      </c>
      <c r="E40" s="1">
        <f t="shared" si="7"/>
        <v>13.499999999999998</v>
      </c>
      <c r="F40" s="33"/>
      <c r="G40" s="33">
        <f t="shared" ref="G40" si="12">D40*15</f>
        <v>40.499999999999993</v>
      </c>
      <c r="H40" s="33"/>
      <c r="I40" s="33"/>
      <c r="J40" s="33"/>
      <c r="L40" s="33">
        <f t="shared" si="11"/>
        <v>94.499999999999986</v>
      </c>
    </row>
    <row r="41" spans="1:20">
      <c r="A41" s="141"/>
      <c r="B41" s="189" t="s">
        <v>892</v>
      </c>
      <c r="C41" s="181">
        <v>0.3</v>
      </c>
      <c r="D41" s="181">
        <f t="shared" si="5"/>
        <v>2.6999999999999997</v>
      </c>
      <c r="E41" s="1">
        <f t="shared" si="7"/>
        <v>13.499999999999998</v>
      </c>
      <c r="F41" s="33">
        <f>D41*15</f>
        <v>40.499999999999993</v>
      </c>
      <c r="G41" s="33"/>
      <c r="H41" s="33"/>
      <c r="I41" s="33"/>
      <c r="J41" s="33"/>
      <c r="L41" s="33">
        <f t="shared" si="11"/>
        <v>94.499999999999986</v>
      </c>
    </row>
    <row r="42" spans="1:20">
      <c r="A42" s="141"/>
      <c r="B42" s="189" t="s">
        <v>893</v>
      </c>
      <c r="C42" s="181">
        <v>0.3</v>
      </c>
      <c r="D42" s="181">
        <f t="shared" si="5"/>
        <v>2.6999999999999997</v>
      </c>
      <c r="E42" s="1">
        <f t="shared" si="7"/>
        <v>13.499999999999998</v>
      </c>
      <c r="F42" s="33">
        <f>D42*15</f>
        <v>40.499999999999993</v>
      </c>
      <c r="G42" s="33"/>
      <c r="H42" s="33"/>
      <c r="I42" s="33"/>
      <c r="J42" s="33"/>
      <c r="L42" s="33">
        <f t="shared" si="11"/>
        <v>94.499999999999986</v>
      </c>
    </row>
    <row r="43" spans="1:20">
      <c r="A43" s="141"/>
      <c r="B43" s="189" t="s">
        <v>894</v>
      </c>
      <c r="C43" s="181">
        <v>0.3</v>
      </c>
      <c r="D43" s="181">
        <f t="shared" si="5"/>
        <v>2.6999999999999997</v>
      </c>
      <c r="E43" s="1">
        <f t="shared" si="7"/>
        <v>13.499999999999998</v>
      </c>
      <c r="F43" s="33"/>
      <c r="G43" s="33">
        <f t="shared" ref="G43:G44" si="13">D43*15</f>
        <v>40.499999999999993</v>
      </c>
      <c r="H43" s="33"/>
      <c r="I43" s="33"/>
      <c r="J43" s="33"/>
      <c r="L43" s="33">
        <f t="shared" si="11"/>
        <v>94.499999999999986</v>
      </c>
    </row>
    <row r="44" spans="1:20">
      <c r="A44" s="141"/>
      <c r="B44" s="189" t="s">
        <v>895</v>
      </c>
      <c r="C44" s="181">
        <v>0.3</v>
      </c>
      <c r="D44" s="181">
        <f t="shared" si="5"/>
        <v>2.6999999999999997</v>
      </c>
      <c r="E44" s="1">
        <f t="shared" si="7"/>
        <v>13.499999999999998</v>
      </c>
      <c r="F44" s="33"/>
      <c r="G44" s="33">
        <f t="shared" si="13"/>
        <v>40.499999999999993</v>
      </c>
      <c r="H44" s="33"/>
      <c r="I44" s="33"/>
      <c r="J44" s="33"/>
      <c r="L44" s="33">
        <f t="shared" si="11"/>
        <v>94.499999999999986</v>
      </c>
    </row>
    <row r="45" spans="1:20">
      <c r="A45" s="141"/>
      <c r="B45" s="189" t="s">
        <v>896</v>
      </c>
      <c r="C45" s="181">
        <v>0.3</v>
      </c>
      <c r="D45" s="181">
        <f t="shared" si="5"/>
        <v>2.6999999999999997</v>
      </c>
      <c r="E45" s="1">
        <f t="shared" si="7"/>
        <v>13.499999999999998</v>
      </c>
      <c r="F45" s="33">
        <f>D45*15</f>
        <v>40.499999999999993</v>
      </c>
      <c r="G45" s="33"/>
      <c r="H45" s="33"/>
      <c r="I45" s="33"/>
      <c r="J45" s="33"/>
      <c r="L45" s="33">
        <f t="shared" si="11"/>
        <v>94.499999999999986</v>
      </c>
    </row>
    <row r="46" spans="1:20">
      <c r="A46" s="141"/>
      <c r="B46" s="189" t="s">
        <v>897</v>
      </c>
      <c r="C46" s="181">
        <v>0.3</v>
      </c>
      <c r="D46" s="181">
        <f t="shared" si="5"/>
        <v>2.6999999999999997</v>
      </c>
      <c r="E46" s="1">
        <f t="shared" si="7"/>
        <v>13.499999999999998</v>
      </c>
      <c r="F46" s="33">
        <f>D46*15</f>
        <v>40.499999999999993</v>
      </c>
      <c r="G46" s="33"/>
      <c r="H46" s="33"/>
      <c r="I46" s="33"/>
      <c r="J46" s="33"/>
      <c r="L46" s="33">
        <f t="shared" si="11"/>
        <v>94.499999999999986</v>
      </c>
    </row>
    <row r="47" spans="1:20">
      <c r="A47" s="118" t="s">
        <v>199</v>
      </c>
      <c r="B47" s="57"/>
      <c r="C47" s="11">
        <f t="shared" ref="C47:J47" si="14">SUM(C4:C46)</f>
        <v>14.900000000000009</v>
      </c>
      <c r="D47" s="11">
        <f t="shared" si="14"/>
        <v>134.10000000000005</v>
      </c>
      <c r="E47" s="59">
        <f t="shared" si="14"/>
        <v>670.5</v>
      </c>
      <c r="F47" s="59">
        <f t="shared" si="14"/>
        <v>594</v>
      </c>
      <c r="G47" s="59">
        <f t="shared" si="14"/>
        <v>566.99999999999989</v>
      </c>
      <c r="H47" s="59">
        <f t="shared" si="14"/>
        <v>486</v>
      </c>
      <c r="I47" s="59">
        <f t="shared" si="14"/>
        <v>202.49999999999997</v>
      </c>
      <c r="J47" s="59">
        <f t="shared" si="14"/>
        <v>202.49999999999997</v>
      </c>
      <c r="K47" s="59">
        <f>SUM(E47:J47)</f>
        <v>2722.5</v>
      </c>
      <c r="L47" s="60">
        <f>SUM(L4:L46)</f>
        <v>4959</v>
      </c>
      <c r="M47" s="39"/>
      <c r="N47" s="29" t="s">
        <v>2</v>
      </c>
      <c r="O47" s="16" t="s">
        <v>1</v>
      </c>
    </row>
    <row r="48" spans="1:20">
      <c r="E48" s="7">
        <f>E47*43.86</f>
        <v>29408.13</v>
      </c>
      <c r="F48" s="7">
        <f>F47*43.86</f>
        <v>26052.84</v>
      </c>
      <c r="G48" s="7">
        <f t="shared" ref="G48:L48" si="15">G47*43.86</f>
        <v>24868.619999999995</v>
      </c>
      <c r="H48" s="7">
        <f t="shared" si="15"/>
        <v>21315.96</v>
      </c>
      <c r="I48" s="7">
        <f t="shared" si="15"/>
        <v>8881.6499999999978</v>
      </c>
      <c r="J48" s="7">
        <f t="shared" si="15"/>
        <v>8881.6499999999978</v>
      </c>
      <c r="K48" s="7">
        <f t="shared" si="15"/>
        <v>119408.84999999999</v>
      </c>
      <c r="L48" s="7">
        <f t="shared" si="15"/>
        <v>217501.74</v>
      </c>
      <c r="M48" s="5" t="s">
        <v>4</v>
      </c>
      <c r="N48" s="7">
        <f t="shared" ref="N48:N50" si="16">O48*40</f>
        <v>198360</v>
      </c>
      <c r="O48" s="8">
        <f>L47</f>
        <v>4959</v>
      </c>
      <c r="T48" s="4"/>
    </row>
    <row r="49" spans="2:15">
      <c r="G49" s="33"/>
      <c r="H49" s="123"/>
      <c r="I49" s="123"/>
      <c r="J49" s="123"/>
      <c r="M49" s="5" t="s">
        <v>3</v>
      </c>
      <c r="N49" s="7">
        <f t="shared" si="16"/>
        <v>188442</v>
      </c>
      <c r="O49" s="8">
        <f>O48-O48*0.05</f>
        <v>4711.05</v>
      </c>
    </row>
    <row r="50" spans="2:15">
      <c r="B50" s="1"/>
      <c r="E50" s="21"/>
      <c r="G50" s="33"/>
      <c r="M50" s="5" t="s">
        <v>5</v>
      </c>
      <c r="N50" s="7">
        <f t="shared" si="16"/>
        <v>108900</v>
      </c>
      <c r="O50" s="8">
        <f>K47</f>
        <v>2722.5</v>
      </c>
    </row>
    <row r="51" spans="2:15">
      <c r="B51" s="1"/>
      <c r="M51" s="37" t="s">
        <v>18</v>
      </c>
      <c r="N51" s="7">
        <f>O51*40</f>
        <v>79542</v>
      </c>
      <c r="O51" s="8">
        <f>O49-O50</f>
        <v>1988.5500000000002</v>
      </c>
    </row>
    <row r="52" spans="2:15">
      <c r="B52" s="1"/>
    </row>
    <row r="53" spans="2:15">
      <c r="B53" s="169"/>
      <c r="C53" s="166"/>
      <c r="D53" s="176"/>
      <c r="I53" s="169"/>
      <c r="J53" s="169"/>
      <c r="K53" s="166"/>
      <c r="L53" s="176"/>
    </row>
    <row r="54" spans="2:15">
      <c r="B54" s="169"/>
      <c r="C54" s="166"/>
      <c r="D54" s="176"/>
      <c r="I54" s="144"/>
      <c r="J54" s="144"/>
      <c r="K54" s="166"/>
      <c r="L54" s="176"/>
    </row>
    <row r="55" spans="2:15">
      <c r="B55" s="169"/>
      <c r="C55" s="171"/>
      <c r="D55" s="176"/>
      <c r="G55" s="192"/>
      <c r="I55" s="167"/>
      <c r="J55" s="167"/>
      <c r="K55" s="166"/>
      <c r="L55" s="176"/>
    </row>
    <row r="56" spans="2:15">
      <c r="B56" s="169"/>
      <c r="C56" s="192"/>
      <c r="D56" s="192"/>
      <c r="E56" s="192"/>
      <c r="F56" s="192"/>
      <c r="G56" s="192"/>
      <c r="I56" s="169"/>
      <c r="J56" s="169"/>
      <c r="K56" s="166"/>
      <c r="L56" s="176"/>
    </row>
    <row r="57" spans="2:15">
      <c r="B57" s="176"/>
      <c r="C57" s="191"/>
      <c r="D57" s="191"/>
      <c r="E57" s="191"/>
      <c r="G57" s="192"/>
      <c r="I57" s="169"/>
      <c r="J57" s="169"/>
      <c r="K57" s="166"/>
      <c r="L57" s="176"/>
    </row>
    <row r="58" spans="2:15">
      <c r="B58" s="169"/>
      <c r="C58" s="191"/>
      <c r="D58" s="191"/>
      <c r="E58" s="191"/>
      <c r="G58" s="192"/>
      <c r="I58" s="169"/>
      <c r="J58" s="169"/>
      <c r="K58" s="166"/>
      <c r="L58" s="176"/>
    </row>
    <row r="59" spans="2:15">
      <c r="B59" s="169"/>
      <c r="C59" s="192"/>
      <c r="D59" s="192"/>
      <c r="E59" s="192"/>
      <c r="F59" s="192"/>
      <c r="G59" s="192"/>
      <c r="I59" s="169"/>
      <c r="J59" s="169"/>
      <c r="K59" s="166"/>
      <c r="L59" s="176"/>
    </row>
    <row r="60" spans="2:15">
      <c r="B60" s="176"/>
      <c r="C60" s="191"/>
      <c r="D60" s="191"/>
      <c r="E60" s="191"/>
      <c r="G60" s="192"/>
      <c r="I60" s="169"/>
      <c r="J60" s="169"/>
      <c r="K60" s="171"/>
      <c r="L60" s="176"/>
    </row>
    <row r="61" spans="2:15">
      <c r="C61" s="191"/>
      <c r="D61" s="191"/>
      <c r="E61" s="191"/>
      <c r="G61" s="192"/>
      <c r="I61" s="169"/>
      <c r="J61" s="169"/>
      <c r="K61" s="171"/>
      <c r="L61" s="176"/>
    </row>
    <row r="62" spans="2:15">
      <c r="B62" s="169"/>
      <c r="C62" s="192"/>
      <c r="D62" s="192"/>
      <c r="E62" s="192"/>
      <c r="F62" s="192"/>
      <c r="G62" s="192"/>
      <c r="I62" s="169"/>
      <c r="J62" s="169"/>
      <c r="K62" s="171"/>
      <c r="L62" s="176"/>
    </row>
    <row r="63" spans="2:15">
      <c r="B63" s="176"/>
      <c r="C63" s="191"/>
      <c r="D63" s="191"/>
      <c r="E63" s="191"/>
      <c r="G63" s="192"/>
      <c r="H63" s="21"/>
      <c r="I63" s="169"/>
      <c r="J63" s="169"/>
      <c r="K63" s="166"/>
      <c r="L63" s="176"/>
    </row>
    <row r="64" spans="2:15">
      <c r="C64" s="191"/>
      <c r="D64" s="191"/>
      <c r="E64" s="191"/>
      <c r="G64" s="192"/>
    </row>
    <row r="65" spans="2:7">
      <c r="B65" s="169"/>
      <c r="C65" s="192"/>
      <c r="D65" s="192"/>
      <c r="E65" s="192"/>
      <c r="F65" s="192"/>
      <c r="G65" s="192"/>
    </row>
    <row r="66" spans="2:7">
      <c r="B66" s="176"/>
      <c r="C66" s="191"/>
      <c r="D66" s="191"/>
      <c r="E66" s="191"/>
      <c r="G66" s="192"/>
    </row>
    <row r="67" spans="2:7">
      <c r="C67" s="191"/>
      <c r="D67" s="191"/>
      <c r="E67" s="191"/>
      <c r="G67" s="192"/>
    </row>
    <row r="68" spans="2:7">
      <c r="B68" s="169"/>
      <c r="C68" s="192"/>
      <c r="D68" s="192"/>
      <c r="E68" s="192"/>
      <c r="F68" s="192"/>
      <c r="G68" s="192"/>
    </row>
    <row r="69" spans="2:7">
      <c r="B69" s="176"/>
      <c r="C69" s="191"/>
      <c r="D69" s="191"/>
      <c r="E69" s="191"/>
      <c r="G69" s="192"/>
    </row>
    <row r="70" spans="2:7">
      <c r="C70" s="191"/>
      <c r="D70" s="191"/>
      <c r="E70" s="191"/>
      <c r="G70" s="192"/>
    </row>
    <row r="71" spans="2:7">
      <c r="C71" s="191"/>
      <c r="D71" s="191"/>
      <c r="E71" s="191"/>
      <c r="G71" s="192"/>
    </row>
    <row r="72" spans="2:7">
      <c r="G72" s="192"/>
    </row>
    <row r="73" spans="2:7">
      <c r="G73" s="192"/>
    </row>
    <row r="74" spans="2:7">
      <c r="G74" s="19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6EED4-E114-1B4F-AD3B-523A4FD234F7}">
  <dimension ref="A1:V42"/>
  <sheetViews>
    <sheetView zoomScaleNormal="100" workbookViewId="0">
      <pane ySplit="2" topLeftCell="A3" activePane="bottomLeft" state="frozen"/>
      <selection pane="bottomLeft" activeCell="H24" sqref="H24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12" width="10.83203125" style="1"/>
    <col min="13" max="13" width="11.1640625" style="1" customWidth="1"/>
    <col min="14" max="14" width="13.1640625" style="1" customWidth="1"/>
    <col min="15" max="15" width="12.5" style="1" bestFit="1" customWidth="1"/>
    <col min="16" max="16" width="12" style="1" customWidth="1"/>
    <col min="17" max="17" width="11.1640625" style="1" customWidth="1"/>
    <col min="18" max="18" width="12.5" style="1" bestFit="1" customWidth="1"/>
    <col min="19" max="19" width="13" style="1" customWidth="1"/>
    <col min="20" max="16384" width="10.83203125" style="1"/>
  </cols>
  <sheetData>
    <row r="1" spans="1:19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9">
      <c r="B2" s="129" t="s">
        <v>671</v>
      </c>
      <c r="E2" s="170" t="s">
        <v>651</v>
      </c>
      <c r="F2" s="134" t="s">
        <v>0</v>
      </c>
      <c r="G2" s="134" t="s">
        <v>206</v>
      </c>
      <c r="H2" s="134" t="s">
        <v>7</v>
      </c>
      <c r="I2" s="181" t="s">
        <v>758</v>
      </c>
      <c r="J2" s="181" t="s">
        <v>759</v>
      </c>
      <c r="K2" s="193" t="s">
        <v>108</v>
      </c>
      <c r="L2" s="181"/>
    </row>
    <row r="3" spans="1:19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184" t="s">
        <v>760</v>
      </c>
      <c r="L3" s="184" t="s">
        <v>761</v>
      </c>
      <c r="M3" s="31" t="s">
        <v>16</v>
      </c>
      <c r="N3" s="39" t="s">
        <v>18</v>
      </c>
    </row>
    <row r="4" spans="1:19">
      <c r="A4" s="141"/>
      <c r="B4" s="185" t="s">
        <v>845</v>
      </c>
      <c r="C4" s="181">
        <v>0.5</v>
      </c>
      <c r="D4" s="181">
        <v>4.5</v>
      </c>
      <c r="E4" s="1">
        <f t="shared" ref="E4" si="0">D4*5</f>
        <v>22.5</v>
      </c>
      <c r="F4" s="33"/>
      <c r="G4" s="33"/>
      <c r="H4" s="33">
        <f>D4*15</f>
        <v>67.5</v>
      </c>
      <c r="I4" s="33"/>
      <c r="J4" s="33"/>
      <c r="L4" s="33"/>
      <c r="N4" s="33">
        <f t="shared" ref="N4" si="1">D4*40</f>
        <v>180</v>
      </c>
      <c r="S4" s="33"/>
    </row>
    <row r="5" spans="1:19" ht="25" customHeight="1">
      <c r="A5" s="125" t="s">
        <v>81</v>
      </c>
      <c r="B5" s="125" t="s">
        <v>196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</row>
    <row r="6" spans="1:19">
      <c r="A6" s="141"/>
      <c r="B6" s="185" t="s">
        <v>846</v>
      </c>
      <c r="C6" s="181">
        <v>0.3</v>
      </c>
      <c r="D6" s="181">
        <f>C6*9</f>
        <v>2.6999999999999997</v>
      </c>
      <c r="E6" s="1">
        <f>D6*5</f>
        <v>13.499999999999998</v>
      </c>
      <c r="F6" s="33"/>
      <c r="G6" s="33">
        <f>D6*12</f>
        <v>32.4</v>
      </c>
      <c r="H6" s="33"/>
      <c r="I6" s="33"/>
      <c r="J6" s="33"/>
      <c r="K6" s="33"/>
      <c r="L6" s="33"/>
      <c r="N6" s="33">
        <f t="shared" ref="N6:N16" si="2">D6*35</f>
        <v>94.499999999999986</v>
      </c>
    </row>
    <row r="7" spans="1:19">
      <c r="A7" s="141"/>
      <c r="B7" s="185" t="s">
        <v>847</v>
      </c>
      <c r="C7" s="181">
        <v>0.4</v>
      </c>
      <c r="D7" s="181">
        <f t="shared" ref="D7:D13" si="3">C7*9</f>
        <v>3.6</v>
      </c>
      <c r="E7" s="1">
        <f t="shared" ref="E7:E16" si="4">D7*5</f>
        <v>18</v>
      </c>
      <c r="F7" s="33"/>
      <c r="G7" s="33"/>
      <c r="H7" s="33">
        <f>D7*15</f>
        <v>54</v>
      </c>
      <c r="I7" s="33"/>
      <c r="J7" s="33"/>
      <c r="K7" s="33"/>
      <c r="L7" s="33"/>
      <c r="N7" s="33">
        <f t="shared" si="2"/>
        <v>126</v>
      </c>
    </row>
    <row r="8" spans="1:19">
      <c r="A8" s="141"/>
      <c r="B8" s="188" t="s">
        <v>796</v>
      </c>
      <c r="C8" s="181">
        <v>0.3</v>
      </c>
      <c r="D8" s="181">
        <f t="shared" si="3"/>
        <v>2.6999999999999997</v>
      </c>
      <c r="E8" s="1">
        <f t="shared" si="4"/>
        <v>13.499999999999998</v>
      </c>
      <c r="F8" s="33"/>
      <c r="H8" s="33"/>
      <c r="I8" s="33"/>
      <c r="J8" s="33"/>
      <c r="K8" s="33">
        <f>D8*15</f>
        <v>40.499999999999993</v>
      </c>
      <c r="L8" s="33"/>
      <c r="N8" s="33">
        <f t="shared" si="2"/>
        <v>94.499999999999986</v>
      </c>
    </row>
    <row r="9" spans="1:19">
      <c r="A9" s="141"/>
      <c r="B9" s="188" t="s">
        <v>848</v>
      </c>
      <c r="C9" s="181">
        <v>0.3</v>
      </c>
      <c r="D9" s="181">
        <f t="shared" si="3"/>
        <v>2.6999999999999997</v>
      </c>
      <c r="E9" s="1">
        <f t="shared" si="4"/>
        <v>13.499999999999998</v>
      </c>
      <c r="F9" s="33">
        <f>D9*15</f>
        <v>40.499999999999993</v>
      </c>
      <c r="G9" s="33"/>
      <c r="I9" s="33"/>
      <c r="J9" s="33"/>
      <c r="K9" s="33"/>
      <c r="L9" s="33"/>
      <c r="N9" s="33">
        <f t="shared" si="2"/>
        <v>94.499999999999986</v>
      </c>
    </row>
    <row r="10" spans="1:19">
      <c r="A10" s="141"/>
      <c r="B10" s="189" t="s">
        <v>849</v>
      </c>
      <c r="C10" s="181">
        <v>2.5</v>
      </c>
      <c r="D10" s="181">
        <f t="shared" si="3"/>
        <v>22.5</v>
      </c>
      <c r="E10" s="1">
        <f t="shared" si="4"/>
        <v>112.5</v>
      </c>
      <c r="F10" s="33"/>
      <c r="G10" s="33"/>
      <c r="H10" s="33">
        <f>D10*15</f>
        <v>337.5</v>
      </c>
      <c r="I10" s="33"/>
      <c r="J10" s="33"/>
      <c r="K10" s="33"/>
      <c r="L10" s="33"/>
      <c r="N10" s="33">
        <f t="shared" si="2"/>
        <v>787.5</v>
      </c>
    </row>
    <row r="11" spans="1:19">
      <c r="A11" s="141"/>
      <c r="B11" s="189" t="s">
        <v>850</v>
      </c>
      <c r="C11" s="181">
        <v>0.5</v>
      </c>
      <c r="D11" s="181">
        <f t="shared" si="3"/>
        <v>4.5</v>
      </c>
      <c r="E11" s="1">
        <f t="shared" si="4"/>
        <v>22.5</v>
      </c>
      <c r="F11" s="33">
        <f>D11*15</f>
        <v>67.5</v>
      </c>
      <c r="G11" s="33"/>
      <c r="H11" s="33"/>
      <c r="I11" s="33"/>
      <c r="J11" s="33"/>
      <c r="K11" s="33"/>
      <c r="L11" s="33"/>
      <c r="N11" s="33">
        <f t="shared" si="2"/>
        <v>157.5</v>
      </c>
    </row>
    <row r="12" spans="1:19">
      <c r="A12" s="141"/>
      <c r="B12" s="188" t="s">
        <v>851</v>
      </c>
      <c r="C12" s="181">
        <v>0.5</v>
      </c>
      <c r="D12" s="181">
        <f t="shared" si="3"/>
        <v>4.5</v>
      </c>
      <c r="E12" s="1">
        <f t="shared" si="4"/>
        <v>22.5</v>
      </c>
      <c r="F12" s="33">
        <f>D12*15</f>
        <v>67.5</v>
      </c>
      <c r="G12" s="33"/>
      <c r="H12" s="33"/>
      <c r="I12" s="33"/>
      <c r="J12" s="33"/>
      <c r="K12" s="33"/>
      <c r="L12" s="33"/>
      <c r="N12" s="33">
        <f t="shared" si="2"/>
        <v>157.5</v>
      </c>
    </row>
    <row r="13" spans="1:19">
      <c r="A13" s="141"/>
      <c r="B13" s="189" t="s">
        <v>852</v>
      </c>
      <c r="C13" s="181">
        <v>0.5</v>
      </c>
      <c r="D13" s="181">
        <f t="shared" si="3"/>
        <v>4.5</v>
      </c>
      <c r="E13" s="1">
        <f t="shared" si="4"/>
        <v>22.5</v>
      </c>
      <c r="F13" s="33">
        <f>D13*15</f>
        <v>67.5</v>
      </c>
      <c r="G13" s="33"/>
      <c r="H13" s="33"/>
      <c r="I13" s="33"/>
      <c r="J13" s="33"/>
      <c r="K13" s="33"/>
      <c r="L13" s="33"/>
      <c r="N13" s="33">
        <f t="shared" si="2"/>
        <v>157.5</v>
      </c>
    </row>
    <row r="14" spans="1:19">
      <c r="A14" s="141"/>
      <c r="B14" s="189" t="s">
        <v>853</v>
      </c>
      <c r="C14" s="181">
        <v>0.5</v>
      </c>
      <c r="D14" s="181">
        <f>C14*9</f>
        <v>4.5</v>
      </c>
      <c r="E14" s="1">
        <f t="shared" si="4"/>
        <v>22.5</v>
      </c>
      <c r="F14" s="33"/>
      <c r="G14" s="33"/>
      <c r="H14" s="33"/>
      <c r="I14" s="33">
        <f>D14*15</f>
        <v>67.5</v>
      </c>
      <c r="J14" s="33"/>
      <c r="K14" s="33"/>
      <c r="L14" s="33"/>
      <c r="N14" s="33">
        <f t="shared" si="2"/>
        <v>157.5</v>
      </c>
    </row>
    <row r="15" spans="1:19">
      <c r="A15" s="141"/>
      <c r="B15" s="189" t="s">
        <v>854</v>
      </c>
      <c r="C15" s="181">
        <v>1.5</v>
      </c>
      <c r="D15" s="181">
        <f t="shared" ref="D15:D16" si="5">C15*9</f>
        <v>13.5</v>
      </c>
      <c r="E15" s="1">
        <f t="shared" si="4"/>
        <v>67.5</v>
      </c>
      <c r="F15" s="33"/>
      <c r="G15" s="33"/>
      <c r="H15" s="33">
        <f>D15*15</f>
        <v>202.5</v>
      </c>
      <c r="I15" s="33"/>
      <c r="J15" s="33"/>
      <c r="K15" s="33"/>
      <c r="L15" s="33"/>
      <c r="N15" s="33">
        <f t="shared" si="2"/>
        <v>472.5</v>
      </c>
    </row>
    <row r="16" spans="1:19">
      <c r="A16" s="141"/>
      <c r="B16" s="189" t="s">
        <v>855</v>
      </c>
      <c r="C16" s="181">
        <v>0.5</v>
      </c>
      <c r="D16" s="181">
        <f t="shared" si="5"/>
        <v>4.5</v>
      </c>
      <c r="E16" s="1">
        <f t="shared" si="4"/>
        <v>22.5</v>
      </c>
      <c r="F16" s="33"/>
      <c r="G16" s="33"/>
      <c r="H16" s="33">
        <f>D16*15</f>
        <v>67.5</v>
      </c>
      <c r="I16" s="33"/>
      <c r="J16" s="33"/>
      <c r="K16" s="33"/>
      <c r="L16" s="33"/>
      <c r="N16" s="33">
        <f t="shared" si="2"/>
        <v>157.5</v>
      </c>
    </row>
    <row r="17" spans="1:22">
      <c r="A17" s="118" t="s">
        <v>199</v>
      </c>
      <c r="B17" s="57"/>
      <c r="C17" s="11">
        <f t="shared" ref="C17:L17" si="6">SUM(C4:C16)</f>
        <v>8.3000000000000007</v>
      </c>
      <c r="D17" s="11">
        <f t="shared" si="6"/>
        <v>74.7</v>
      </c>
      <c r="E17" s="59">
        <f t="shared" si="6"/>
        <v>373.5</v>
      </c>
      <c r="F17" s="59">
        <f t="shared" si="6"/>
        <v>243</v>
      </c>
      <c r="G17" s="59">
        <f t="shared" si="6"/>
        <v>32.4</v>
      </c>
      <c r="H17" s="59">
        <f t="shared" si="6"/>
        <v>729</v>
      </c>
      <c r="I17" s="59">
        <f t="shared" si="6"/>
        <v>67.5</v>
      </c>
      <c r="J17" s="59">
        <f t="shared" si="6"/>
        <v>0</v>
      </c>
      <c r="K17" s="59">
        <f t="shared" si="6"/>
        <v>40.499999999999993</v>
      </c>
      <c r="L17" s="59">
        <f t="shared" si="6"/>
        <v>0</v>
      </c>
      <c r="M17" s="59">
        <f>SUM(E17:I17)</f>
        <v>1445.4</v>
      </c>
      <c r="N17" s="60">
        <f>SUM(N4:N16)</f>
        <v>2637</v>
      </c>
      <c r="O17" s="39"/>
      <c r="P17" s="29" t="s">
        <v>2</v>
      </c>
      <c r="Q17" s="16" t="s">
        <v>1</v>
      </c>
    </row>
    <row r="18" spans="1:22">
      <c r="E18" s="142">
        <f>E17*43.9</f>
        <v>16396.649999999998</v>
      </c>
      <c r="F18" s="142">
        <f>F17*43</f>
        <v>10449</v>
      </c>
      <c r="G18" s="142">
        <f>G17*43</f>
        <v>1393.2</v>
      </c>
      <c r="H18" s="142">
        <f>H17*43</f>
        <v>31347</v>
      </c>
      <c r="I18" s="142">
        <f>I17*43</f>
        <v>2902.5</v>
      </c>
      <c r="J18" s="7">
        <f t="shared" ref="J18" si="7">J17*41.3</f>
        <v>0</v>
      </c>
      <c r="K18" s="7">
        <f>K17*43</f>
        <v>1741.4999999999998</v>
      </c>
      <c r="L18" s="7">
        <f>L17*42</f>
        <v>0</v>
      </c>
      <c r="M18" s="7">
        <f t="shared" ref="M18:N18" si="8">M17*40</f>
        <v>57816</v>
      </c>
      <c r="N18" s="7">
        <f t="shared" si="8"/>
        <v>105480</v>
      </c>
      <c r="O18" s="5" t="s">
        <v>4</v>
      </c>
      <c r="P18" s="7">
        <f t="shared" ref="P18:P20" si="9">Q18*40</f>
        <v>105480</v>
      </c>
      <c r="Q18" s="8">
        <f>N17</f>
        <v>2637</v>
      </c>
      <c r="V18" s="4"/>
    </row>
    <row r="19" spans="1:22">
      <c r="G19" s="33"/>
      <c r="H19" s="123"/>
      <c r="I19" s="123"/>
      <c r="J19" s="123"/>
      <c r="K19" s="123"/>
      <c r="L19" s="123"/>
      <c r="O19" s="5" t="s">
        <v>3</v>
      </c>
      <c r="P19" s="7">
        <f t="shared" si="9"/>
        <v>100206</v>
      </c>
      <c r="Q19" s="8">
        <f>Q18-Q18*0.05</f>
        <v>2505.15</v>
      </c>
    </row>
    <row r="20" spans="1:22">
      <c r="B20" s="1"/>
      <c r="E20" s="21"/>
      <c r="G20" s="33"/>
      <c r="O20" s="5" t="s">
        <v>5</v>
      </c>
      <c r="P20" s="7">
        <f t="shared" si="9"/>
        <v>57816</v>
      </c>
      <c r="Q20" s="8">
        <f>M17</f>
        <v>1445.4</v>
      </c>
    </row>
    <row r="21" spans="1:22">
      <c r="B21" s="1"/>
      <c r="O21" s="37" t="s">
        <v>18</v>
      </c>
      <c r="P21" s="7">
        <f>Q21*40</f>
        <v>42390</v>
      </c>
      <c r="Q21" s="8">
        <f>Q19-Q20</f>
        <v>1059.75</v>
      </c>
    </row>
    <row r="22" spans="1:22">
      <c r="B22" s="1"/>
    </row>
    <row r="23" spans="1:22">
      <c r="B23" s="169"/>
      <c r="C23" s="166"/>
      <c r="D23" s="176"/>
      <c r="I23" s="169"/>
      <c r="J23" s="169"/>
      <c r="K23" s="169"/>
      <c r="L23" s="169"/>
      <c r="M23" s="166"/>
      <c r="N23" s="176"/>
    </row>
    <row r="24" spans="1:22">
      <c r="B24" s="169"/>
      <c r="C24" s="166"/>
      <c r="D24" s="176"/>
      <c r="I24" s="144"/>
      <c r="J24" s="144"/>
      <c r="K24" s="144"/>
      <c r="L24" s="144"/>
      <c r="M24" s="166"/>
      <c r="N24" s="176"/>
    </row>
    <row r="25" spans="1:22">
      <c r="B25" s="169"/>
      <c r="C25" s="171"/>
      <c r="D25" s="176"/>
      <c r="G25" s="192"/>
      <c r="I25" s="167"/>
      <c r="J25" s="167"/>
      <c r="K25" s="167"/>
      <c r="L25" s="167"/>
      <c r="M25" s="166"/>
      <c r="N25" s="176"/>
    </row>
    <row r="26" spans="1:22">
      <c r="B26" s="169"/>
      <c r="C26" s="192"/>
      <c r="D26" s="192"/>
      <c r="E26" s="192"/>
      <c r="F26" s="192"/>
      <c r="G26" s="192"/>
      <c r="I26" s="169"/>
      <c r="J26" s="169"/>
      <c r="K26" s="169"/>
      <c r="L26" s="169"/>
      <c r="M26" s="166"/>
      <c r="N26" s="176"/>
    </row>
    <row r="27" spans="1:22">
      <c r="B27" s="176"/>
      <c r="C27" s="191"/>
      <c r="D27" s="191"/>
      <c r="E27" s="191"/>
      <c r="G27" s="192"/>
      <c r="I27" s="169"/>
      <c r="J27" s="169"/>
      <c r="K27" s="169"/>
      <c r="L27" s="169"/>
      <c r="M27" s="166"/>
      <c r="N27" s="176"/>
    </row>
    <row r="28" spans="1:22">
      <c r="B28" s="169"/>
      <c r="C28" s="191"/>
      <c r="D28" s="191"/>
      <c r="E28" s="191"/>
      <c r="G28" s="192"/>
      <c r="I28" s="169"/>
      <c r="J28" s="169"/>
      <c r="K28" s="169"/>
      <c r="L28" s="169"/>
      <c r="M28" s="166"/>
      <c r="N28" s="176"/>
    </row>
    <row r="29" spans="1:22">
      <c r="B29" s="169"/>
      <c r="C29" s="192"/>
      <c r="D29" s="192"/>
      <c r="E29" s="192"/>
      <c r="F29" s="192"/>
      <c r="G29" s="192"/>
      <c r="I29" s="169"/>
      <c r="J29" s="169"/>
      <c r="K29" s="169"/>
      <c r="L29" s="169"/>
      <c r="M29" s="166"/>
      <c r="N29" s="176"/>
    </row>
    <row r="30" spans="1:22">
      <c r="B30" s="176"/>
      <c r="C30" s="191"/>
      <c r="D30" s="191"/>
      <c r="E30" s="191"/>
      <c r="F30" s="192"/>
      <c r="G30" s="192"/>
      <c r="I30" s="169"/>
      <c r="J30" s="169"/>
      <c r="K30" s="169"/>
      <c r="L30" s="169"/>
      <c r="M30" s="171"/>
      <c r="N30" s="176"/>
    </row>
    <row r="31" spans="1:22">
      <c r="C31" s="191"/>
      <c r="D31" s="191"/>
      <c r="E31" s="191"/>
      <c r="G31" s="192"/>
      <c r="I31" s="169"/>
      <c r="J31" s="169"/>
      <c r="K31" s="169"/>
      <c r="L31" s="169"/>
      <c r="M31" s="171"/>
      <c r="N31" s="176"/>
    </row>
    <row r="32" spans="1:22">
      <c r="B32" s="169"/>
      <c r="C32" s="192"/>
      <c r="D32" s="192"/>
      <c r="E32" s="192"/>
      <c r="F32" s="192"/>
      <c r="G32" s="192"/>
      <c r="I32" s="169"/>
      <c r="J32" s="169"/>
      <c r="K32" s="169"/>
      <c r="L32" s="169"/>
      <c r="M32" s="171"/>
      <c r="N32" s="176"/>
    </row>
    <row r="33" spans="2:14">
      <c r="B33" s="176"/>
      <c r="C33" s="191"/>
      <c r="D33" s="191"/>
      <c r="E33" s="191"/>
      <c r="G33" s="192"/>
      <c r="H33" s="21"/>
      <c r="I33" s="169"/>
      <c r="J33" s="169"/>
      <c r="K33" s="169"/>
      <c r="L33" s="169"/>
      <c r="M33" s="166"/>
      <c r="N33" s="176"/>
    </row>
    <row r="34" spans="2:14">
      <c r="C34" s="191"/>
      <c r="D34" s="191"/>
      <c r="E34" s="191"/>
      <c r="G34" s="192"/>
    </row>
    <row r="35" spans="2:14">
      <c r="B35" s="169"/>
      <c r="C35" s="192"/>
      <c r="D35" s="192"/>
      <c r="E35" s="192"/>
      <c r="F35" s="192"/>
      <c r="G35" s="192"/>
    </row>
    <row r="36" spans="2:14">
      <c r="B36" s="176"/>
      <c r="C36" s="191"/>
      <c r="D36" s="191"/>
      <c r="E36" s="191"/>
      <c r="G36" s="192"/>
    </row>
    <row r="37" spans="2:14">
      <c r="C37" s="191"/>
      <c r="D37" s="191"/>
      <c r="E37" s="191"/>
      <c r="G37" s="192"/>
    </row>
    <row r="38" spans="2:14">
      <c r="B38" s="169"/>
      <c r="C38" s="192"/>
      <c r="D38" s="192"/>
      <c r="E38" s="192"/>
      <c r="F38" s="192"/>
      <c r="G38" s="192"/>
    </row>
    <row r="39" spans="2:14">
      <c r="B39" s="176"/>
      <c r="C39" s="191"/>
      <c r="D39" s="191"/>
      <c r="E39" s="191"/>
      <c r="G39" s="192"/>
    </row>
    <row r="40" spans="2:14">
      <c r="C40" s="191"/>
      <c r="D40" s="191"/>
      <c r="E40" s="191"/>
      <c r="G40" s="192"/>
    </row>
    <row r="41" spans="2:14">
      <c r="C41" s="191"/>
      <c r="D41" s="191"/>
      <c r="E41" s="191"/>
      <c r="G41" s="192"/>
    </row>
    <row r="42" spans="2:14">
      <c r="G42" s="192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6C7E9-4606-C44B-8FA0-A0FC32BACFB9}">
  <dimension ref="A1:V82"/>
  <sheetViews>
    <sheetView zoomScaleNormal="100" workbookViewId="0">
      <pane ySplit="2" topLeftCell="A3" activePane="bottomLeft" state="frozen"/>
      <selection pane="bottomLeft" activeCell="K78" sqref="K78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12" width="10.83203125" style="1"/>
    <col min="13" max="13" width="11.1640625" style="1" customWidth="1"/>
    <col min="14" max="14" width="13.1640625" style="1" customWidth="1"/>
    <col min="15" max="15" width="12.5" style="1" bestFit="1" customWidth="1"/>
    <col min="16" max="16" width="12" style="1" customWidth="1"/>
    <col min="17" max="17" width="11.1640625" style="1" customWidth="1"/>
    <col min="18" max="18" width="12.5" style="1" bestFit="1" customWidth="1"/>
    <col min="19" max="19" width="13" style="1" customWidth="1"/>
    <col min="20" max="16384" width="10.83203125" style="1"/>
  </cols>
  <sheetData>
    <row r="1" spans="1:19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9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  <c r="J2" s="181" t="s">
        <v>806</v>
      </c>
      <c r="K2" s="181" t="s">
        <v>758</v>
      </c>
      <c r="L2" s="181" t="s">
        <v>759</v>
      </c>
    </row>
    <row r="3" spans="1:19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98" t="s">
        <v>807</v>
      </c>
      <c r="K3" s="184" t="s">
        <v>760</v>
      </c>
      <c r="L3" s="184" t="s">
        <v>761</v>
      </c>
      <c r="M3" s="31" t="s">
        <v>16</v>
      </c>
      <c r="N3" s="39" t="s">
        <v>18</v>
      </c>
    </row>
    <row r="4" spans="1:19">
      <c r="A4" s="141"/>
      <c r="B4" s="185" t="s">
        <v>762</v>
      </c>
      <c r="C4" s="181">
        <v>0.3</v>
      </c>
      <c r="D4" s="181">
        <f t="shared" ref="D4:D34" si="0">C4*9</f>
        <v>2.6999999999999997</v>
      </c>
      <c r="E4" s="1">
        <f>D4*5</f>
        <v>13.499999999999998</v>
      </c>
      <c r="G4" s="33">
        <f>D4*12</f>
        <v>32.4</v>
      </c>
      <c r="H4" s="33"/>
      <c r="I4" s="33"/>
      <c r="J4" s="33"/>
      <c r="K4" s="33"/>
      <c r="L4" s="33"/>
      <c r="N4" s="33">
        <f>D4*40</f>
        <v>107.99999999999999</v>
      </c>
      <c r="S4" s="33"/>
    </row>
    <row r="5" spans="1:19">
      <c r="A5" s="141"/>
      <c r="B5" s="185" t="s">
        <v>763</v>
      </c>
      <c r="C5" s="181">
        <v>0.3</v>
      </c>
      <c r="D5" s="181">
        <f t="shared" si="0"/>
        <v>2.6999999999999997</v>
      </c>
      <c r="E5" s="1">
        <f t="shared" ref="E5:E34" si="1">D5*5</f>
        <v>13.499999999999998</v>
      </c>
      <c r="G5" s="33">
        <f>D5*12</f>
        <v>32.4</v>
      </c>
      <c r="H5" s="33"/>
      <c r="I5" s="33"/>
      <c r="J5" s="33"/>
      <c r="K5" s="33"/>
      <c r="L5" s="33"/>
      <c r="N5" s="33">
        <f t="shared" ref="N5:N34" si="2">D5*40</f>
        <v>107.99999999999999</v>
      </c>
      <c r="S5" s="33"/>
    </row>
    <row r="6" spans="1:19">
      <c r="A6" s="140"/>
      <c r="B6" s="185" t="s">
        <v>729</v>
      </c>
      <c r="C6" s="181">
        <v>1</v>
      </c>
      <c r="D6" s="181">
        <f t="shared" si="0"/>
        <v>9</v>
      </c>
      <c r="E6" s="1">
        <f t="shared" si="1"/>
        <v>45</v>
      </c>
      <c r="F6" s="33">
        <f>D6*15</f>
        <v>135</v>
      </c>
      <c r="G6" s="33"/>
      <c r="H6" s="33"/>
      <c r="I6" s="33"/>
      <c r="J6" s="33"/>
      <c r="K6" s="33"/>
      <c r="L6" s="33"/>
      <c r="N6" s="33">
        <f t="shared" si="2"/>
        <v>360</v>
      </c>
      <c r="S6" s="33"/>
    </row>
    <row r="7" spans="1:19">
      <c r="A7" s="141"/>
      <c r="B7" s="185" t="s">
        <v>706</v>
      </c>
      <c r="C7" s="181">
        <v>1</v>
      </c>
      <c r="D7" s="181">
        <f t="shared" si="0"/>
        <v>9</v>
      </c>
      <c r="E7" s="1">
        <f t="shared" si="1"/>
        <v>45</v>
      </c>
      <c r="F7" s="33">
        <f t="shared" ref="F7:F8" si="3">D7*15</f>
        <v>135</v>
      </c>
      <c r="G7" s="33"/>
      <c r="H7" s="33"/>
      <c r="I7" s="33"/>
      <c r="J7" s="33"/>
      <c r="K7" s="33"/>
      <c r="L7" s="33"/>
      <c r="N7" s="33">
        <f t="shared" si="2"/>
        <v>360</v>
      </c>
      <c r="S7" s="33"/>
    </row>
    <row r="8" spans="1:19">
      <c r="A8" s="141"/>
      <c r="B8" s="185" t="s">
        <v>701</v>
      </c>
      <c r="C8" s="181">
        <v>1</v>
      </c>
      <c r="D8" s="181">
        <f t="shared" si="0"/>
        <v>9</v>
      </c>
      <c r="E8" s="1">
        <f t="shared" si="1"/>
        <v>45</v>
      </c>
      <c r="F8" s="33">
        <f t="shared" si="3"/>
        <v>135</v>
      </c>
      <c r="G8" s="33"/>
      <c r="H8" s="33"/>
      <c r="I8" s="33"/>
      <c r="J8" s="33"/>
      <c r="K8" s="33"/>
      <c r="L8" s="33"/>
      <c r="N8" s="33">
        <f t="shared" si="2"/>
        <v>360</v>
      </c>
      <c r="S8" s="33"/>
    </row>
    <row r="9" spans="1:19">
      <c r="A9" s="140"/>
      <c r="B9" s="185" t="s">
        <v>702</v>
      </c>
      <c r="C9" s="181">
        <v>1</v>
      </c>
      <c r="D9" s="181">
        <f t="shared" si="0"/>
        <v>9</v>
      </c>
      <c r="E9" s="1">
        <f t="shared" si="1"/>
        <v>45</v>
      </c>
      <c r="F9" s="33"/>
      <c r="G9" s="33"/>
      <c r="H9" s="33"/>
      <c r="I9" s="33">
        <f>D9*15</f>
        <v>135</v>
      </c>
      <c r="J9" s="33"/>
      <c r="K9" s="33"/>
      <c r="L9" s="33"/>
      <c r="N9" s="33">
        <f t="shared" si="2"/>
        <v>360</v>
      </c>
      <c r="S9" s="33"/>
    </row>
    <row r="10" spans="1:19">
      <c r="A10" s="140"/>
      <c r="B10" s="185" t="s">
        <v>703</v>
      </c>
      <c r="C10" s="181">
        <v>1</v>
      </c>
      <c r="D10" s="181">
        <f t="shared" si="0"/>
        <v>9</v>
      </c>
      <c r="E10" s="1">
        <f t="shared" si="1"/>
        <v>45</v>
      </c>
      <c r="F10" s="33"/>
      <c r="G10" s="33"/>
      <c r="H10" s="33"/>
      <c r="I10" s="33">
        <f>D10*15</f>
        <v>135</v>
      </c>
      <c r="J10" s="33"/>
      <c r="K10" s="33"/>
      <c r="L10" s="33"/>
      <c r="N10" s="33">
        <f t="shared" si="2"/>
        <v>360</v>
      </c>
      <c r="S10" s="33"/>
    </row>
    <row r="11" spans="1:19">
      <c r="A11" s="140"/>
      <c r="B11" s="185" t="s">
        <v>704</v>
      </c>
      <c r="C11" s="181">
        <v>1</v>
      </c>
      <c r="D11" s="181">
        <f t="shared" si="0"/>
        <v>9</v>
      </c>
      <c r="E11" s="1">
        <f t="shared" si="1"/>
        <v>45</v>
      </c>
      <c r="F11" s="33">
        <f t="shared" ref="F11:F12" si="4">D11*15</f>
        <v>135</v>
      </c>
      <c r="G11" s="33"/>
      <c r="H11" s="33"/>
      <c r="I11" s="33"/>
      <c r="J11" s="33"/>
      <c r="K11" s="33"/>
      <c r="L11" s="33"/>
      <c r="N11" s="33">
        <f t="shared" si="2"/>
        <v>360</v>
      </c>
      <c r="S11" s="33"/>
    </row>
    <row r="12" spans="1:19">
      <c r="A12" s="141"/>
      <c r="B12" s="185" t="s">
        <v>731</v>
      </c>
      <c r="C12" s="181">
        <v>1</v>
      </c>
      <c r="D12" s="181">
        <f t="shared" si="0"/>
        <v>9</v>
      </c>
      <c r="E12" s="1">
        <f t="shared" si="1"/>
        <v>45</v>
      </c>
      <c r="F12" s="33">
        <f t="shared" si="4"/>
        <v>135</v>
      </c>
      <c r="G12" s="33"/>
      <c r="H12" s="33"/>
      <c r="I12" s="33"/>
      <c r="J12" s="33"/>
      <c r="K12" s="33"/>
      <c r="L12" s="33"/>
      <c r="N12" s="33">
        <f t="shared" si="2"/>
        <v>360</v>
      </c>
      <c r="S12" s="33"/>
    </row>
    <row r="13" spans="1:19">
      <c r="A13" s="141"/>
      <c r="B13" s="185" t="s">
        <v>764</v>
      </c>
      <c r="C13" s="181">
        <v>1</v>
      </c>
      <c r="D13" s="181">
        <f t="shared" si="0"/>
        <v>9</v>
      </c>
      <c r="E13" s="1">
        <f t="shared" si="1"/>
        <v>45</v>
      </c>
      <c r="F13" s="33"/>
      <c r="G13" s="33"/>
      <c r="H13" s="33">
        <f>D13*15</f>
        <v>135</v>
      </c>
      <c r="I13" s="33"/>
      <c r="J13" s="33"/>
      <c r="K13" s="33"/>
      <c r="L13" s="33"/>
      <c r="N13" s="33">
        <f t="shared" si="2"/>
        <v>360</v>
      </c>
      <c r="S13" s="33"/>
    </row>
    <row r="14" spans="1:19">
      <c r="A14" s="140"/>
      <c r="B14" s="185" t="s">
        <v>765</v>
      </c>
      <c r="C14" s="181">
        <v>2.2999999999999998</v>
      </c>
      <c r="D14" s="181">
        <f t="shared" si="0"/>
        <v>20.7</v>
      </c>
      <c r="E14" s="1">
        <f t="shared" si="1"/>
        <v>103.5</v>
      </c>
      <c r="F14" s="33"/>
      <c r="G14" s="33"/>
      <c r="H14" s="33">
        <f>D14*15</f>
        <v>310.5</v>
      </c>
      <c r="I14" s="33"/>
      <c r="J14" s="33"/>
      <c r="K14" s="33"/>
      <c r="L14" s="33"/>
      <c r="N14" s="33">
        <f t="shared" si="2"/>
        <v>828</v>
      </c>
      <c r="S14" s="33"/>
    </row>
    <row r="15" spans="1:19">
      <c r="A15" s="140"/>
      <c r="B15" s="185" t="s">
        <v>766</v>
      </c>
      <c r="C15" s="181">
        <v>0.3</v>
      </c>
      <c r="D15" s="181">
        <f t="shared" si="0"/>
        <v>2.6999999999999997</v>
      </c>
      <c r="E15" s="1">
        <f t="shared" si="1"/>
        <v>13.499999999999998</v>
      </c>
      <c r="F15" s="33"/>
      <c r="G15" s="33">
        <f>D15*12</f>
        <v>32.4</v>
      </c>
      <c r="H15" s="33"/>
      <c r="I15" s="33"/>
      <c r="J15" s="33"/>
      <c r="K15" s="33"/>
      <c r="L15" s="33"/>
      <c r="N15" s="33">
        <f t="shared" si="2"/>
        <v>107.99999999999999</v>
      </c>
      <c r="S15" s="33"/>
    </row>
    <row r="16" spans="1:19">
      <c r="A16" s="141"/>
      <c r="B16" s="185" t="s">
        <v>767</v>
      </c>
      <c r="C16" s="181">
        <v>0.3</v>
      </c>
      <c r="D16" s="181">
        <f t="shared" si="0"/>
        <v>2.6999999999999997</v>
      </c>
      <c r="E16" s="1">
        <f t="shared" si="1"/>
        <v>13.499999999999998</v>
      </c>
      <c r="F16" s="33"/>
      <c r="G16" s="33">
        <f t="shared" ref="G16:G19" si="5">D16*12</f>
        <v>32.4</v>
      </c>
      <c r="H16" s="33"/>
      <c r="I16" s="33"/>
      <c r="J16" s="33"/>
      <c r="K16" s="33"/>
      <c r="L16" s="33"/>
      <c r="N16" s="33">
        <f t="shared" si="2"/>
        <v>107.99999999999999</v>
      </c>
      <c r="S16" s="33"/>
    </row>
    <row r="17" spans="1:19">
      <c r="A17" s="141"/>
      <c r="B17" s="185" t="s">
        <v>768</v>
      </c>
      <c r="C17" s="181">
        <v>0.5</v>
      </c>
      <c r="D17" s="181">
        <f t="shared" si="0"/>
        <v>4.5</v>
      </c>
      <c r="E17" s="1">
        <f t="shared" si="1"/>
        <v>22.5</v>
      </c>
      <c r="F17" s="33"/>
      <c r="G17" s="33">
        <f t="shared" si="5"/>
        <v>54</v>
      </c>
      <c r="H17" s="33"/>
      <c r="I17" s="33"/>
      <c r="J17" s="33"/>
      <c r="K17" s="33"/>
      <c r="L17" s="33"/>
      <c r="N17" s="33">
        <f t="shared" si="2"/>
        <v>180</v>
      </c>
      <c r="S17" s="33"/>
    </row>
    <row r="18" spans="1:19">
      <c r="A18" s="141"/>
      <c r="B18" s="185" t="s">
        <v>769</v>
      </c>
      <c r="C18" s="181">
        <v>0.47</v>
      </c>
      <c r="D18" s="181">
        <f t="shared" si="0"/>
        <v>4.2299999999999995</v>
      </c>
      <c r="E18" s="1">
        <f t="shared" si="1"/>
        <v>21.15</v>
      </c>
      <c r="F18" s="33"/>
      <c r="G18" s="33">
        <f t="shared" si="5"/>
        <v>50.759999999999991</v>
      </c>
      <c r="H18" s="33"/>
      <c r="I18" s="33"/>
      <c r="J18" s="33"/>
      <c r="K18" s="33"/>
      <c r="L18" s="33"/>
      <c r="N18" s="33">
        <f t="shared" si="2"/>
        <v>169.2</v>
      </c>
      <c r="S18" s="33"/>
    </row>
    <row r="19" spans="1:19">
      <c r="A19" s="140"/>
      <c r="B19" s="185" t="s">
        <v>770</v>
      </c>
      <c r="C19" s="181">
        <v>0.47</v>
      </c>
      <c r="D19" s="181">
        <f t="shared" si="0"/>
        <v>4.2299999999999995</v>
      </c>
      <c r="E19" s="1">
        <f t="shared" si="1"/>
        <v>21.15</v>
      </c>
      <c r="F19" s="33"/>
      <c r="G19" s="33">
        <f t="shared" si="5"/>
        <v>50.759999999999991</v>
      </c>
      <c r="H19" s="33"/>
      <c r="I19" s="33"/>
      <c r="J19" s="33"/>
      <c r="K19" s="33"/>
      <c r="L19" s="33"/>
      <c r="N19" s="33">
        <f t="shared" si="2"/>
        <v>169.2</v>
      </c>
      <c r="S19" s="33"/>
    </row>
    <row r="20" spans="1:19">
      <c r="A20" s="140"/>
      <c r="B20" s="185" t="s">
        <v>771</v>
      </c>
      <c r="C20" s="181">
        <v>0.4</v>
      </c>
      <c r="D20" s="181">
        <f t="shared" si="0"/>
        <v>3.6</v>
      </c>
      <c r="E20" s="1">
        <f t="shared" si="1"/>
        <v>18</v>
      </c>
      <c r="F20" s="33"/>
      <c r="G20" s="33">
        <f>D20*12</f>
        <v>43.2</v>
      </c>
      <c r="H20" s="33"/>
      <c r="I20" s="33"/>
      <c r="J20" s="33"/>
      <c r="K20" s="33"/>
      <c r="L20" s="33"/>
      <c r="N20" s="33">
        <f t="shared" si="2"/>
        <v>144</v>
      </c>
      <c r="S20" s="33"/>
    </row>
    <row r="21" spans="1:19">
      <c r="A21" s="140"/>
      <c r="B21" s="185" t="s">
        <v>772</v>
      </c>
      <c r="C21" s="181">
        <v>0.3</v>
      </c>
      <c r="D21" s="181">
        <f t="shared" si="0"/>
        <v>2.6999999999999997</v>
      </c>
      <c r="E21" s="1">
        <f t="shared" si="1"/>
        <v>13.499999999999998</v>
      </c>
      <c r="F21" s="33"/>
      <c r="G21" s="33"/>
      <c r="H21" s="33">
        <f>D21*15</f>
        <v>40.499999999999993</v>
      </c>
      <c r="I21" s="33"/>
      <c r="J21" s="33"/>
      <c r="K21" s="33"/>
      <c r="L21" s="33"/>
      <c r="N21" s="33">
        <f t="shared" si="2"/>
        <v>107.99999999999999</v>
      </c>
      <c r="S21" s="33"/>
    </row>
    <row r="22" spans="1:19">
      <c r="A22" s="140"/>
      <c r="B22" s="185" t="s">
        <v>212</v>
      </c>
      <c r="C22" s="181">
        <v>0.3</v>
      </c>
      <c r="D22" s="181">
        <f t="shared" si="0"/>
        <v>2.6999999999999997</v>
      </c>
      <c r="E22" s="1">
        <f t="shared" si="1"/>
        <v>13.499999999999998</v>
      </c>
      <c r="F22" s="33"/>
      <c r="G22" s="33"/>
      <c r="H22" s="33"/>
      <c r="I22" s="33"/>
      <c r="J22" s="33"/>
      <c r="K22" s="33">
        <f>D22*15</f>
        <v>40.499999999999993</v>
      </c>
      <c r="L22" s="33"/>
      <c r="N22" s="33">
        <f t="shared" si="2"/>
        <v>107.99999999999999</v>
      </c>
      <c r="S22" s="33"/>
    </row>
    <row r="23" spans="1:19">
      <c r="A23" s="140"/>
      <c r="B23" s="185" t="s">
        <v>773</v>
      </c>
      <c r="C23" s="181">
        <v>0.3</v>
      </c>
      <c r="D23" s="181">
        <f t="shared" si="0"/>
        <v>2.6999999999999997</v>
      </c>
      <c r="E23" s="1">
        <f t="shared" si="1"/>
        <v>13.499999999999998</v>
      </c>
      <c r="F23" s="33"/>
      <c r="G23" s="33"/>
      <c r="H23" s="33"/>
      <c r="I23" s="33">
        <f>D23*15</f>
        <v>40.499999999999993</v>
      </c>
      <c r="J23" s="33"/>
      <c r="K23" s="33"/>
      <c r="L23" s="33"/>
      <c r="N23" s="33">
        <f t="shared" si="2"/>
        <v>107.99999999999999</v>
      </c>
      <c r="S23" s="33"/>
    </row>
    <row r="24" spans="1:19">
      <c r="A24" s="141"/>
      <c r="B24" s="185" t="s">
        <v>637</v>
      </c>
      <c r="C24" s="181">
        <v>0.3</v>
      </c>
      <c r="D24" s="181">
        <f t="shared" si="0"/>
        <v>2.6999999999999997</v>
      </c>
      <c r="E24" s="1">
        <f t="shared" si="1"/>
        <v>13.499999999999998</v>
      </c>
      <c r="F24" s="33"/>
      <c r="G24" s="33"/>
      <c r="H24" s="33"/>
      <c r="I24" s="33"/>
      <c r="J24" s="33"/>
      <c r="K24" s="33">
        <f>D24*15</f>
        <v>40.499999999999993</v>
      </c>
      <c r="L24" s="33"/>
      <c r="N24" s="33">
        <f t="shared" si="2"/>
        <v>107.99999999999999</v>
      </c>
      <c r="S24" s="33"/>
    </row>
    <row r="25" spans="1:19">
      <c r="A25" s="141"/>
      <c r="B25" s="185" t="s">
        <v>774</v>
      </c>
      <c r="C25" s="181">
        <v>0.3</v>
      </c>
      <c r="D25" s="181">
        <f t="shared" si="0"/>
        <v>2.6999999999999997</v>
      </c>
      <c r="E25" s="1">
        <f t="shared" si="1"/>
        <v>13.499999999999998</v>
      </c>
      <c r="F25" s="33"/>
      <c r="G25" s="33"/>
      <c r="H25" s="33">
        <f>D25*15</f>
        <v>40.499999999999993</v>
      </c>
      <c r="I25" s="33"/>
      <c r="J25" s="33"/>
      <c r="K25" s="33"/>
      <c r="L25" s="33"/>
      <c r="N25" s="33">
        <f t="shared" si="2"/>
        <v>107.99999999999999</v>
      </c>
      <c r="S25" s="33"/>
    </row>
    <row r="26" spans="1:19">
      <c r="A26" s="141"/>
      <c r="B26" s="185" t="s">
        <v>775</v>
      </c>
      <c r="C26" s="181">
        <v>0.5</v>
      </c>
      <c r="D26" s="181">
        <f t="shared" si="0"/>
        <v>4.5</v>
      </c>
      <c r="E26" s="1">
        <f t="shared" si="1"/>
        <v>22.5</v>
      </c>
      <c r="F26" s="33"/>
      <c r="G26" s="33"/>
      <c r="H26" s="33"/>
      <c r="I26" s="33">
        <f>D26*15</f>
        <v>67.5</v>
      </c>
      <c r="J26" s="33"/>
      <c r="K26" s="33"/>
      <c r="L26" s="33"/>
      <c r="N26" s="33">
        <f t="shared" si="2"/>
        <v>180</v>
      </c>
      <c r="S26" s="33"/>
    </row>
    <row r="27" spans="1:19">
      <c r="A27" s="140"/>
      <c r="B27" s="185" t="s">
        <v>776</v>
      </c>
      <c r="C27" s="181">
        <v>0.3</v>
      </c>
      <c r="D27" s="181">
        <f t="shared" si="0"/>
        <v>2.6999999999999997</v>
      </c>
      <c r="E27" s="1">
        <f t="shared" si="1"/>
        <v>13.499999999999998</v>
      </c>
      <c r="F27" s="33"/>
      <c r="G27" s="33"/>
      <c r="H27" s="33"/>
      <c r="I27" s="33"/>
      <c r="J27" s="33"/>
      <c r="K27" s="33"/>
      <c r="L27" s="33">
        <f>D27*15</f>
        <v>40.499999999999993</v>
      </c>
      <c r="N27" s="33">
        <f t="shared" si="2"/>
        <v>107.99999999999999</v>
      </c>
      <c r="S27" s="33"/>
    </row>
    <row r="28" spans="1:19">
      <c r="A28" s="187" t="s">
        <v>784</v>
      </c>
      <c r="B28" s="185" t="s">
        <v>777</v>
      </c>
      <c r="C28" s="181">
        <v>0.3</v>
      </c>
      <c r="D28" s="181">
        <f t="shared" si="0"/>
        <v>2.6999999999999997</v>
      </c>
      <c r="E28" s="1">
        <f t="shared" si="1"/>
        <v>13.499999999999998</v>
      </c>
      <c r="F28" s="33"/>
      <c r="G28" s="33"/>
      <c r="H28" s="33"/>
      <c r="I28" s="33"/>
      <c r="J28" s="33"/>
      <c r="K28" s="33"/>
      <c r="L28" s="33"/>
      <c r="N28" s="33">
        <f t="shared" si="2"/>
        <v>107.99999999999999</v>
      </c>
      <c r="S28" s="33"/>
    </row>
    <row r="29" spans="1:19">
      <c r="A29" s="140"/>
      <c r="B29" s="186" t="s">
        <v>778</v>
      </c>
      <c r="C29" s="181">
        <v>0.5</v>
      </c>
      <c r="D29" s="181">
        <f t="shared" si="0"/>
        <v>4.5</v>
      </c>
      <c r="E29" s="1">
        <f t="shared" si="1"/>
        <v>22.5</v>
      </c>
      <c r="F29" s="33"/>
      <c r="G29" s="33"/>
      <c r="H29" s="33"/>
      <c r="I29" s="33"/>
      <c r="J29" s="33"/>
      <c r="K29" s="33">
        <f>D29*15</f>
        <v>67.5</v>
      </c>
      <c r="L29" s="33"/>
      <c r="N29" s="33">
        <f t="shared" si="2"/>
        <v>180</v>
      </c>
      <c r="S29" s="33"/>
    </row>
    <row r="30" spans="1:19">
      <c r="A30" s="140"/>
      <c r="B30" s="185" t="s">
        <v>779</v>
      </c>
      <c r="C30" s="181">
        <v>0.5</v>
      </c>
      <c r="D30" s="181">
        <f t="shared" si="0"/>
        <v>4.5</v>
      </c>
      <c r="E30" s="1">
        <f t="shared" si="1"/>
        <v>22.5</v>
      </c>
      <c r="F30" s="33"/>
      <c r="G30" s="33"/>
      <c r="H30" s="33"/>
      <c r="I30" s="33"/>
      <c r="J30" s="33"/>
      <c r="K30" s="33">
        <f>D30*15</f>
        <v>67.5</v>
      </c>
      <c r="L30" s="33"/>
      <c r="N30" s="33">
        <f t="shared" si="2"/>
        <v>180</v>
      </c>
      <c r="S30" s="33"/>
    </row>
    <row r="31" spans="1:19">
      <c r="A31" s="140"/>
      <c r="B31" s="185" t="s">
        <v>780</v>
      </c>
      <c r="C31" s="181">
        <v>0.3</v>
      </c>
      <c r="D31" s="181">
        <f t="shared" si="0"/>
        <v>2.6999999999999997</v>
      </c>
      <c r="E31" s="1">
        <f t="shared" si="1"/>
        <v>13.499999999999998</v>
      </c>
      <c r="F31" s="33"/>
      <c r="G31" s="33"/>
      <c r="H31" s="33"/>
      <c r="I31" s="33"/>
      <c r="J31" s="33"/>
      <c r="K31" s="33"/>
      <c r="L31" s="33">
        <f>D31*15</f>
        <v>40.499999999999993</v>
      </c>
      <c r="N31" s="33">
        <f t="shared" si="2"/>
        <v>107.99999999999999</v>
      </c>
      <c r="S31" s="33"/>
    </row>
    <row r="32" spans="1:19">
      <c r="A32" s="140"/>
      <c r="B32" s="185" t="s">
        <v>781</v>
      </c>
      <c r="C32" s="181">
        <v>0.3</v>
      </c>
      <c r="D32" s="181">
        <f t="shared" si="0"/>
        <v>2.6999999999999997</v>
      </c>
      <c r="E32" s="1">
        <f t="shared" si="1"/>
        <v>13.499999999999998</v>
      </c>
      <c r="F32" s="33"/>
      <c r="G32" s="33"/>
      <c r="H32" s="33"/>
      <c r="I32" s="33"/>
      <c r="J32" s="33"/>
      <c r="K32" s="33"/>
      <c r="L32" s="33">
        <f>D32*15</f>
        <v>40.499999999999993</v>
      </c>
      <c r="N32" s="33">
        <f t="shared" si="2"/>
        <v>107.99999999999999</v>
      </c>
      <c r="S32" s="33"/>
    </row>
    <row r="33" spans="1:19">
      <c r="A33" s="140"/>
      <c r="B33" s="185" t="s">
        <v>782</v>
      </c>
      <c r="C33" s="181">
        <v>0.5</v>
      </c>
      <c r="D33" s="181">
        <f t="shared" si="0"/>
        <v>4.5</v>
      </c>
      <c r="E33" s="1">
        <f t="shared" si="1"/>
        <v>22.5</v>
      </c>
      <c r="F33" s="33"/>
      <c r="G33" s="33"/>
      <c r="H33" s="33"/>
      <c r="I33" s="33"/>
      <c r="J33" s="33"/>
      <c r="K33" s="33">
        <f>D33*15</f>
        <v>67.5</v>
      </c>
      <c r="L33" s="33"/>
      <c r="N33" s="33">
        <f t="shared" si="2"/>
        <v>180</v>
      </c>
      <c r="S33" s="33"/>
    </row>
    <row r="34" spans="1:19">
      <c r="A34" s="187" t="s">
        <v>784</v>
      </c>
      <c r="B34" s="185" t="s">
        <v>783</v>
      </c>
      <c r="C34" s="181">
        <v>0.5</v>
      </c>
      <c r="D34" s="181">
        <f t="shared" si="0"/>
        <v>4.5</v>
      </c>
      <c r="E34" s="1">
        <f t="shared" si="1"/>
        <v>22.5</v>
      </c>
      <c r="F34" s="33"/>
      <c r="G34" s="33"/>
      <c r="H34" s="33"/>
      <c r="I34" s="33"/>
      <c r="J34" s="33"/>
      <c r="K34" s="33"/>
      <c r="L34" s="33"/>
      <c r="N34" s="33">
        <f t="shared" si="2"/>
        <v>180</v>
      </c>
      <c r="S34" s="33"/>
    </row>
    <row r="35" spans="1:19" ht="25" customHeight="1">
      <c r="A35" s="125" t="s">
        <v>81</v>
      </c>
      <c r="B35" s="125" t="s">
        <v>196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</row>
    <row r="36" spans="1:19">
      <c r="A36" s="141"/>
      <c r="B36" s="185" t="s">
        <v>785</v>
      </c>
      <c r="C36" s="181">
        <v>0.5</v>
      </c>
      <c r="D36" s="181">
        <f t="shared" ref="D36:D57" si="6">C36*9</f>
        <v>4.5</v>
      </c>
      <c r="E36" s="1">
        <f>D36*5</f>
        <v>22.5</v>
      </c>
      <c r="F36" s="33"/>
      <c r="G36" s="33"/>
      <c r="H36" s="33"/>
      <c r="I36" s="33"/>
      <c r="J36" s="33">
        <f>D36*15</f>
        <v>67.5</v>
      </c>
      <c r="K36" s="33"/>
      <c r="L36" s="33"/>
      <c r="N36" s="33">
        <f t="shared" ref="N36:N57" si="7">D36*35</f>
        <v>157.5</v>
      </c>
    </row>
    <row r="37" spans="1:19">
      <c r="A37" s="141"/>
      <c r="B37" s="185" t="s">
        <v>786</v>
      </c>
      <c r="C37" s="181">
        <v>0.5</v>
      </c>
      <c r="D37" s="181">
        <f t="shared" si="6"/>
        <v>4.5</v>
      </c>
      <c r="E37" s="1">
        <f t="shared" ref="E37:E57" si="8">D37*5</f>
        <v>22.5</v>
      </c>
      <c r="F37" s="33">
        <f>D37*15</f>
        <v>67.5</v>
      </c>
      <c r="G37" s="33"/>
      <c r="H37" s="33"/>
      <c r="I37" s="33"/>
      <c r="J37" s="33"/>
      <c r="K37" s="33"/>
      <c r="L37" s="33"/>
      <c r="N37" s="33">
        <f t="shared" si="7"/>
        <v>157.5</v>
      </c>
    </row>
    <row r="38" spans="1:19">
      <c r="A38" s="141"/>
      <c r="B38" s="188" t="s">
        <v>787</v>
      </c>
      <c r="C38" s="181">
        <v>0.5</v>
      </c>
      <c r="D38" s="181">
        <f t="shared" si="6"/>
        <v>4.5</v>
      </c>
      <c r="E38" s="1">
        <f t="shared" si="8"/>
        <v>22.5</v>
      </c>
      <c r="F38" s="33"/>
      <c r="G38" s="33">
        <f>D38*12</f>
        <v>54</v>
      </c>
      <c r="H38" s="33"/>
      <c r="I38" s="33"/>
      <c r="J38" s="33"/>
      <c r="K38" s="33"/>
      <c r="L38" s="33"/>
      <c r="N38" s="33">
        <f t="shared" si="7"/>
        <v>157.5</v>
      </c>
    </row>
    <row r="39" spans="1:19">
      <c r="A39" s="141"/>
      <c r="B39" s="188" t="s">
        <v>788</v>
      </c>
      <c r="C39" s="181">
        <v>0.5</v>
      </c>
      <c r="D39" s="181">
        <f t="shared" si="6"/>
        <v>4.5</v>
      </c>
      <c r="E39" s="1">
        <f t="shared" si="8"/>
        <v>22.5</v>
      </c>
      <c r="F39" s="33"/>
      <c r="G39" s="33"/>
      <c r="H39" s="33">
        <f>D39*15</f>
        <v>67.5</v>
      </c>
      <c r="I39" s="33"/>
      <c r="J39" s="33"/>
      <c r="K39" s="33"/>
      <c r="L39" s="33"/>
      <c r="N39" s="33">
        <f t="shared" si="7"/>
        <v>157.5</v>
      </c>
    </row>
    <row r="40" spans="1:19">
      <c r="A40" s="140"/>
      <c r="B40" s="189" t="s">
        <v>789</v>
      </c>
      <c r="C40" s="181">
        <v>0.5</v>
      </c>
      <c r="D40" s="181">
        <f t="shared" si="6"/>
        <v>4.5</v>
      </c>
      <c r="E40" s="1">
        <f t="shared" si="8"/>
        <v>22.5</v>
      </c>
      <c r="F40" s="33"/>
      <c r="G40" s="33">
        <f>D40*12</f>
        <v>54</v>
      </c>
      <c r="H40" s="33"/>
      <c r="I40" s="33"/>
      <c r="J40" s="33"/>
      <c r="K40" s="33"/>
      <c r="L40" s="33"/>
      <c r="N40" s="33">
        <f t="shared" si="7"/>
        <v>157.5</v>
      </c>
    </row>
    <row r="41" spans="1:19">
      <c r="A41" s="140"/>
      <c r="B41" s="189" t="s">
        <v>790</v>
      </c>
      <c r="C41" s="181">
        <v>1</v>
      </c>
      <c r="D41" s="181">
        <f t="shared" si="6"/>
        <v>9</v>
      </c>
      <c r="E41" s="1">
        <f t="shared" si="8"/>
        <v>45</v>
      </c>
      <c r="F41" s="33">
        <f>D41*15</f>
        <v>135</v>
      </c>
      <c r="G41" s="33"/>
      <c r="H41" s="33"/>
      <c r="I41" s="33"/>
      <c r="J41" s="33"/>
      <c r="K41" s="33"/>
      <c r="L41" s="33"/>
      <c r="N41" s="33">
        <f t="shared" si="7"/>
        <v>315</v>
      </c>
    </row>
    <row r="42" spans="1:19">
      <c r="A42" s="141"/>
      <c r="B42" s="188" t="s">
        <v>791</v>
      </c>
      <c r="C42" s="181">
        <v>0.5</v>
      </c>
      <c r="D42" s="181">
        <f t="shared" si="6"/>
        <v>4.5</v>
      </c>
      <c r="E42" s="1">
        <f t="shared" si="8"/>
        <v>22.5</v>
      </c>
      <c r="F42" s="33">
        <f>D42*15</f>
        <v>67.5</v>
      </c>
      <c r="G42" s="33"/>
      <c r="H42" s="33"/>
      <c r="I42" s="33"/>
      <c r="J42" s="33"/>
      <c r="K42" s="33"/>
      <c r="L42" s="33"/>
      <c r="N42" s="33">
        <f t="shared" si="7"/>
        <v>157.5</v>
      </c>
    </row>
    <row r="43" spans="1:19">
      <c r="A43" s="141"/>
      <c r="B43" s="189" t="s">
        <v>792</v>
      </c>
      <c r="C43" s="181">
        <v>0.5</v>
      </c>
      <c r="D43" s="181">
        <f t="shared" si="6"/>
        <v>4.5</v>
      </c>
      <c r="E43" s="1">
        <f t="shared" si="8"/>
        <v>22.5</v>
      </c>
      <c r="F43" s="33">
        <f>D43*15</f>
        <v>67.5</v>
      </c>
      <c r="G43" s="33"/>
      <c r="H43" s="33"/>
      <c r="I43" s="33"/>
      <c r="J43" s="33"/>
      <c r="K43" s="33"/>
      <c r="L43" s="33"/>
      <c r="N43" s="33">
        <f t="shared" si="7"/>
        <v>157.5</v>
      </c>
    </row>
    <row r="44" spans="1:19">
      <c r="A44" s="141"/>
      <c r="B44" s="189" t="s">
        <v>793</v>
      </c>
      <c r="C44" s="181">
        <v>0.8</v>
      </c>
      <c r="D44" s="181">
        <f t="shared" si="6"/>
        <v>7.2</v>
      </c>
      <c r="E44" s="1">
        <f t="shared" si="8"/>
        <v>36</v>
      </c>
      <c r="F44" s="33"/>
      <c r="G44" s="33"/>
      <c r="H44" s="33"/>
      <c r="I44" s="33">
        <f>D44*15</f>
        <v>108</v>
      </c>
      <c r="J44" s="33"/>
      <c r="K44" s="33"/>
      <c r="L44" s="33"/>
      <c r="N44" s="33">
        <f t="shared" si="7"/>
        <v>252</v>
      </c>
    </row>
    <row r="45" spans="1:19">
      <c r="A45" s="140"/>
      <c r="B45" s="189" t="s">
        <v>794</v>
      </c>
      <c r="C45" s="181">
        <v>0.3</v>
      </c>
      <c r="D45" s="181">
        <f t="shared" si="6"/>
        <v>2.6999999999999997</v>
      </c>
      <c r="E45" s="1">
        <f t="shared" si="8"/>
        <v>13.499999999999998</v>
      </c>
      <c r="F45" s="33"/>
      <c r="G45" s="33">
        <f>D45*12</f>
        <v>32.4</v>
      </c>
      <c r="H45" s="33"/>
      <c r="I45" s="33"/>
      <c r="J45" s="33"/>
      <c r="K45" s="33"/>
      <c r="L45" s="33"/>
      <c r="N45" s="33">
        <f t="shared" si="7"/>
        <v>94.499999999999986</v>
      </c>
    </row>
    <row r="46" spans="1:19">
      <c r="A46" s="141"/>
      <c r="B46" s="189" t="s">
        <v>795</v>
      </c>
      <c r="C46" s="181">
        <v>0.8</v>
      </c>
      <c r="D46" s="181">
        <f t="shared" si="6"/>
        <v>7.2</v>
      </c>
      <c r="E46" s="1">
        <f t="shared" si="8"/>
        <v>36</v>
      </c>
      <c r="F46" s="33"/>
      <c r="G46" s="33"/>
      <c r="H46" s="33"/>
      <c r="I46" s="33">
        <f>D46*15</f>
        <v>108</v>
      </c>
      <c r="J46" s="33"/>
      <c r="K46" s="33"/>
      <c r="L46" s="33"/>
      <c r="N46" s="33">
        <f t="shared" si="7"/>
        <v>252</v>
      </c>
    </row>
    <row r="47" spans="1:19">
      <c r="A47" s="140"/>
      <c r="B47" s="189" t="s">
        <v>796</v>
      </c>
      <c r="C47" s="181">
        <v>1.5</v>
      </c>
      <c r="D47" s="181">
        <f t="shared" si="6"/>
        <v>13.5</v>
      </c>
      <c r="E47" s="1">
        <f t="shared" si="8"/>
        <v>67.5</v>
      </c>
      <c r="F47" s="33"/>
      <c r="G47" s="33"/>
      <c r="H47" s="33"/>
      <c r="I47" s="33">
        <f>D47*15</f>
        <v>202.5</v>
      </c>
      <c r="J47" s="33"/>
      <c r="K47" s="33"/>
      <c r="L47" s="33"/>
      <c r="N47" s="33">
        <f t="shared" si="7"/>
        <v>472.5</v>
      </c>
    </row>
    <row r="48" spans="1:19">
      <c r="A48" s="141"/>
      <c r="B48" s="189" t="s">
        <v>797</v>
      </c>
      <c r="C48" s="181">
        <v>1</v>
      </c>
      <c r="D48" s="181">
        <f t="shared" si="6"/>
        <v>9</v>
      </c>
      <c r="E48" s="1">
        <f t="shared" si="8"/>
        <v>45</v>
      </c>
      <c r="F48" s="33"/>
      <c r="G48" s="33"/>
      <c r="H48" s="33"/>
      <c r="I48" s="33">
        <f>D48*15</f>
        <v>135</v>
      </c>
      <c r="J48" s="33"/>
      <c r="K48" s="33"/>
      <c r="L48" s="33"/>
      <c r="N48" s="33">
        <f t="shared" si="7"/>
        <v>315</v>
      </c>
    </row>
    <row r="49" spans="1:22">
      <c r="A49" s="141"/>
      <c r="B49" s="189" t="s">
        <v>798</v>
      </c>
      <c r="C49" s="181">
        <v>0.5</v>
      </c>
      <c r="D49" s="181">
        <f t="shared" si="6"/>
        <v>4.5</v>
      </c>
      <c r="E49" s="1">
        <f t="shared" si="8"/>
        <v>22.5</v>
      </c>
      <c r="F49" s="33"/>
      <c r="G49" s="33">
        <f>D49*12</f>
        <v>54</v>
      </c>
      <c r="H49" s="33"/>
      <c r="I49" s="33"/>
      <c r="J49" s="33"/>
      <c r="K49" s="33"/>
      <c r="L49" s="33"/>
      <c r="N49" s="33">
        <f t="shared" si="7"/>
        <v>157.5</v>
      </c>
    </row>
    <row r="50" spans="1:22">
      <c r="A50" s="141"/>
      <c r="B50" s="189" t="s">
        <v>739</v>
      </c>
      <c r="C50" s="181">
        <v>0.5</v>
      </c>
      <c r="D50" s="181">
        <f t="shared" si="6"/>
        <v>4.5</v>
      </c>
      <c r="E50" s="1">
        <f t="shared" si="8"/>
        <v>22.5</v>
      </c>
      <c r="F50" s="33"/>
      <c r="G50" s="33">
        <f>D50*12</f>
        <v>54</v>
      </c>
      <c r="H50" s="33"/>
      <c r="I50" s="33"/>
      <c r="J50" s="33"/>
      <c r="K50" s="33"/>
      <c r="L50" s="33"/>
      <c r="N50" s="33">
        <f t="shared" si="7"/>
        <v>157.5</v>
      </c>
    </row>
    <row r="51" spans="1:22">
      <c r="A51" s="140"/>
      <c r="B51" s="189" t="s">
        <v>799</v>
      </c>
      <c r="C51" s="181">
        <v>0.8</v>
      </c>
      <c r="D51" s="181">
        <f t="shared" si="6"/>
        <v>7.2</v>
      </c>
      <c r="E51" s="1">
        <f t="shared" si="8"/>
        <v>36</v>
      </c>
      <c r="F51" s="33"/>
      <c r="G51" s="33"/>
      <c r="H51" s="33">
        <f>D51*15</f>
        <v>108</v>
      </c>
      <c r="I51" s="33"/>
      <c r="J51" s="33"/>
      <c r="K51" s="33"/>
      <c r="L51" s="33"/>
      <c r="N51" s="33">
        <f t="shared" si="7"/>
        <v>252</v>
      </c>
    </row>
    <row r="52" spans="1:22">
      <c r="A52" s="141"/>
      <c r="B52" s="189" t="s">
        <v>800</v>
      </c>
      <c r="C52" s="181">
        <v>0.5</v>
      </c>
      <c r="D52" s="181">
        <f t="shared" si="6"/>
        <v>4.5</v>
      </c>
      <c r="E52" s="1">
        <f t="shared" si="8"/>
        <v>22.5</v>
      </c>
      <c r="F52" s="33"/>
      <c r="G52" s="33">
        <f>D52*12</f>
        <v>54</v>
      </c>
      <c r="H52" s="33"/>
      <c r="I52" s="33"/>
      <c r="J52" s="33"/>
      <c r="K52" s="33"/>
      <c r="L52" s="33"/>
      <c r="N52" s="33">
        <f t="shared" si="7"/>
        <v>157.5</v>
      </c>
    </row>
    <row r="53" spans="1:22">
      <c r="A53" s="141"/>
      <c r="B53" s="189" t="s">
        <v>801</v>
      </c>
      <c r="C53" s="181">
        <v>0.5</v>
      </c>
      <c r="D53" s="181">
        <f t="shared" si="6"/>
        <v>4.5</v>
      </c>
      <c r="E53" s="1">
        <f t="shared" si="8"/>
        <v>22.5</v>
      </c>
      <c r="F53" s="33"/>
      <c r="G53" s="33">
        <f>D53*12</f>
        <v>54</v>
      </c>
      <c r="H53" s="33"/>
      <c r="I53" s="33"/>
      <c r="J53" s="33"/>
      <c r="K53" s="33"/>
      <c r="L53" s="33"/>
      <c r="N53" s="33">
        <f t="shared" si="7"/>
        <v>157.5</v>
      </c>
    </row>
    <row r="54" spans="1:22">
      <c r="A54" s="141"/>
      <c r="B54" s="189" t="s">
        <v>802</v>
      </c>
      <c r="C54" s="181">
        <v>0.5</v>
      </c>
      <c r="D54" s="181">
        <f t="shared" si="6"/>
        <v>4.5</v>
      </c>
      <c r="E54" s="1">
        <f t="shared" si="8"/>
        <v>22.5</v>
      </c>
      <c r="F54" s="33"/>
      <c r="G54" s="33">
        <f>D54*12</f>
        <v>54</v>
      </c>
      <c r="H54" s="33"/>
      <c r="I54" s="33"/>
      <c r="J54" s="33"/>
      <c r="K54" s="33"/>
      <c r="L54" s="33"/>
      <c r="N54" s="33">
        <f t="shared" si="7"/>
        <v>157.5</v>
      </c>
    </row>
    <row r="55" spans="1:22">
      <c r="A55" s="141"/>
      <c r="B55" s="189" t="s">
        <v>803</v>
      </c>
      <c r="C55" s="181">
        <v>0.3</v>
      </c>
      <c r="D55" s="181">
        <f t="shared" si="6"/>
        <v>2.6999999999999997</v>
      </c>
      <c r="E55" s="1">
        <f t="shared" si="8"/>
        <v>13.499999999999998</v>
      </c>
      <c r="F55" s="33">
        <f>D55*15</f>
        <v>40.499999999999993</v>
      </c>
      <c r="G55" s="33"/>
      <c r="H55" s="33"/>
      <c r="I55" s="33"/>
      <c r="J55" s="33"/>
      <c r="K55" s="33"/>
      <c r="L55" s="33"/>
      <c r="N55" s="33">
        <f t="shared" si="7"/>
        <v>94.499999999999986</v>
      </c>
    </row>
    <row r="56" spans="1:22">
      <c r="A56" s="140"/>
      <c r="B56" s="189" t="s">
        <v>804</v>
      </c>
      <c r="C56" s="181">
        <v>0.3</v>
      </c>
      <c r="D56" s="181">
        <f t="shared" si="6"/>
        <v>2.6999999999999997</v>
      </c>
      <c r="E56" s="1">
        <f t="shared" si="8"/>
        <v>13.499999999999998</v>
      </c>
      <c r="F56" s="33">
        <f>D56*15</f>
        <v>40.499999999999993</v>
      </c>
      <c r="G56" s="33"/>
      <c r="I56" s="33"/>
      <c r="J56" s="33"/>
      <c r="K56" s="33"/>
      <c r="L56" s="33"/>
      <c r="N56" s="33">
        <f t="shared" si="7"/>
        <v>94.499999999999986</v>
      </c>
    </row>
    <row r="57" spans="1:22">
      <c r="A57" s="140"/>
      <c r="B57" s="189" t="s">
        <v>805</v>
      </c>
      <c r="C57" s="181">
        <v>0.5</v>
      </c>
      <c r="D57" s="181">
        <f t="shared" si="6"/>
        <v>4.5</v>
      </c>
      <c r="E57" s="1">
        <f t="shared" si="8"/>
        <v>22.5</v>
      </c>
      <c r="F57" s="33"/>
      <c r="G57" s="33"/>
      <c r="H57" s="33"/>
      <c r="I57" s="33"/>
      <c r="J57" s="33"/>
      <c r="K57" s="33"/>
      <c r="L57" s="33">
        <f>D57*15</f>
        <v>67.5</v>
      </c>
      <c r="N57" s="33">
        <f t="shared" si="7"/>
        <v>157.5</v>
      </c>
    </row>
    <row r="58" spans="1:22">
      <c r="A58" s="118" t="s">
        <v>199</v>
      </c>
      <c r="B58" s="57"/>
      <c r="C58" s="11">
        <f t="shared" ref="C58:I58" si="9">SUM(C4:C57)</f>
        <v>31.840000000000011</v>
      </c>
      <c r="D58" s="11">
        <f t="shared" si="9"/>
        <v>286.55999999999989</v>
      </c>
      <c r="E58" s="59">
        <f t="shared" si="9"/>
        <v>1432.8</v>
      </c>
      <c r="F58" s="59">
        <f t="shared" si="9"/>
        <v>1093.5</v>
      </c>
      <c r="G58" s="59">
        <f t="shared" si="9"/>
        <v>738.72</v>
      </c>
      <c r="H58" s="59">
        <f t="shared" si="9"/>
        <v>702</v>
      </c>
      <c r="I58" s="59">
        <f t="shared" si="9"/>
        <v>931.5</v>
      </c>
      <c r="J58" s="59">
        <f t="shared" ref="J58:K58" si="10">SUM(J4:J57)</f>
        <v>67.5</v>
      </c>
      <c r="K58" s="59">
        <f t="shared" si="10"/>
        <v>283.5</v>
      </c>
      <c r="L58" s="59">
        <f>SUM(L4:L57)</f>
        <v>188.99999999999997</v>
      </c>
      <c r="M58" s="59">
        <f>SUM(E58:I58)</f>
        <v>4898.5200000000004</v>
      </c>
      <c r="N58" s="60">
        <f>SUM(N4:N57)</f>
        <v>10863.9</v>
      </c>
      <c r="O58" s="39"/>
      <c r="P58" s="29" t="s">
        <v>2</v>
      </c>
      <c r="Q58" s="16" t="s">
        <v>1</v>
      </c>
    </row>
    <row r="59" spans="1:22">
      <c r="E59" s="142">
        <f t="shared" ref="E59:N59" si="11">E58*40</f>
        <v>57312</v>
      </c>
      <c r="F59" s="142">
        <f>F58*40</f>
        <v>43740</v>
      </c>
      <c r="G59" s="142">
        <f>G58*40</f>
        <v>29548.800000000003</v>
      </c>
      <c r="H59" s="142">
        <f>H58*41.3</f>
        <v>28992.6</v>
      </c>
      <c r="I59" s="142">
        <f>I58*41.3</f>
        <v>38470.949999999997</v>
      </c>
      <c r="J59" s="142">
        <f t="shared" ref="J59" si="12">J58*41.3</f>
        <v>2787.75</v>
      </c>
      <c r="K59" s="142">
        <f>K58*42</f>
        <v>11907</v>
      </c>
      <c r="L59" s="142">
        <f>L58*42</f>
        <v>7937.9999999999991</v>
      </c>
      <c r="M59" s="7">
        <f t="shared" si="11"/>
        <v>195940.80000000002</v>
      </c>
      <c r="N59" s="7">
        <f t="shared" si="11"/>
        <v>434556</v>
      </c>
      <c r="O59" s="5" t="s">
        <v>4</v>
      </c>
      <c r="P59" s="7">
        <f t="shared" ref="P59:P61" si="13">Q59*40</f>
        <v>434556</v>
      </c>
      <c r="Q59" s="8">
        <f>N58</f>
        <v>10863.9</v>
      </c>
      <c r="V59" s="4"/>
    </row>
    <row r="60" spans="1:22">
      <c r="G60" s="33"/>
      <c r="H60" s="123"/>
      <c r="I60" s="123"/>
      <c r="J60" s="123"/>
      <c r="K60" s="123"/>
      <c r="L60" s="123"/>
      <c r="O60" s="5" t="s">
        <v>3</v>
      </c>
      <c r="P60" s="7">
        <f t="shared" si="13"/>
        <v>412828.2</v>
      </c>
      <c r="Q60" s="8">
        <f>Q59-Q59*0.05</f>
        <v>10320.705</v>
      </c>
    </row>
    <row r="61" spans="1:22">
      <c r="B61" s="1"/>
      <c r="E61" s="21"/>
      <c r="G61" s="33"/>
      <c r="O61" s="5" t="s">
        <v>5</v>
      </c>
      <c r="P61" s="7">
        <f t="shared" si="13"/>
        <v>195940.80000000002</v>
      </c>
      <c r="Q61" s="8">
        <f>M58</f>
        <v>4898.5200000000004</v>
      </c>
    </row>
    <row r="62" spans="1:22">
      <c r="B62" s="1"/>
      <c r="O62" s="37" t="s">
        <v>18</v>
      </c>
      <c r="P62" s="7">
        <f>Q62*40</f>
        <v>216887.39999999997</v>
      </c>
      <c r="Q62" s="8">
        <f>Q60-Q61</f>
        <v>5422.1849999999995</v>
      </c>
    </row>
    <row r="63" spans="1:22">
      <c r="B63" s="1"/>
    </row>
    <row r="64" spans="1:22">
      <c r="B64" s="169"/>
      <c r="C64" s="166"/>
      <c r="D64" s="176"/>
      <c r="I64" s="169"/>
      <c r="J64" s="169"/>
      <c r="K64" s="169"/>
      <c r="L64" s="169"/>
      <c r="M64" s="166"/>
      <c r="N64" s="176"/>
    </row>
    <row r="65" spans="2:14">
      <c r="B65" s="169"/>
      <c r="C65" s="166"/>
      <c r="D65" s="176"/>
      <c r="I65" s="144"/>
      <c r="J65" s="144"/>
      <c r="K65" s="144"/>
      <c r="L65" s="144"/>
      <c r="M65" s="166"/>
      <c r="N65" s="176"/>
    </row>
    <row r="66" spans="2:14">
      <c r="B66" s="169"/>
      <c r="C66" s="171" t="s">
        <v>842</v>
      </c>
      <c r="D66" s="176"/>
      <c r="G66" s="192" t="s">
        <v>843</v>
      </c>
      <c r="I66" s="167"/>
      <c r="J66" s="167"/>
      <c r="K66" s="167"/>
      <c r="L66" s="167"/>
      <c r="M66" s="166"/>
      <c r="N66" s="176"/>
    </row>
    <row r="67" spans="2:14">
      <c r="B67" s="169"/>
      <c r="C67" s="192" t="s">
        <v>839</v>
      </c>
      <c r="D67" s="192" t="s">
        <v>838</v>
      </c>
      <c r="E67" s="192" t="s">
        <v>837</v>
      </c>
      <c r="F67" s="192"/>
      <c r="G67" s="192" t="s">
        <v>840</v>
      </c>
      <c r="I67" s="169"/>
      <c r="J67" s="169"/>
      <c r="K67" s="169"/>
      <c r="L67" s="169"/>
      <c r="M67" s="166"/>
      <c r="N67" s="176"/>
    </row>
    <row r="68" spans="2:14">
      <c r="B68" s="176" t="s">
        <v>835</v>
      </c>
      <c r="C68" s="191">
        <v>49329</v>
      </c>
      <c r="D68" s="191">
        <v>29862</v>
      </c>
      <c r="E68" s="191">
        <v>57312</v>
      </c>
      <c r="G68" s="190">
        <f>D68+E68-C68</f>
        <v>37845</v>
      </c>
      <c r="I68" s="169"/>
      <c r="J68" s="169"/>
      <c r="K68" s="169"/>
      <c r="L68" s="169"/>
      <c r="M68" s="166"/>
      <c r="N68" s="176"/>
    </row>
    <row r="69" spans="2:14">
      <c r="B69" s="169"/>
      <c r="C69" s="191"/>
      <c r="D69" s="191"/>
      <c r="E69" s="191"/>
      <c r="I69" s="169"/>
      <c r="J69" s="169"/>
      <c r="K69" s="169"/>
      <c r="L69" s="169"/>
      <c r="M69" s="166"/>
      <c r="N69" s="176"/>
    </row>
    <row r="70" spans="2:14">
      <c r="B70" s="169"/>
      <c r="C70" s="192" t="s">
        <v>839</v>
      </c>
      <c r="D70" s="192" t="s">
        <v>838</v>
      </c>
      <c r="E70" s="192" t="s">
        <v>837</v>
      </c>
      <c r="F70" s="192"/>
      <c r="G70" s="192" t="s">
        <v>840</v>
      </c>
      <c r="I70" s="169"/>
      <c r="J70" s="169"/>
      <c r="K70" s="169"/>
      <c r="L70" s="169"/>
      <c r="M70" s="166"/>
      <c r="N70" s="176"/>
    </row>
    <row r="71" spans="2:14">
      <c r="B71" s="176" t="s">
        <v>836</v>
      </c>
      <c r="C71" s="191">
        <v>18150</v>
      </c>
      <c r="D71" s="191">
        <v>15876</v>
      </c>
      <c r="E71" s="191">
        <v>43740</v>
      </c>
      <c r="G71" s="190">
        <f>D71+E71-C71</f>
        <v>41466</v>
      </c>
      <c r="I71" s="169"/>
      <c r="J71" s="169"/>
      <c r="K71" s="169"/>
      <c r="L71" s="169"/>
      <c r="M71" s="171"/>
      <c r="N71" s="176"/>
    </row>
    <row r="72" spans="2:14">
      <c r="C72" s="191"/>
      <c r="D72" s="191"/>
      <c r="E72" s="191"/>
      <c r="I72" s="169"/>
      <c r="J72" s="169"/>
      <c r="K72" s="169"/>
      <c r="L72" s="169"/>
      <c r="M72" s="171"/>
      <c r="N72" s="176"/>
    </row>
    <row r="73" spans="2:14">
      <c r="B73" s="169"/>
      <c r="C73" s="192" t="s">
        <v>839</v>
      </c>
      <c r="D73" s="192" t="s">
        <v>838</v>
      </c>
      <c r="E73" s="192" t="s">
        <v>837</v>
      </c>
      <c r="F73" s="192"/>
      <c r="G73" s="192" t="s">
        <v>840</v>
      </c>
      <c r="I73" s="169"/>
      <c r="J73" s="169"/>
      <c r="K73" s="169"/>
      <c r="L73" s="169"/>
      <c r="M73" s="171"/>
      <c r="N73" s="176"/>
    </row>
    <row r="74" spans="2:14">
      <c r="B74" s="176" t="s">
        <v>206</v>
      </c>
      <c r="C74" s="191">
        <v>22680</v>
      </c>
      <c r="D74" s="191">
        <v>22680</v>
      </c>
      <c r="E74" s="191">
        <v>29549</v>
      </c>
      <c r="G74" s="190">
        <f>E74+D74-C74</f>
        <v>29549</v>
      </c>
      <c r="H74" s="21"/>
      <c r="I74" s="169"/>
      <c r="J74" s="169"/>
      <c r="K74" s="169"/>
      <c r="L74" s="169"/>
      <c r="M74" s="166"/>
      <c r="N74" s="176"/>
    </row>
    <row r="75" spans="2:14">
      <c r="C75" s="191"/>
      <c r="D75" s="191"/>
      <c r="E75" s="191"/>
    </row>
    <row r="76" spans="2:14">
      <c r="B76" s="169"/>
      <c r="C76" s="192" t="s">
        <v>839</v>
      </c>
      <c r="D76" s="192" t="s">
        <v>838</v>
      </c>
      <c r="E76" s="192" t="s">
        <v>837</v>
      </c>
      <c r="F76" s="192"/>
      <c r="G76" s="192" t="s">
        <v>840</v>
      </c>
    </row>
    <row r="77" spans="2:14">
      <c r="B77" s="176" t="s">
        <v>841</v>
      </c>
      <c r="C77" s="191">
        <v>53240</v>
      </c>
      <c r="D77" s="191">
        <v>17284</v>
      </c>
      <c r="E77" s="191">
        <v>28993</v>
      </c>
      <c r="G77" s="21">
        <v>0</v>
      </c>
    </row>
    <row r="78" spans="2:14">
      <c r="C78" s="191"/>
      <c r="D78" s="191"/>
      <c r="E78" s="191"/>
    </row>
    <row r="79" spans="2:14">
      <c r="B79" s="169"/>
      <c r="C79" s="192" t="s">
        <v>839</v>
      </c>
      <c r="D79" s="192" t="s">
        <v>838</v>
      </c>
      <c r="E79" s="192" t="s">
        <v>837</v>
      </c>
      <c r="F79" s="192"/>
      <c r="G79" s="192" t="s">
        <v>840</v>
      </c>
    </row>
    <row r="80" spans="2:14">
      <c r="B80" s="176" t="s">
        <v>108</v>
      </c>
      <c r="C80" s="191">
        <v>48500</v>
      </c>
      <c r="D80" s="191">
        <v>27320</v>
      </c>
      <c r="E80" s="191">
        <v>38471</v>
      </c>
      <c r="G80" s="190">
        <f>E80+D80-C80</f>
        <v>17291</v>
      </c>
    </row>
    <row r="81" spans="3:5">
      <c r="C81" s="191"/>
      <c r="D81" s="191"/>
      <c r="E81" s="191"/>
    </row>
    <row r="82" spans="3:5">
      <c r="C82" s="191"/>
      <c r="D82" s="191"/>
      <c r="E82" s="191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F3320-1993-8C4F-B807-B289A01B3061}">
  <dimension ref="A1:S57"/>
  <sheetViews>
    <sheetView zoomScaleNormal="100" workbookViewId="0">
      <pane ySplit="2" topLeftCell="A3" activePane="bottomLeft" state="frozen"/>
      <selection pane="bottomLeft" activeCell="D63" sqref="D63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31" t="s">
        <v>16</v>
      </c>
      <c r="K3" s="39" t="s">
        <v>18</v>
      </c>
    </row>
    <row r="4" spans="1:16">
      <c r="A4" s="141"/>
      <c r="B4" s="185" t="s">
        <v>811</v>
      </c>
      <c r="C4" s="181">
        <v>0.5</v>
      </c>
      <c r="D4" s="181">
        <f t="shared" ref="D4:D15" si="0">C4*9</f>
        <v>4.5</v>
      </c>
      <c r="E4" s="1">
        <f>D4*5</f>
        <v>22.5</v>
      </c>
      <c r="G4" s="33">
        <f>D4*12</f>
        <v>54</v>
      </c>
      <c r="H4" s="33"/>
      <c r="I4" s="33"/>
      <c r="K4" s="33">
        <f>D4*40</f>
        <v>180</v>
      </c>
      <c r="P4" s="33"/>
    </row>
    <row r="5" spans="1:16">
      <c r="A5" s="141"/>
      <c r="B5" s="185" t="s">
        <v>812</v>
      </c>
      <c r="C5" s="181">
        <v>0.5</v>
      </c>
      <c r="D5" s="181">
        <f t="shared" si="0"/>
        <v>4.5</v>
      </c>
      <c r="E5" s="1">
        <f t="shared" ref="E5:E15" si="1">D5*5</f>
        <v>22.5</v>
      </c>
      <c r="G5" s="33"/>
      <c r="H5" s="33"/>
      <c r="I5" s="33">
        <f>D5*15</f>
        <v>67.5</v>
      </c>
      <c r="K5" s="33">
        <f t="shared" ref="K5:K15" si="2">D5*40</f>
        <v>180</v>
      </c>
      <c r="P5" s="33"/>
    </row>
    <row r="6" spans="1:16">
      <c r="A6" s="141"/>
      <c r="B6" s="185" t="s">
        <v>813</v>
      </c>
      <c r="C6" s="181">
        <v>0.5</v>
      </c>
      <c r="D6" s="181">
        <f t="shared" si="0"/>
        <v>4.5</v>
      </c>
      <c r="E6" s="1">
        <f t="shared" si="1"/>
        <v>22.5</v>
      </c>
      <c r="F6" s="33"/>
      <c r="G6" s="33"/>
      <c r="H6" s="33"/>
      <c r="I6" s="33">
        <f>D6*15</f>
        <v>67.5</v>
      </c>
      <c r="K6" s="33">
        <f t="shared" si="2"/>
        <v>180</v>
      </c>
      <c r="P6" s="33"/>
    </row>
    <row r="7" spans="1:16">
      <c r="A7" s="141"/>
      <c r="B7" s="185" t="s">
        <v>814</v>
      </c>
      <c r="C7" s="181">
        <v>0.5</v>
      </c>
      <c r="D7" s="181">
        <f t="shared" si="0"/>
        <v>4.5</v>
      </c>
      <c r="E7" s="1">
        <f t="shared" si="1"/>
        <v>22.5</v>
      </c>
      <c r="F7" s="33"/>
      <c r="G7" s="33"/>
      <c r="H7" s="33"/>
      <c r="I7" s="33">
        <f>D7*15</f>
        <v>67.5</v>
      </c>
      <c r="K7" s="33">
        <f t="shared" si="2"/>
        <v>180</v>
      </c>
      <c r="P7" s="33"/>
    </row>
    <row r="8" spans="1:16">
      <c r="A8" s="141"/>
      <c r="B8" s="185" t="s">
        <v>815</v>
      </c>
      <c r="C8" s="181">
        <v>0.5</v>
      </c>
      <c r="D8" s="181">
        <f t="shared" si="0"/>
        <v>4.5</v>
      </c>
      <c r="E8" s="1">
        <f t="shared" si="1"/>
        <v>22.5</v>
      </c>
      <c r="F8" s="33">
        <f>D8*15</f>
        <v>67.5</v>
      </c>
      <c r="G8" s="33"/>
      <c r="H8" s="33"/>
      <c r="I8" s="33"/>
      <c r="K8" s="33">
        <f t="shared" si="2"/>
        <v>180</v>
      </c>
      <c r="P8" s="33"/>
    </row>
    <row r="9" spans="1:16">
      <c r="A9" s="141"/>
      <c r="B9" s="185" t="s">
        <v>816</v>
      </c>
      <c r="C9" s="181">
        <v>0.5</v>
      </c>
      <c r="D9" s="181">
        <f t="shared" si="0"/>
        <v>4.5</v>
      </c>
      <c r="E9" s="1">
        <f t="shared" si="1"/>
        <v>22.5</v>
      </c>
      <c r="F9" s="33"/>
      <c r="G9" s="33">
        <f>D9*12</f>
        <v>54</v>
      </c>
      <c r="H9" s="33"/>
      <c r="I9" s="33"/>
      <c r="K9" s="33">
        <f t="shared" si="2"/>
        <v>180</v>
      </c>
      <c r="P9" s="33"/>
    </row>
    <row r="10" spans="1:16">
      <c r="A10" s="141"/>
      <c r="B10" s="185" t="s">
        <v>817</v>
      </c>
      <c r="C10" s="181">
        <v>1</v>
      </c>
      <c r="D10" s="181">
        <f t="shared" si="0"/>
        <v>9</v>
      </c>
      <c r="E10" s="1">
        <f t="shared" si="1"/>
        <v>45</v>
      </c>
      <c r="F10" s="33"/>
      <c r="G10" s="33"/>
      <c r="H10" s="33"/>
      <c r="I10" s="33">
        <f>D10*15</f>
        <v>135</v>
      </c>
      <c r="K10" s="33">
        <f t="shared" si="2"/>
        <v>360</v>
      </c>
      <c r="P10" s="33"/>
    </row>
    <row r="11" spans="1:16">
      <c r="A11" s="141"/>
      <c r="B11" s="185" t="s">
        <v>818</v>
      </c>
      <c r="C11" s="181">
        <v>1</v>
      </c>
      <c r="D11" s="181">
        <f t="shared" si="0"/>
        <v>9</v>
      </c>
      <c r="E11" s="1">
        <f t="shared" si="1"/>
        <v>45</v>
      </c>
      <c r="F11" s="33"/>
      <c r="G11" s="33">
        <f>D11*12</f>
        <v>108</v>
      </c>
      <c r="H11" s="33"/>
      <c r="I11" s="33"/>
      <c r="K11" s="33">
        <f t="shared" si="2"/>
        <v>360</v>
      </c>
      <c r="P11" s="33"/>
    </row>
    <row r="12" spans="1:16">
      <c r="A12" s="141"/>
      <c r="B12" s="185" t="s">
        <v>819</v>
      </c>
      <c r="C12" s="181">
        <v>1</v>
      </c>
      <c r="D12" s="181">
        <f t="shared" si="0"/>
        <v>9</v>
      </c>
      <c r="E12" s="1">
        <f t="shared" si="1"/>
        <v>45</v>
      </c>
      <c r="F12" s="33"/>
      <c r="G12" s="33"/>
      <c r="H12" s="33"/>
      <c r="I12" s="33">
        <f>D12*15</f>
        <v>135</v>
      </c>
      <c r="K12" s="33">
        <f t="shared" si="2"/>
        <v>360</v>
      </c>
      <c r="P12" s="33"/>
    </row>
    <row r="13" spans="1:16">
      <c r="A13" s="141"/>
      <c r="B13" s="185" t="s">
        <v>820</v>
      </c>
      <c r="C13" s="181">
        <v>0.5</v>
      </c>
      <c r="D13" s="181">
        <f t="shared" si="0"/>
        <v>4.5</v>
      </c>
      <c r="E13" s="1">
        <f t="shared" si="1"/>
        <v>22.5</v>
      </c>
      <c r="F13" s="33"/>
      <c r="G13" s="33"/>
      <c r="H13" s="33">
        <f>D13*15</f>
        <v>67.5</v>
      </c>
      <c r="I13" s="33"/>
      <c r="K13" s="33">
        <f t="shared" si="2"/>
        <v>180</v>
      </c>
      <c r="P13" s="33"/>
    </row>
    <row r="14" spans="1:16">
      <c r="A14" s="141"/>
      <c r="B14" s="185" t="s">
        <v>821</v>
      </c>
      <c r="C14" s="181">
        <v>1</v>
      </c>
      <c r="D14" s="181">
        <f t="shared" si="0"/>
        <v>9</v>
      </c>
      <c r="E14" s="1">
        <f t="shared" si="1"/>
        <v>45</v>
      </c>
      <c r="F14" s="33"/>
      <c r="G14" s="33"/>
      <c r="H14" s="33">
        <f>D14*15</f>
        <v>135</v>
      </c>
      <c r="I14" s="33"/>
      <c r="K14" s="33">
        <f t="shared" si="2"/>
        <v>360</v>
      </c>
      <c r="P14" s="33"/>
    </row>
    <row r="15" spans="1:16">
      <c r="A15" s="141"/>
      <c r="B15" s="185" t="s">
        <v>187</v>
      </c>
      <c r="C15" s="181">
        <v>0.3</v>
      </c>
      <c r="D15" s="181">
        <f t="shared" si="0"/>
        <v>2.6999999999999997</v>
      </c>
      <c r="E15" s="1">
        <f t="shared" si="1"/>
        <v>13.499999999999998</v>
      </c>
      <c r="F15" s="33"/>
      <c r="G15" s="33"/>
      <c r="H15" s="33"/>
      <c r="I15" s="33">
        <f>D15*15</f>
        <v>40.499999999999993</v>
      </c>
      <c r="K15" s="33">
        <f t="shared" si="2"/>
        <v>107.99999999999999</v>
      </c>
      <c r="P15" s="33"/>
    </row>
    <row r="16" spans="1:16" ht="25" customHeight="1">
      <c r="A16" s="125" t="s">
        <v>81</v>
      </c>
      <c r="B16" s="125" t="s">
        <v>196</v>
      </c>
      <c r="C16" s="23"/>
      <c r="D16" s="23"/>
      <c r="E16" s="23"/>
      <c r="F16" s="23"/>
      <c r="G16" s="23"/>
      <c r="H16" s="23"/>
      <c r="I16" s="23"/>
      <c r="J16" s="23"/>
      <c r="K16" s="23"/>
    </row>
    <row r="17" spans="1:14">
      <c r="A17" s="141"/>
      <c r="B17" s="185" t="s">
        <v>822</v>
      </c>
      <c r="C17" s="181">
        <v>0.3</v>
      </c>
      <c r="D17" s="181">
        <f t="shared" ref="D17:D31" si="3">C17*9</f>
        <v>2.6999999999999997</v>
      </c>
      <c r="E17" s="1">
        <f>D17*5</f>
        <v>13.499999999999998</v>
      </c>
      <c r="F17" s="33"/>
      <c r="G17" s="33"/>
      <c r="H17" s="33">
        <f>D17*15</f>
        <v>40.499999999999993</v>
      </c>
      <c r="I17" s="33"/>
      <c r="K17" s="33">
        <f>D17*35</f>
        <v>94.499999999999986</v>
      </c>
    </row>
    <row r="18" spans="1:14">
      <c r="A18" s="141"/>
      <c r="B18" s="185" t="s">
        <v>823</v>
      </c>
      <c r="C18" s="181">
        <v>0.2</v>
      </c>
      <c r="D18" s="181">
        <f t="shared" si="3"/>
        <v>1.8</v>
      </c>
      <c r="E18" s="1">
        <f t="shared" ref="E18:E31" si="4">D18*5</f>
        <v>9</v>
      </c>
      <c r="F18" s="33">
        <f>D18*15</f>
        <v>27</v>
      </c>
      <c r="G18" s="33"/>
      <c r="H18" s="33"/>
      <c r="I18" s="33"/>
      <c r="K18" s="33">
        <f t="shared" ref="K18:K31" si="5">D18*35</f>
        <v>63</v>
      </c>
    </row>
    <row r="19" spans="1:14">
      <c r="A19" s="141"/>
      <c r="B19" s="188" t="s">
        <v>824</v>
      </c>
      <c r="C19" s="181">
        <v>0.5</v>
      </c>
      <c r="D19" s="181">
        <f t="shared" si="3"/>
        <v>4.5</v>
      </c>
      <c r="E19" s="1">
        <f t="shared" si="4"/>
        <v>22.5</v>
      </c>
      <c r="F19" s="33">
        <f>D19*15</f>
        <v>67.5</v>
      </c>
      <c r="G19" s="33"/>
      <c r="H19" s="33"/>
      <c r="I19" s="33"/>
      <c r="K19" s="33">
        <f t="shared" si="5"/>
        <v>157.5</v>
      </c>
    </row>
    <row r="20" spans="1:14">
      <c r="A20" s="141"/>
      <c r="B20" s="188" t="s">
        <v>825</v>
      </c>
      <c r="C20" s="181">
        <v>0.3</v>
      </c>
      <c r="D20" s="181">
        <f t="shared" si="3"/>
        <v>2.6999999999999997</v>
      </c>
      <c r="E20" s="1">
        <f t="shared" si="4"/>
        <v>13.499999999999998</v>
      </c>
      <c r="F20" s="33">
        <f>D20*15</f>
        <v>40.499999999999993</v>
      </c>
      <c r="G20" s="33"/>
      <c r="H20" s="33"/>
      <c r="I20" s="33"/>
      <c r="K20" s="33">
        <f t="shared" si="5"/>
        <v>94.499999999999986</v>
      </c>
    </row>
    <row r="21" spans="1:14">
      <c r="A21" s="141"/>
      <c r="B21" s="188" t="s">
        <v>826</v>
      </c>
      <c r="C21" s="181">
        <v>0.5</v>
      </c>
      <c r="D21" s="181">
        <f t="shared" si="3"/>
        <v>4.5</v>
      </c>
      <c r="E21" s="1">
        <f t="shared" si="4"/>
        <v>22.5</v>
      </c>
      <c r="F21" s="33"/>
      <c r="G21" s="33">
        <f>D21*12</f>
        <v>54</v>
      </c>
      <c r="H21" s="33"/>
      <c r="I21" s="33"/>
      <c r="K21" s="33">
        <f t="shared" si="5"/>
        <v>157.5</v>
      </c>
    </row>
    <row r="22" spans="1:14">
      <c r="A22" s="141"/>
      <c r="B22" s="188" t="s">
        <v>827</v>
      </c>
      <c r="C22" s="181">
        <v>0.5</v>
      </c>
      <c r="D22" s="181">
        <f t="shared" si="3"/>
        <v>4.5</v>
      </c>
      <c r="E22" s="1">
        <f t="shared" si="4"/>
        <v>22.5</v>
      </c>
      <c r="F22" s="33"/>
      <c r="G22" s="33">
        <f>D22*12</f>
        <v>54</v>
      </c>
      <c r="H22" s="33"/>
      <c r="I22" s="33"/>
      <c r="K22" s="33">
        <f t="shared" si="5"/>
        <v>157.5</v>
      </c>
    </row>
    <row r="23" spans="1:14">
      <c r="A23" s="141"/>
      <c r="B23" s="188" t="s">
        <v>828</v>
      </c>
      <c r="C23" s="181">
        <v>0.3</v>
      </c>
      <c r="D23" s="181">
        <f t="shared" si="3"/>
        <v>2.6999999999999997</v>
      </c>
      <c r="E23" s="1">
        <f t="shared" si="4"/>
        <v>13.499999999999998</v>
      </c>
      <c r="F23" s="33"/>
      <c r="G23" s="33"/>
      <c r="H23" s="33"/>
      <c r="I23" s="33">
        <f>D23*15</f>
        <v>40.499999999999993</v>
      </c>
      <c r="K23" s="33">
        <f t="shared" si="5"/>
        <v>94.499999999999986</v>
      </c>
    </row>
    <row r="24" spans="1:14">
      <c r="A24" s="141"/>
      <c r="B24" s="189" t="s">
        <v>829</v>
      </c>
      <c r="C24" s="181">
        <v>0.5</v>
      </c>
      <c r="D24" s="181">
        <f t="shared" si="3"/>
        <v>4.5</v>
      </c>
      <c r="E24" s="1">
        <f t="shared" si="4"/>
        <v>22.5</v>
      </c>
      <c r="F24" s="33">
        <f>D24*15</f>
        <v>67.5</v>
      </c>
      <c r="G24" s="33"/>
      <c r="H24" s="33"/>
      <c r="I24" s="33"/>
      <c r="K24" s="33">
        <f t="shared" si="5"/>
        <v>157.5</v>
      </c>
    </row>
    <row r="25" spans="1:14">
      <c r="A25" s="141"/>
      <c r="B25" s="189" t="s">
        <v>830</v>
      </c>
      <c r="C25" s="181">
        <v>0.5</v>
      </c>
      <c r="D25" s="181">
        <f t="shared" si="3"/>
        <v>4.5</v>
      </c>
      <c r="E25" s="1">
        <f t="shared" si="4"/>
        <v>22.5</v>
      </c>
      <c r="F25" s="33"/>
      <c r="G25" s="33">
        <f>D25*12</f>
        <v>54</v>
      </c>
      <c r="H25" s="33"/>
      <c r="I25" s="33"/>
      <c r="K25" s="33">
        <f t="shared" si="5"/>
        <v>157.5</v>
      </c>
    </row>
    <row r="26" spans="1:14">
      <c r="A26" s="141"/>
      <c r="B26" s="189" t="s">
        <v>831</v>
      </c>
      <c r="C26" s="181">
        <v>0.5</v>
      </c>
      <c r="D26" s="181">
        <f t="shared" si="3"/>
        <v>4.5</v>
      </c>
      <c r="E26" s="1">
        <f t="shared" si="4"/>
        <v>22.5</v>
      </c>
      <c r="F26" s="33"/>
      <c r="G26" s="33">
        <f>D26*12</f>
        <v>54</v>
      </c>
      <c r="H26" s="33"/>
      <c r="I26" s="33"/>
      <c r="K26" s="33">
        <f t="shared" si="5"/>
        <v>157.5</v>
      </c>
    </row>
    <row r="27" spans="1:14">
      <c r="A27" s="141"/>
      <c r="B27" s="189" t="s">
        <v>832</v>
      </c>
      <c r="C27" s="181">
        <v>1</v>
      </c>
      <c r="D27" s="181">
        <f t="shared" si="3"/>
        <v>9</v>
      </c>
      <c r="E27" s="1">
        <f t="shared" si="4"/>
        <v>45</v>
      </c>
      <c r="F27" s="33"/>
      <c r="G27" s="33">
        <f>D27*12</f>
        <v>108</v>
      </c>
      <c r="H27" s="33"/>
      <c r="I27" s="33"/>
      <c r="K27" s="33">
        <f t="shared" si="5"/>
        <v>315</v>
      </c>
    </row>
    <row r="28" spans="1:14">
      <c r="A28" s="141"/>
      <c r="B28" s="189" t="s">
        <v>789</v>
      </c>
      <c r="C28" s="181">
        <v>0.8</v>
      </c>
      <c r="D28" s="181">
        <f t="shared" si="3"/>
        <v>7.2</v>
      </c>
      <c r="E28" s="1">
        <f t="shared" si="4"/>
        <v>36</v>
      </c>
      <c r="F28" s="33">
        <f>D28*15</f>
        <v>108</v>
      </c>
      <c r="G28" s="33"/>
      <c r="H28" s="33"/>
      <c r="I28" s="33"/>
      <c r="K28" s="33">
        <f t="shared" si="5"/>
        <v>252</v>
      </c>
    </row>
    <row r="29" spans="1:14">
      <c r="A29" s="141"/>
      <c r="B29" s="189" t="s">
        <v>790</v>
      </c>
      <c r="C29" s="181">
        <v>0.8</v>
      </c>
      <c r="D29" s="181">
        <f t="shared" si="3"/>
        <v>7.2</v>
      </c>
      <c r="E29" s="1">
        <f t="shared" si="4"/>
        <v>36</v>
      </c>
      <c r="F29" s="33"/>
      <c r="G29" s="33"/>
      <c r="H29" s="33">
        <f>D29*15</f>
        <v>108</v>
      </c>
      <c r="I29" s="33"/>
      <c r="K29" s="33">
        <f t="shared" si="5"/>
        <v>252</v>
      </c>
    </row>
    <row r="30" spans="1:14">
      <c r="A30" s="141"/>
      <c r="B30" s="189" t="s">
        <v>833</v>
      </c>
      <c r="C30" s="181">
        <v>0.8</v>
      </c>
      <c r="D30" s="181">
        <f t="shared" si="3"/>
        <v>7.2</v>
      </c>
      <c r="E30" s="1">
        <f t="shared" si="4"/>
        <v>36</v>
      </c>
      <c r="F30" s="33"/>
      <c r="G30" s="33"/>
      <c r="H30" s="33"/>
      <c r="I30" s="33">
        <f>D30*15</f>
        <v>108</v>
      </c>
      <c r="K30" s="33">
        <f t="shared" si="5"/>
        <v>252</v>
      </c>
    </row>
    <row r="31" spans="1:14">
      <c r="A31" s="141"/>
      <c r="B31" s="189" t="s">
        <v>834</v>
      </c>
      <c r="C31" s="181">
        <v>0.5</v>
      </c>
      <c r="D31" s="181">
        <f t="shared" si="3"/>
        <v>4.5</v>
      </c>
      <c r="E31" s="1">
        <f t="shared" si="4"/>
        <v>22.5</v>
      </c>
      <c r="F31" s="33"/>
      <c r="G31" s="33"/>
      <c r="H31" s="33">
        <f>D31*15</f>
        <v>67.5</v>
      </c>
      <c r="I31" s="33"/>
      <c r="K31" s="33">
        <f t="shared" si="5"/>
        <v>157.5</v>
      </c>
    </row>
    <row r="32" spans="1:14">
      <c r="A32" s="118" t="s">
        <v>199</v>
      </c>
      <c r="B32" s="57"/>
      <c r="C32" s="11">
        <f t="shared" ref="C32:I32" si="6">SUM(C4:C31)</f>
        <v>15.800000000000002</v>
      </c>
      <c r="D32" s="11">
        <f t="shared" si="6"/>
        <v>142.19999999999999</v>
      </c>
      <c r="E32" s="59">
        <f t="shared" si="6"/>
        <v>711</v>
      </c>
      <c r="F32" s="59">
        <f t="shared" si="6"/>
        <v>378</v>
      </c>
      <c r="G32" s="59">
        <f t="shared" si="6"/>
        <v>540</v>
      </c>
      <c r="H32" s="59">
        <f t="shared" si="6"/>
        <v>418.5</v>
      </c>
      <c r="I32" s="59">
        <f t="shared" si="6"/>
        <v>661.5</v>
      </c>
      <c r="J32" s="59">
        <f>SUM(E32:I32)</f>
        <v>2709</v>
      </c>
      <c r="K32" s="60">
        <f>SUM(K4:K31)</f>
        <v>5328</v>
      </c>
      <c r="L32" s="39"/>
      <c r="M32" s="29" t="s">
        <v>2</v>
      </c>
      <c r="N32" s="16" t="s">
        <v>1</v>
      </c>
    </row>
    <row r="33" spans="2:19">
      <c r="E33" s="142">
        <f>E32*42</f>
        <v>29862</v>
      </c>
      <c r="F33" s="142">
        <f>F32*42</f>
        <v>15876</v>
      </c>
      <c r="G33" s="142">
        <f>G32*42</f>
        <v>22680</v>
      </c>
      <c r="H33" s="142">
        <f>H32*41.3</f>
        <v>17284.05</v>
      </c>
      <c r="I33" s="142">
        <f>I32*41.3</f>
        <v>27319.949999999997</v>
      </c>
      <c r="J33" s="7">
        <f t="shared" ref="J33:K33" si="7">J32*40</f>
        <v>108360</v>
      </c>
      <c r="K33" s="7">
        <f t="shared" si="7"/>
        <v>213120</v>
      </c>
      <c r="L33" s="5" t="s">
        <v>4</v>
      </c>
      <c r="M33" s="7">
        <f t="shared" ref="M33:M35" si="8">N33*40</f>
        <v>213120</v>
      </c>
      <c r="N33" s="8">
        <f>K32</f>
        <v>5328</v>
      </c>
      <c r="S33" s="4"/>
    </row>
    <row r="34" spans="2:19">
      <c r="G34" s="33"/>
      <c r="H34" s="123"/>
      <c r="I34" s="123"/>
      <c r="L34" s="5" t="s">
        <v>3</v>
      </c>
      <c r="M34" s="7">
        <f t="shared" si="8"/>
        <v>202464</v>
      </c>
      <c r="N34" s="8">
        <f>N33-N33*0.05</f>
        <v>5061.6000000000004</v>
      </c>
    </row>
    <row r="35" spans="2:19">
      <c r="B35" s="1"/>
      <c r="E35" s="21"/>
      <c r="F35" s="1">
        <v>45</v>
      </c>
      <c r="G35" s="33">
        <v>36.9</v>
      </c>
      <c r="H35" s="1">
        <v>13.5</v>
      </c>
      <c r="I35" s="1">
        <v>55.8</v>
      </c>
      <c r="L35" s="5" t="s">
        <v>5</v>
      </c>
      <c r="M35" s="7">
        <f t="shared" si="8"/>
        <v>108360</v>
      </c>
      <c r="N35" s="8">
        <f>J32</f>
        <v>2709</v>
      </c>
    </row>
    <row r="36" spans="2:19">
      <c r="B36" s="1"/>
      <c r="F36" s="1">
        <f>F35*15</f>
        <v>675</v>
      </c>
      <c r="G36" s="1">
        <f t="shared" ref="G36:I36" si="9">G35*15</f>
        <v>553.5</v>
      </c>
      <c r="H36" s="1">
        <f t="shared" si="9"/>
        <v>202.5</v>
      </c>
      <c r="I36" s="1">
        <f t="shared" si="9"/>
        <v>837</v>
      </c>
      <c r="L36" s="37" t="s">
        <v>18</v>
      </c>
      <c r="M36" s="7">
        <f>N36*40</f>
        <v>94104.000000000015</v>
      </c>
      <c r="N36" s="8">
        <f>N34-N35</f>
        <v>2352.6000000000004</v>
      </c>
    </row>
    <row r="37" spans="2:19">
      <c r="B37" s="1"/>
    </row>
    <row r="38" spans="2:19">
      <c r="B38" s="1"/>
    </row>
    <row r="39" spans="2:19">
      <c r="B39" s="1"/>
    </row>
    <row r="40" spans="2:19">
      <c r="B40" s="144"/>
      <c r="C40" s="166"/>
      <c r="D40" s="176"/>
    </row>
    <row r="41" spans="2:19">
      <c r="B41" s="169"/>
      <c r="C41" s="166"/>
      <c r="D41" s="176"/>
    </row>
    <row r="42" spans="2:19">
      <c r="B42" s="169"/>
      <c r="C42" s="166"/>
      <c r="D42" s="176"/>
    </row>
    <row r="43" spans="2:19">
      <c r="B43" s="144"/>
      <c r="C43" s="166"/>
      <c r="D43" s="176"/>
    </row>
    <row r="44" spans="2:19">
      <c r="B44" s="167"/>
      <c r="C44" s="166"/>
      <c r="D44" s="176"/>
    </row>
    <row r="45" spans="2:19">
      <c r="B45" s="169"/>
      <c r="C45" s="166"/>
      <c r="D45" s="176"/>
      <c r="E45" s="192"/>
      <c r="I45" s="144"/>
      <c r="J45" s="166"/>
      <c r="K45" s="176"/>
    </row>
    <row r="46" spans="2:19">
      <c r="B46" s="176"/>
      <c r="C46" s="191"/>
      <c r="D46" s="191"/>
      <c r="E46" s="21"/>
      <c r="I46" s="169"/>
      <c r="J46" s="166"/>
      <c r="K46" s="176"/>
    </row>
    <row r="47" spans="2:19">
      <c r="B47" s="176"/>
      <c r="C47" s="191"/>
      <c r="D47" s="191"/>
      <c r="E47" s="21"/>
      <c r="I47" s="169"/>
      <c r="J47" s="166"/>
      <c r="K47" s="176"/>
    </row>
    <row r="48" spans="2:19">
      <c r="B48" s="176"/>
      <c r="C48" s="191"/>
      <c r="D48" s="191"/>
      <c r="E48" s="21"/>
      <c r="I48" s="144"/>
      <c r="J48" s="166"/>
      <c r="K48" s="176"/>
    </row>
    <row r="49" spans="2:11">
      <c r="B49" s="176"/>
      <c r="C49" s="191"/>
      <c r="D49" s="191"/>
      <c r="E49" s="21"/>
      <c r="I49" s="167"/>
      <c r="J49" s="166"/>
      <c r="K49" s="176"/>
    </row>
    <row r="50" spans="2:11">
      <c r="B50" s="176"/>
      <c r="C50" s="191"/>
      <c r="D50" s="191"/>
      <c r="E50" s="21"/>
      <c r="I50" s="169"/>
      <c r="J50" s="166"/>
      <c r="K50" s="176"/>
    </row>
    <row r="51" spans="2:11">
      <c r="B51" s="176"/>
      <c r="C51" s="176"/>
      <c r="D51" s="176"/>
      <c r="I51" s="169"/>
      <c r="J51" s="166"/>
      <c r="K51" s="176"/>
    </row>
    <row r="52" spans="2:11">
      <c r="B52" s="176"/>
      <c r="C52" s="176"/>
      <c r="D52" s="191"/>
      <c r="I52" s="169"/>
      <c r="J52" s="166"/>
      <c r="K52" s="176"/>
    </row>
    <row r="53" spans="2:11">
      <c r="B53" s="176"/>
      <c r="C53" s="176"/>
      <c r="D53" s="176"/>
      <c r="I53" s="169"/>
      <c r="J53" s="166"/>
      <c r="K53" s="176"/>
    </row>
    <row r="54" spans="2:11">
      <c r="B54" s="176"/>
      <c r="C54" s="176"/>
      <c r="D54" s="176"/>
      <c r="I54" s="169"/>
      <c r="J54" s="171"/>
      <c r="K54" s="176"/>
    </row>
    <row r="55" spans="2:11">
      <c r="B55" s="176"/>
      <c r="C55" s="176"/>
      <c r="D55" s="176"/>
      <c r="I55" s="169"/>
      <c r="J55" s="171"/>
      <c r="K55" s="176"/>
    </row>
    <row r="56" spans="2:11">
      <c r="B56" s="176"/>
      <c r="C56" s="176"/>
      <c r="D56" s="176"/>
      <c r="I56" s="169"/>
      <c r="J56" s="171"/>
      <c r="K56" s="176"/>
    </row>
    <row r="57" spans="2:11">
      <c r="B57" s="176"/>
      <c r="C57" s="176"/>
      <c r="D57" s="176"/>
      <c r="I57" s="169"/>
      <c r="J57" s="166"/>
      <c r="K57" s="176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A2B3-6DC0-2A4E-B78A-B1857F3930B5}">
  <dimension ref="A1:S71"/>
  <sheetViews>
    <sheetView zoomScaleNormal="100" workbookViewId="0">
      <pane ySplit="2" topLeftCell="A3" activePane="bottomLeft" state="frozen"/>
      <selection pane="bottomLeft" activeCell="F60" sqref="F60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31" t="s">
        <v>16</v>
      </c>
      <c r="K3" s="39" t="s">
        <v>18</v>
      </c>
    </row>
    <row r="4" spans="1:16">
      <c r="A4" s="141"/>
      <c r="B4" s="144" t="s">
        <v>707</v>
      </c>
      <c r="C4" s="181">
        <v>0.2</v>
      </c>
      <c r="D4" s="181">
        <f t="shared" ref="D4:D9" si="0">C4*9</f>
        <v>1.8</v>
      </c>
      <c r="E4" s="1">
        <f>D4*5</f>
        <v>9</v>
      </c>
      <c r="G4" s="33">
        <f>D4*12</f>
        <v>21.6</v>
      </c>
      <c r="H4" s="33"/>
      <c r="I4" s="33"/>
      <c r="K4" s="33">
        <f>D4*40</f>
        <v>72</v>
      </c>
      <c r="P4" s="33"/>
    </row>
    <row r="5" spans="1:16">
      <c r="A5" s="141"/>
      <c r="B5" s="144" t="s">
        <v>724</v>
      </c>
      <c r="C5" s="181">
        <v>0.5</v>
      </c>
      <c r="D5" s="181">
        <f t="shared" si="0"/>
        <v>4.5</v>
      </c>
      <c r="E5" s="1">
        <f t="shared" ref="E5:E19" si="1">D5*5</f>
        <v>22.5</v>
      </c>
      <c r="G5" s="33"/>
      <c r="H5" s="33"/>
      <c r="I5" s="33">
        <f>D5*15</f>
        <v>67.5</v>
      </c>
      <c r="K5" s="33">
        <f t="shared" ref="K5:K19" si="2">D5*40</f>
        <v>180</v>
      </c>
      <c r="P5" s="33"/>
    </row>
    <row r="6" spans="1:16">
      <c r="A6" s="140"/>
      <c r="B6" s="144" t="s">
        <v>725</v>
      </c>
      <c r="C6" s="181">
        <v>0.5</v>
      </c>
      <c r="D6" s="181">
        <f t="shared" si="0"/>
        <v>4.5</v>
      </c>
      <c r="E6" s="1">
        <f t="shared" si="1"/>
        <v>22.5</v>
      </c>
      <c r="F6" s="33"/>
      <c r="G6" s="33"/>
      <c r="H6" s="33"/>
      <c r="I6" s="33">
        <f>D6*15</f>
        <v>67.5</v>
      </c>
      <c r="K6" s="33">
        <f t="shared" si="2"/>
        <v>180</v>
      </c>
      <c r="P6" s="33"/>
    </row>
    <row r="7" spans="1:16">
      <c r="A7" s="141"/>
      <c r="B7" s="144" t="s">
        <v>726</v>
      </c>
      <c r="C7" s="181">
        <v>0.5</v>
      </c>
      <c r="D7" s="181">
        <f t="shared" si="0"/>
        <v>4.5</v>
      </c>
      <c r="E7" s="1">
        <f t="shared" si="1"/>
        <v>22.5</v>
      </c>
      <c r="F7" s="33"/>
      <c r="G7" s="33"/>
      <c r="H7" s="33"/>
      <c r="I7" s="33">
        <f>D7*15</f>
        <v>67.5</v>
      </c>
      <c r="K7" s="33">
        <f t="shared" si="2"/>
        <v>180</v>
      </c>
      <c r="P7" s="33"/>
    </row>
    <row r="8" spans="1:16">
      <c r="A8" s="141"/>
      <c r="B8" s="144" t="s">
        <v>727</v>
      </c>
      <c r="C8" s="181">
        <v>0.2</v>
      </c>
      <c r="D8" s="181">
        <f t="shared" si="0"/>
        <v>1.8</v>
      </c>
      <c r="E8" s="1">
        <f t="shared" si="1"/>
        <v>9</v>
      </c>
      <c r="F8" s="33">
        <f>D8*15</f>
        <v>27</v>
      </c>
      <c r="G8" s="33"/>
      <c r="H8" s="33"/>
      <c r="I8" s="33"/>
      <c r="K8" s="33">
        <f t="shared" si="2"/>
        <v>72</v>
      </c>
      <c r="P8" s="33"/>
    </row>
    <row r="9" spans="1:16">
      <c r="A9" s="141"/>
      <c r="B9" s="144" t="s">
        <v>728</v>
      </c>
      <c r="C9" s="181">
        <v>0.3</v>
      </c>
      <c r="D9" s="181">
        <f t="shared" si="0"/>
        <v>2.6999999999999997</v>
      </c>
      <c r="E9" s="1">
        <f t="shared" si="1"/>
        <v>13.499999999999998</v>
      </c>
      <c r="F9" s="33"/>
      <c r="G9" s="33">
        <f>D9*12</f>
        <v>32.4</v>
      </c>
      <c r="H9" s="33"/>
      <c r="I9" s="33"/>
      <c r="K9" s="33">
        <f t="shared" si="2"/>
        <v>107.99999999999999</v>
      </c>
      <c r="P9" s="33"/>
    </row>
    <row r="10" spans="1:16">
      <c r="A10" s="140"/>
      <c r="B10" s="144" t="s">
        <v>729</v>
      </c>
      <c r="C10" s="181">
        <v>1</v>
      </c>
      <c r="D10" s="181">
        <f>C10*9</f>
        <v>9</v>
      </c>
      <c r="E10" s="1">
        <f t="shared" si="1"/>
        <v>45</v>
      </c>
      <c r="F10" s="33"/>
      <c r="G10" s="33"/>
      <c r="H10" s="33"/>
      <c r="I10" s="33">
        <f>D10*15</f>
        <v>135</v>
      </c>
      <c r="K10" s="33">
        <f t="shared" si="2"/>
        <v>360</v>
      </c>
      <c r="P10" s="33"/>
    </row>
    <row r="11" spans="1:16">
      <c r="A11" s="141"/>
      <c r="B11" s="144" t="s">
        <v>730</v>
      </c>
      <c r="C11" s="181">
        <v>0.3</v>
      </c>
      <c r="D11" s="181">
        <f t="shared" ref="D11:D19" si="3">C11*9</f>
        <v>2.6999999999999997</v>
      </c>
      <c r="E11" s="1">
        <f t="shared" si="1"/>
        <v>13.499999999999998</v>
      </c>
      <c r="F11" s="33"/>
      <c r="G11" s="33">
        <f>D11*12</f>
        <v>32.4</v>
      </c>
      <c r="H11" s="33"/>
      <c r="I11" s="33"/>
      <c r="K11" s="33">
        <f t="shared" si="2"/>
        <v>107.99999999999999</v>
      </c>
      <c r="P11" s="33"/>
    </row>
    <row r="12" spans="1:16">
      <c r="A12" s="140"/>
      <c r="B12" s="144" t="s">
        <v>711</v>
      </c>
      <c r="C12" s="181">
        <v>1.5</v>
      </c>
      <c r="D12" s="181">
        <f t="shared" si="3"/>
        <v>13.5</v>
      </c>
      <c r="E12" s="1">
        <f t="shared" si="1"/>
        <v>67.5</v>
      </c>
      <c r="F12" s="33"/>
      <c r="G12" s="33"/>
      <c r="H12" s="33"/>
      <c r="I12" s="33">
        <f>D12*15</f>
        <v>202.5</v>
      </c>
      <c r="K12" s="33">
        <f t="shared" si="2"/>
        <v>540</v>
      </c>
      <c r="P12" s="33"/>
    </row>
    <row r="13" spans="1:16">
      <c r="A13" s="140"/>
      <c r="B13" s="144" t="s">
        <v>659</v>
      </c>
      <c r="C13" s="181">
        <v>1.5</v>
      </c>
      <c r="D13" s="181">
        <f t="shared" si="3"/>
        <v>13.5</v>
      </c>
      <c r="E13" s="1">
        <f t="shared" si="1"/>
        <v>67.5</v>
      </c>
      <c r="F13" s="33"/>
      <c r="G13" s="33"/>
      <c r="H13" s="33">
        <f>D13*15</f>
        <v>202.5</v>
      </c>
      <c r="I13" s="33"/>
      <c r="K13" s="33">
        <f t="shared" si="2"/>
        <v>540</v>
      </c>
      <c r="P13" s="33"/>
    </row>
    <row r="14" spans="1:16">
      <c r="A14" s="141"/>
      <c r="B14" s="144" t="s">
        <v>690</v>
      </c>
      <c r="C14" s="181">
        <v>2.2999999999999998</v>
      </c>
      <c r="D14" s="181">
        <f t="shared" si="3"/>
        <v>20.7</v>
      </c>
      <c r="E14" s="1">
        <f t="shared" si="1"/>
        <v>103.5</v>
      </c>
      <c r="F14" s="33"/>
      <c r="G14" s="33"/>
      <c r="H14" s="33">
        <f>D14*15</f>
        <v>310.5</v>
      </c>
      <c r="I14" s="33"/>
      <c r="K14" s="33">
        <f t="shared" si="2"/>
        <v>828</v>
      </c>
      <c r="P14" s="33"/>
    </row>
    <row r="15" spans="1:16">
      <c r="A15" s="141"/>
      <c r="B15" s="144" t="s">
        <v>658</v>
      </c>
      <c r="C15" s="181">
        <v>1.5</v>
      </c>
      <c r="D15" s="181">
        <f t="shared" si="3"/>
        <v>13.5</v>
      </c>
      <c r="E15" s="1">
        <f t="shared" si="1"/>
        <v>67.5</v>
      </c>
      <c r="F15" s="33"/>
      <c r="G15" s="33"/>
      <c r="H15" s="33"/>
      <c r="I15" s="33">
        <f>D15*15</f>
        <v>202.5</v>
      </c>
      <c r="K15" s="33">
        <f t="shared" si="2"/>
        <v>540</v>
      </c>
      <c r="P15" s="33"/>
    </row>
    <row r="16" spans="1:16">
      <c r="A16" s="141"/>
      <c r="B16" s="144" t="s">
        <v>636</v>
      </c>
      <c r="C16" s="181">
        <v>1</v>
      </c>
      <c r="D16" s="181">
        <f t="shared" si="3"/>
        <v>9</v>
      </c>
      <c r="E16" s="1">
        <f t="shared" si="1"/>
        <v>45</v>
      </c>
      <c r="F16" s="33"/>
      <c r="G16" s="33"/>
      <c r="H16" s="33">
        <f>D16*15</f>
        <v>135</v>
      </c>
      <c r="I16" s="33"/>
      <c r="K16" s="33">
        <f t="shared" si="2"/>
        <v>360</v>
      </c>
      <c r="P16" s="33"/>
    </row>
    <row r="17" spans="1:16">
      <c r="A17" s="141"/>
      <c r="B17" s="144" t="s">
        <v>731</v>
      </c>
      <c r="C17" s="181">
        <v>0.5</v>
      </c>
      <c r="D17" s="181">
        <f t="shared" si="3"/>
        <v>4.5</v>
      </c>
      <c r="E17" s="1">
        <f t="shared" si="1"/>
        <v>22.5</v>
      </c>
      <c r="F17" s="33">
        <f>D17*15</f>
        <v>67.5</v>
      </c>
      <c r="G17" s="33"/>
      <c r="H17" s="33"/>
      <c r="I17" s="33"/>
      <c r="K17" s="33">
        <f t="shared" si="2"/>
        <v>180</v>
      </c>
      <c r="P17" s="33"/>
    </row>
    <row r="18" spans="1:16">
      <c r="A18" s="141"/>
      <c r="B18" s="144" t="s">
        <v>732</v>
      </c>
      <c r="C18" s="181">
        <v>1</v>
      </c>
      <c r="D18" s="181">
        <f t="shared" si="3"/>
        <v>9</v>
      </c>
      <c r="E18" s="1">
        <f t="shared" si="1"/>
        <v>45</v>
      </c>
      <c r="F18" s="33">
        <f>D18*15</f>
        <v>135</v>
      </c>
      <c r="G18" s="33"/>
      <c r="H18" s="33"/>
      <c r="I18" s="33"/>
      <c r="K18" s="33">
        <f t="shared" si="2"/>
        <v>360</v>
      </c>
      <c r="P18" s="33"/>
    </row>
    <row r="19" spans="1:16">
      <c r="A19" s="141"/>
      <c r="B19" s="144" t="s">
        <v>733</v>
      </c>
      <c r="C19" s="181">
        <v>0.6</v>
      </c>
      <c r="D19" s="181">
        <f t="shared" si="3"/>
        <v>5.3999999999999995</v>
      </c>
      <c r="E19" s="1">
        <f t="shared" si="1"/>
        <v>26.999999999999996</v>
      </c>
      <c r="F19" s="33"/>
      <c r="G19" s="33"/>
      <c r="H19" s="33"/>
      <c r="I19" s="33">
        <f>D19*15</f>
        <v>80.999999999999986</v>
      </c>
      <c r="K19" s="33">
        <f t="shared" si="2"/>
        <v>215.99999999999997</v>
      </c>
      <c r="P19" s="33"/>
    </row>
    <row r="20" spans="1:16" ht="25" customHeight="1">
      <c r="A20" s="125" t="s">
        <v>81</v>
      </c>
      <c r="B20" s="125" t="s">
        <v>196</v>
      </c>
      <c r="C20" s="23"/>
      <c r="D20" s="23"/>
      <c r="E20" s="23"/>
      <c r="F20" s="23"/>
      <c r="G20" s="23"/>
      <c r="H20" s="23"/>
      <c r="I20" s="23"/>
      <c r="J20" s="23"/>
      <c r="K20" s="23"/>
    </row>
    <row r="21" spans="1:16">
      <c r="A21" s="141"/>
      <c r="B21" s="144" t="s">
        <v>734</v>
      </c>
      <c r="C21" s="181">
        <v>0.3</v>
      </c>
      <c r="D21" s="181">
        <f t="shared" ref="D21:D45" si="4">C21*9</f>
        <v>2.6999999999999997</v>
      </c>
      <c r="E21" s="1">
        <f>D21*5</f>
        <v>13.499999999999998</v>
      </c>
      <c r="F21" s="33"/>
      <c r="G21" s="33"/>
      <c r="H21" s="33">
        <f>D21*15</f>
        <v>40.499999999999993</v>
      </c>
      <c r="I21" s="33"/>
      <c r="K21" s="33">
        <f>D21*35</f>
        <v>94.499999999999986</v>
      </c>
    </row>
    <row r="22" spans="1:16">
      <c r="A22" s="141"/>
      <c r="B22" s="144" t="s">
        <v>735</v>
      </c>
      <c r="C22" s="181">
        <v>0.3</v>
      </c>
      <c r="D22" s="181">
        <f t="shared" si="4"/>
        <v>2.6999999999999997</v>
      </c>
      <c r="E22" s="1">
        <f t="shared" ref="E22:E45" si="5">D22*5</f>
        <v>13.499999999999998</v>
      </c>
      <c r="F22" s="33">
        <f>D22*15</f>
        <v>40.499999999999993</v>
      </c>
      <c r="G22" s="33"/>
      <c r="H22" s="33"/>
      <c r="I22" s="33"/>
      <c r="K22" s="33">
        <f t="shared" ref="K22:K45" si="6">D22*35</f>
        <v>94.499999999999986</v>
      </c>
    </row>
    <row r="23" spans="1:16">
      <c r="A23" s="141"/>
      <c r="B23" s="169" t="s">
        <v>736</v>
      </c>
      <c r="C23" s="181">
        <v>0.3</v>
      </c>
      <c r="D23" s="181">
        <f t="shared" si="4"/>
        <v>2.6999999999999997</v>
      </c>
      <c r="E23" s="1">
        <f t="shared" si="5"/>
        <v>13.499999999999998</v>
      </c>
      <c r="F23" s="33">
        <f>D23*15</f>
        <v>40.499999999999993</v>
      </c>
      <c r="G23" s="33"/>
      <c r="H23" s="33"/>
      <c r="I23" s="33"/>
      <c r="K23" s="33">
        <f t="shared" si="6"/>
        <v>94.499999999999986</v>
      </c>
    </row>
    <row r="24" spans="1:16">
      <c r="A24" s="141"/>
      <c r="B24" s="169" t="s">
        <v>737</v>
      </c>
      <c r="C24" s="181">
        <v>0.3</v>
      </c>
      <c r="D24" s="181">
        <f t="shared" si="4"/>
        <v>2.6999999999999997</v>
      </c>
      <c r="E24" s="1">
        <f t="shared" si="5"/>
        <v>13.499999999999998</v>
      </c>
      <c r="F24" s="33">
        <f>D24*15</f>
        <v>40.499999999999993</v>
      </c>
      <c r="G24" s="33"/>
      <c r="H24" s="33"/>
      <c r="I24" s="33"/>
      <c r="K24" s="33">
        <f t="shared" si="6"/>
        <v>94.499999999999986</v>
      </c>
    </row>
    <row r="25" spans="1:16">
      <c r="A25" s="141"/>
      <c r="B25" s="169" t="s">
        <v>738</v>
      </c>
      <c r="C25" s="181">
        <v>0.3</v>
      </c>
      <c r="D25" s="181">
        <f t="shared" si="4"/>
        <v>2.6999999999999997</v>
      </c>
      <c r="E25" s="1">
        <f t="shared" si="5"/>
        <v>13.499999999999998</v>
      </c>
      <c r="F25" s="33"/>
      <c r="G25" s="33">
        <f>D25*12</f>
        <v>32.4</v>
      </c>
      <c r="H25" s="33"/>
      <c r="I25" s="33"/>
      <c r="K25" s="33">
        <f t="shared" si="6"/>
        <v>94.499999999999986</v>
      </c>
    </row>
    <row r="26" spans="1:16">
      <c r="A26" s="141"/>
      <c r="B26" s="168" t="s">
        <v>739</v>
      </c>
      <c r="C26" s="181">
        <v>0.3</v>
      </c>
      <c r="D26" s="181">
        <f t="shared" si="4"/>
        <v>2.6999999999999997</v>
      </c>
      <c r="E26" s="1">
        <f t="shared" si="5"/>
        <v>13.499999999999998</v>
      </c>
      <c r="F26" s="33"/>
      <c r="G26" s="33">
        <f>D26*12</f>
        <v>32.4</v>
      </c>
      <c r="H26" s="33"/>
      <c r="I26" s="33"/>
      <c r="K26" s="33">
        <f t="shared" si="6"/>
        <v>94.499999999999986</v>
      </c>
    </row>
    <row r="27" spans="1:16">
      <c r="A27" s="141"/>
      <c r="B27" s="167" t="s">
        <v>740</v>
      </c>
      <c r="C27" s="181">
        <v>0.3</v>
      </c>
      <c r="D27" s="181">
        <f t="shared" si="4"/>
        <v>2.6999999999999997</v>
      </c>
      <c r="E27" s="1">
        <f t="shared" si="5"/>
        <v>13.499999999999998</v>
      </c>
      <c r="F27" s="33"/>
      <c r="G27" s="33"/>
      <c r="H27" s="33"/>
      <c r="I27" s="33">
        <f>D27*15</f>
        <v>40.499999999999993</v>
      </c>
      <c r="K27" s="33">
        <f t="shared" si="6"/>
        <v>94.499999999999986</v>
      </c>
    </row>
    <row r="28" spans="1:16">
      <c r="A28" s="141"/>
      <c r="B28" s="167" t="s">
        <v>741</v>
      </c>
      <c r="C28" s="181">
        <v>0.3</v>
      </c>
      <c r="D28" s="181">
        <f t="shared" si="4"/>
        <v>2.6999999999999997</v>
      </c>
      <c r="E28" s="1">
        <f t="shared" si="5"/>
        <v>13.499999999999998</v>
      </c>
      <c r="F28" s="33">
        <f>D28*15</f>
        <v>40.499999999999993</v>
      </c>
      <c r="G28" s="33"/>
      <c r="H28" s="33"/>
      <c r="I28" s="33"/>
      <c r="K28" s="33">
        <f t="shared" si="6"/>
        <v>94.499999999999986</v>
      </c>
    </row>
    <row r="29" spans="1:16">
      <c r="A29" s="141"/>
      <c r="B29" s="167" t="s">
        <v>742</v>
      </c>
      <c r="C29" s="181">
        <v>0.3</v>
      </c>
      <c r="D29" s="181">
        <f t="shared" si="4"/>
        <v>2.6999999999999997</v>
      </c>
      <c r="E29" s="1">
        <f t="shared" si="5"/>
        <v>13.499999999999998</v>
      </c>
      <c r="F29" s="33"/>
      <c r="G29" s="33">
        <f>D29*12</f>
        <v>32.4</v>
      </c>
      <c r="H29" s="33"/>
      <c r="I29" s="33"/>
      <c r="K29" s="33">
        <f t="shared" si="6"/>
        <v>94.499999999999986</v>
      </c>
    </row>
    <row r="30" spans="1:16">
      <c r="A30" s="141"/>
      <c r="B30" s="167" t="s">
        <v>743</v>
      </c>
      <c r="C30" s="181">
        <v>0.3</v>
      </c>
      <c r="D30" s="181">
        <f t="shared" si="4"/>
        <v>2.6999999999999997</v>
      </c>
      <c r="E30" s="1">
        <f t="shared" si="5"/>
        <v>13.499999999999998</v>
      </c>
      <c r="F30" s="33"/>
      <c r="G30" s="33">
        <f>D30*12</f>
        <v>32.4</v>
      </c>
      <c r="H30" s="33"/>
      <c r="I30" s="33"/>
      <c r="K30" s="33">
        <f t="shared" si="6"/>
        <v>94.499999999999986</v>
      </c>
    </row>
    <row r="31" spans="1:16">
      <c r="A31" s="141"/>
      <c r="B31" s="167" t="s">
        <v>744</v>
      </c>
      <c r="C31" s="181">
        <v>0.3</v>
      </c>
      <c r="D31" s="181">
        <f t="shared" si="4"/>
        <v>2.6999999999999997</v>
      </c>
      <c r="E31" s="1">
        <f t="shared" si="5"/>
        <v>13.499999999999998</v>
      </c>
      <c r="F31" s="33"/>
      <c r="G31" s="33">
        <f>D31*12</f>
        <v>32.4</v>
      </c>
      <c r="H31" s="33"/>
      <c r="I31" s="33"/>
      <c r="K31" s="33">
        <f t="shared" si="6"/>
        <v>94.499999999999986</v>
      </c>
    </row>
    <row r="32" spans="1:16">
      <c r="A32" s="141"/>
      <c r="B32" s="167" t="s">
        <v>745</v>
      </c>
      <c r="C32" s="181">
        <v>0.3</v>
      </c>
      <c r="D32" s="181">
        <f t="shared" si="4"/>
        <v>2.6999999999999997</v>
      </c>
      <c r="E32" s="1">
        <f t="shared" si="5"/>
        <v>13.499999999999998</v>
      </c>
      <c r="F32" s="33">
        <f>D32*15</f>
        <v>40.499999999999993</v>
      </c>
      <c r="G32" s="33"/>
      <c r="H32" s="33"/>
      <c r="I32" s="33"/>
      <c r="K32" s="33">
        <f t="shared" si="6"/>
        <v>94.499999999999986</v>
      </c>
    </row>
    <row r="33" spans="1:19">
      <c r="A33" s="141"/>
      <c r="B33" s="167" t="s">
        <v>746</v>
      </c>
      <c r="C33" s="181">
        <v>1</v>
      </c>
      <c r="D33" s="181">
        <f t="shared" si="4"/>
        <v>9</v>
      </c>
      <c r="E33" s="1">
        <f t="shared" si="5"/>
        <v>45</v>
      </c>
      <c r="F33" s="33"/>
      <c r="G33" s="33"/>
      <c r="H33" s="33">
        <f>D33*15</f>
        <v>135</v>
      </c>
      <c r="I33" s="33"/>
      <c r="K33" s="33">
        <f t="shared" si="6"/>
        <v>315</v>
      </c>
    </row>
    <row r="34" spans="1:19">
      <c r="A34" s="141"/>
      <c r="B34" s="167" t="s">
        <v>747</v>
      </c>
      <c r="C34" s="181">
        <v>0.5</v>
      </c>
      <c r="D34" s="181">
        <f t="shared" si="4"/>
        <v>4.5</v>
      </c>
      <c r="E34" s="1">
        <f t="shared" si="5"/>
        <v>22.5</v>
      </c>
      <c r="F34" s="33"/>
      <c r="G34" s="33"/>
      <c r="H34" s="33"/>
      <c r="I34" s="33">
        <f>D34*15</f>
        <v>67.5</v>
      </c>
      <c r="K34" s="33">
        <f t="shared" si="6"/>
        <v>157.5</v>
      </c>
    </row>
    <row r="35" spans="1:19">
      <c r="A35" s="183"/>
      <c r="B35" s="157" t="s">
        <v>748</v>
      </c>
      <c r="C35" s="182">
        <v>0.8</v>
      </c>
      <c r="D35" s="182">
        <f t="shared" si="4"/>
        <v>7.2</v>
      </c>
      <c r="E35" s="1">
        <f t="shared" si="5"/>
        <v>36</v>
      </c>
      <c r="F35" s="33"/>
      <c r="G35" s="33"/>
      <c r="H35" s="33">
        <f>D35*15</f>
        <v>108</v>
      </c>
      <c r="I35" s="33"/>
      <c r="K35" s="33">
        <f t="shared" si="6"/>
        <v>252</v>
      </c>
    </row>
    <row r="36" spans="1:19">
      <c r="A36" s="141"/>
      <c r="B36" s="157" t="s">
        <v>749</v>
      </c>
      <c r="C36" s="181">
        <v>0.5</v>
      </c>
      <c r="D36" s="181">
        <f t="shared" si="4"/>
        <v>4.5</v>
      </c>
      <c r="E36" s="1">
        <f t="shared" si="5"/>
        <v>22.5</v>
      </c>
      <c r="F36" s="33"/>
      <c r="G36" s="33"/>
      <c r="H36" s="33"/>
      <c r="I36" s="33">
        <f>D36*15</f>
        <v>67.5</v>
      </c>
      <c r="K36" s="33">
        <f t="shared" si="6"/>
        <v>157.5</v>
      </c>
    </row>
    <row r="37" spans="1:19">
      <c r="A37" s="141"/>
      <c r="B37" s="157" t="s">
        <v>750</v>
      </c>
      <c r="C37" s="181">
        <v>0.8</v>
      </c>
      <c r="D37" s="181">
        <f t="shared" si="4"/>
        <v>7.2</v>
      </c>
      <c r="E37" s="1">
        <f t="shared" si="5"/>
        <v>36</v>
      </c>
      <c r="F37" s="33"/>
      <c r="G37" s="33"/>
      <c r="H37" s="33"/>
      <c r="I37" s="33">
        <f>D37*15</f>
        <v>108</v>
      </c>
      <c r="K37" s="33">
        <f t="shared" si="6"/>
        <v>252</v>
      </c>
    </row>
    <row r="38" spans="1:19">
      <c r="A38" s="141"/>
      <c r="B38" s="167" t="s">
        <v>751</v>
      </c>
      <c r="C38" s="181">
        <v>1</v>
      </c>
      <c r="D38" s="181">
        <f t="shared" si="4"/>
        <v>9</v>
      </c>
      <c r="E38" s="1">
        <f t="shared" si="5"/>
        <v>45</v>
      </c>
      <c r="F38" s="33"/>
      <c r="G38" s="33"/>
      <c r="H38" s="33">
        <f>D38*15</f>
        <v>135</v>
      </c>
      <c r="I38" s="33"/>
      <c r="K38" s="33">
        <f t="shared" si="6"/>
        <v>315</v>
      </c>
    </row>
    <row r="39" spans="1:19">
      <c r="A39" s="141"/>
      <c r="B39" s="167" t="s">
        <v>748</v>
      </c>
      <c r="C39" s="181">
        <v>0.3</v>
      </c>
      <c r="D39" s="181">
        <f t="shared" si="4"/>
        <v>2.6999999999999997</v>
      </c>
      <c r="E39" s="1">
        <f t="shared" si="5"/>
        <v>13.499999999999998</v>
      </c>
      <c r="F39" s="33"/>
      <c r="G39" s="33"/>
      <c r="H39" s="33">
        <f>D39*15</f>
        <v>40.499999999999993</v>
      </c>
      <c r="I39" s="33"/>
      <c r="K39" s="33">
        <f t="shared" si="6"/>
        <v>94.499999999999986</v>
      </c>
    </row>
    <row r="40" spans="1:19">
      <c r="A40" s="141"/>
      <c r="B40" s="167" t="s">
        <v>752</v>
      </c>
      <c r="C40" s="181">
        <v>0.8</v>
      </c>
      <c r="D40" s="181">
        <f t="shared" si="4"/>
        <v>7.2</v>
      </c>
      <c r="E40" s="1">
        <f t="shared" si="5"/>
        <v>36</v>
      </c>
      <c r="F40" s="33"/>
      <c r="G40" s="33">
        <f>D40*12</f>
        <v>86.4</v>
      </c>
      <c r="H40" s="33"/>
      <c r="I40" s="33"/>
      <c r="K40" s="33">
        <f t="shared" si="6"/>
        <v>252</v>
      </c>
    </row>
    <row r="41" spans="1:19">
      <c r="A41" s="140"/>
      <c r="B41" s="167" t="s">
        <v>753</v>
      </c>
      <c r="C41" s="181">
        <v>0.3</v>
      </c>
      <c r="D41" s="181">
        <f t="shared" si="4"/>
        <v>2.6999999999999997</v>
      </c>
      <c r="E41" s="1">
        <f t="shared" si="5"/>
        <v>13.499999999999998</v>
      </c>
      <c r="F41" s="33"/>
      <c r="G41" s="33">
        <f>D41*12</f>
        <v>32.4</v>
      </c>
      <c r="I41" s="33"/>
      <c r="K41" s="33">
        <f t="shared" si="6"/>
        <v>94.499999999999986</v>
      </c>
    </row>
    <row r="42" spans="1:19">
      <c r="A42" s="140"/>
      <c r="B42" s="167" t="s">
        <v>754</v>
      </c>
      <c r="C42" s="181">
        <v>0.8</v>
      </c>
      <c r="D42" s="181">
        <f t="shared" si="4"/>
        <v>7.2</v>
      </c>
      <c r="E42" s="1">
        <f t="shared" si="5"/>
        <v>36</v>
      </c>
      <c r="F42" s="33"/>
      <c r="G42" s="33"/>
      <c r="H42" s="33">
        <f>D42*15</f>
        <v>108</v>
      </c>
      <c r="I42" s="33"/>
      <c r="K42" s="33">
        <f t="shared" si="6"/>
        <v>252</v>
      </c>
    </row>
    <row r="43" spans="1:19">
      <c r="A43" s="140"/>
      <c r="B43" s="167" t="s">
        <v>755</v>
      </c>
      <c r="C43" s="181">
        <v>0.5</v>
      </c>
      <c r="D43" s="181">
        <f t="shared" si="4"/>
        <v>4.5</v>
      </c>
      <c r="E43" s="1">
        <f t="shared" si="5"/>
        <v>22.5</v>
      </c>
      <c r="F43" s="33"/>
      <c r="G43" s="33"/>
      <c r="H43" s="33"/>
      <c r="I43" s="33">
        <f>D43*15</f>
        <v>67.5</v>
      </c>
      <c r="K43" s="33">
        <f t="shared" si="6"/>
        <v>157.5</v>
      </c>
    </row>
    <row r="44" spans="1:19">
      <c r="A44" s="140"/>
      <c r="B44" s="167" t="s">
        <v>756</v>
      </c>
      <c r="C44" s="181">
        <v>1.5</v>
      </c>
      <c r="D44" s="181">
        <f t="shared" si="4"/>
        <v>13.5</v>
      </c>
      <c r="E44" s="1">
        <f t="shared" si="5"/>
        <v>67.5</v>
      </c>
      <c r="F44" s="33"/>
      <c r="G44" s="33"/>
      <c r="H44" s="33">
        <f>D44*15</f>
        <v>202.5</v>
      </c>
      <c r="I44" s="33"/>
      <c r="K44" s="33">
        <f t="shared" si="6"/>
        <v>472.5</v>
      </c>
    </row>
    <row r="45" spans="1:19">
      <c r="A45" s="140"/>
      <c r="B45" s="167" t="s">
        <v>757</v>
      </c>
      <c r="C45" s="181">
        <v>0.3</v>
      </c>
      <c r="D45" s="181">
        <f t="shared" si="4"/>
        <v>2.6999999999999997</v>
      </c>
      <c r="E45" s="1">
        <f t="shared" si="5"/>
        <v>13.499999999999998</v>
      </c>
      <c r="F45" s="33"/>
      <c r="G45" s="33"/>
      <c r="H45" s="33">
        <f>D45*15</f>
        <v>40.499999999999993</v>
      </c>
      <c r="I45" s="33"/>
      <c r="K45" s="33">
        <f t="shared" si="6"/>
        <v>94.499999999999986</v>
      </c>
    </row>
    <row r="46" spans="1:19">
      <c r="A46" s="118" t="s">
        <v>199</v>
      </c>
      <c r="B46" s="57"/>
      <c r="C46" s="11">
        <f>SUM(C4:C45)</f>
        <v>26.100000000000012</v>
      </c>
      <c r="D46" s="11">
        <f>SUM(D4:D45)</f>
        <v>234.89999999999984</v>
      </c>
      <c r="E46" s="59">
        <f>SUM(E4:E45)</f>
        <v>1174.5</v>
      </c>
      <c r="F46" s="59">
        <f>SUM(F4:F44)</f>
        <v>432</v>
      </c>
      <c r="G46" s="59">
        <f>SUM(G4:G45)</f>
        <v>367.20000000000005</v>
      </c>
      <c r="H46" s="59">
        <f>SUM(H4:H45)</f>
        <v>1458</v>
      </c>
      <c r="I46" s="59">
        <f>SUM(I4:I45)</f>
        <v>1174.5</v>
      </c>
      <c r="J46" s="59">
        <f>SUM(E46:I46)</f>
        <v>4606.2</v>
      </c>
      <c r="K46" s="60">
        <f>SUM(K4:K45)</f>
        <v>8824.5</v>
      </c>
      <c r="L46" s="39"/>
      <c r="M46" s="29" t="s">
        <v>2</v>
      </c>
      <c r="N46" s="16" t="s">
        <v>1</v>
      </c>
    </row>
    <row r="47" spans="1:19">
      <c r="E47" s="142">
        <f t="shared" ref="E47:K47" si="7">E46*40</f>
        <v>46980</v>
      </c>
      <c r="F47" s="142">
        <f>F46*40</f>
        <v>17280</v>
      </c>
      <c r="G47" s="142">
        <f>G46*40</f>
        <v>14688.000000000002</v>
      </c>
      <c r="H47" s="142">
        <f>H46*41.3</f>
        <v>60215.399999999994</v>
      </c>
      <c r="I47" s="142">
        <f>I46*41.3</f>
        <v>48506.85</v>
      </c>
      <c r="J47" s="142">
        <f t="shared" si="7"/>
        <v>184248</v>
      </c>
      <c r="K47" s="7">
        <f t="shared" si="7"/>
        <v>352980</v>
      </c>
      <c r="L47" s="5" t="s">
        <v>4</v>
      </c>
      <c r="M47" s="7">
        <f t="shared" ref="M47:M49" si="8">N47*40</f>
        <v>352980</v>
      </c>
      <c r="N47" s="8">
        <f>K46</f>
        <v>8824.5</v>
      </c>
      <c r="S47" s="4"/>
    </row>
    <row r="48" spans="1:19">
      <c r="G48" s="33"/>
      <c r="H48" s="123"/>
      <c r="I48" s="123"/>
      <c r="L48" s="5" t="s">
        <v>3</v>
      </c>
      <c r="M48" s="7">
        <f t="shared" si="8"/>
        <v>335331</v>
      </c>
      <c r="N48" s="8">
        <f>N47-N47*0.05</f>
        <v>8383.2749999999996</v>
      </c>
    </row>
    <row r="49" spans="2:14">
      <c r="B49" s="1"/>
      <c r="E49" s="21"/>
      <c r="G49" s="33"/>
      <c r="L49" s="5" t="s">
        <v>5</v>
      </c>
      <c r="M49" s="7">
        <f t="shared" si="8"/>
        <v>184248</v>
      </c>
      <c r="N49" s="8">
        <f>J46</f>
        <v>4606.2</v>
      </c>
    </row>
    <row r="50" spans="2:14">
      <c r="B50" s="1"/>
      <c r="L50" s="37" t="s">
        <v>18</v>
      </c>
      <c r="M50" s="7">
        <f>N50*40</f>
        <v>151083</v>
      </c>
      <c r="N50" s="8">
        <f>N48-N49</f>
        <v>3777.0749999999998</v>
      </c>
    </row>
    <row r="51" spans="2:14">
      <c r="B51" s="1"/>
    </row>
    <row r="52" spans="2:14">
      <c r="B52" s="1"/>
    </row>
    <row r="53" spans="2:14">
      <c r="B53" s="1"/>
    </row>
    <row r="54" spans="2:14">
      <c r="B54" s="144"/>
      <c r="C54" s="166"/>
      <c r="D54" s="176"/>
    </row>
    <row r="55" spans="2:14">
      <c r="B55" s="169"/>
      <c r="C55" s="166"/>
      <c r="D55" s="176"/>
    </row>
    <row r="56" spans="2:14">
      <c r="B56" s="169"/>
      <c r="C56" s="166"/>
      <c r="D56" s="176"/>
    </row>
    <row r="57" spans="2:14">
      <c r="B57" s="144"/>
      <c r="C57" s="166"/>
      <c r="D57" s="176"/>
    </row>
    <row r="58" spans="2:14">
      <c r="B58" s="167"/>
      <c r="C58" s="166"/>
      <c r="D58" s="176"/>
    </row>
    <row r="59" spans="2:14">
      <c r="B59" s="169"/>
      <c r="C59" s="166"/>
      <c r="D59" s="176"/>
      <c r="I59" s="144"/>
      <c r="J59" s="166"/>
      <c r="K59" s="176"/>
    </row>
    <row r="60" spans="2:14">
      <c r="B60" s="169"/>
      <c r="C60" s="166"/>
      <c r="D60" s="176"/>
      <c r="I60" s="169"/>
      <c r="J60" s="166"/>
      <c r="K60" s="176"/>
    </row>
    <row r="61" spans="2:14">
      <c r="B61" s="169"/>
      <c r="C61" s="166"/>
      <c r="D61" s="176"/>
      <c r="I61" s="169"/>
      <c r="J61" s="166"/>
      <c r="K61" s="176"/>
    </row>
    <row r="62" spans="2:14">
      <c r="B62" s="169"/>
      <c r="C62" s="166"/>
      <c r="D62" s="176"/>
      <c r="I62" s="144"/>
      <c r="J62" s="166"/>
      <c r="K62" s="176"/>
    </row>
    <row r="63" spans="2:14">
      <c r="B63" s="169"/>
      <c r="C63" s="171"/>
      <c r="D63" s="176"/>
      <c r="I63" s="167"/>
      <c r="J63" s="166"/>
      <c r="K63" s="176"/>
    </row>
    <row r="64" spans="2:14">
      <c r="B64" s="169"/>
      <c r="C64" s="171"/>
      <c r="D64" s="176"/>
      <c r="I64" s="169"/>
      <c r="J64" s="166"/>
      <c r="K64" s="176"/>
    </row>
    <row r="65" spans="2:11">
      <c r="B65" s="169"/>
      <c r="C65" s="171"/>
      <c r="D65" s="176"/>
      <c r="I65" s="169"/>
      <c r="J65" s="166"/>
      <c r="K65" s="176"/>
    </row>
    <row r="66" spans="2:11">
      <c r="B66" s="169"/>
      <c r="C66" s="166"/>
      <c r="D66" s="176"/>
      <c r="I66" s="169"/>
      <c r="J66" s="166"/>
      <c r="K66" s="176"/>
    </row>
    <row r="67" spans="2:11">
      <c r="B67" s="1"/>
      <c r="I67" s="169"/>
      <c r="J67" s="166"/>
      <c r="K67" s="176"/>
    </row>
    <row r="68" spans="2:11">
      <c r="B68" s="1"/>
      <c r="I68" s="169"/>
      <c r="J68" s="171"/>
      <c r="K68" s="176"/>
    </row>
    <row r="69" spans="2:11">
      <c r="I69" s="169"/>
      <c r="J69" s="171"/>
      <c r="K69" s="176"/>
    </row>
    <row r="70" spans="2:11">
      <c r="I70" s="169"/>
      <c r="J70" s="171"/>
      <c r="K70" s="176"/>
    </row>
    <row r="71" spans="2:11">
      <c r="I71" s="169"/>
      <c r="J71" s="166"/>
      <c r="K71" s="176"/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173A7-F666-F94A-BE48-29420E2A378D}">
  <dimension ref="A1:S66"/>
  <sheetViews>
    <sheetView zoomScaleNormal="100" workbookViewId="0">
      <pane ySplit="2" topLeftCell="A3" activePane="bottomLeft" state="frozen"/>
      <selection pane="bottomLeft" activeCell="H40" sqref="H40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 ht="25" customHeight="1">
      <c r="A3" s="125" t="s">
        <v>82</v>
      </c>
      <c r="B3" s="125" t="s">
        <v>196</v>
      </c>
      <c r="C3" s="127" t="s">
        <v>44</v>
      </c>
      <c r="D3" s="25" t="s">
        <v>8</v>
      </c>
      <c r="E3" s="165" t="s">
        <v>619</v>
      </c>
      <c r="F3" s="98" t="s">
        <v>10</v>
      </c>
      <c r="G3" s="110" t="s">
        <v>13</v>
      </c>
      <c r="H3" s="110" t="s">
        <v>14</v>
      </c>
      <c r="I3" s="98" t="s">
        <v>15</v>
      </c>
      <c r="J3" s="31" t="s">
        <v>16</v>
      </c>
      <c r="K3" s="39" t="s">
        <v>18</v>
      </c>
    </row>
    <row r="4" spans="1:16">
      <c r="A4" s="141"/>
      <c r="B4" s="144" t="s">
        <v>689</v>
      </c>
      <c r="C4" s="177">
        <v>0.3</v>
      </c>
      <c r="D4" s="177">
        <f t="shared" ref="D4:D31" si="0">C4*9</f>
        <v>2.6999999999999997</v>
      </c>
      <c r="E4" s="1">
        <f>D4*5</f>
        <v>13.499999999999998</v>
      </c>
      <c r="G4" s="33">
        <f>D4*12</f>
        <v>32.4</v>
      </c>
      <c r="H4" s="33"/>
      <c r="I4" s="33"/>
      <c r="K4" s="33">
        <f>D4*40</f>
        <v>107.99999999999999</v>
      </c>
      <c r="P4" s="33"/>
    </row>
    <row r="5" spans="1:16">
      <c r="A5" s="141"/>
      <c r="B5" s="144" t="s">
        <v>690</v>
      </c>
      <c r="C5" s="177">
        <v>0.3</v>
      </c>
      <c r="D5" s="177">
        <f t="shared" si="0"/>
        <v>2.6999999999999997</v>
      </c>
      <c r="E5" s="1">
        <f t="shared" ref="E5:E31" si="1">D5*5</f>
        <v>13.499999999999998</v>
      </c>
      <c r="G5" s="33">
        <f>D5*12</f>
        <v>32.4</v>
      </c>
      <c r="H5" s="33"/>
      <c r="I5" s="33"/>
      <c r="K5" s="33">
        <f t="shared" ref="K5:K31" si="2">D5*40</f>
        <v>107.99999999999999</v>
      </c>
      <c r="P5" s="33"/>
    </row>
    <row r="6" spans="1:16">
      <c r="A6" s="141"/>
      <c r="B6" s="144" t="s">
        <v>691</v>
      </c>
      <c r="C6" s="177">
        <v>0.3</v>
      </c>
      <c r="D6" s="177">
        <f t="shared" si="0"/>
        <v>2.6999999999999997</v>
      </c>
      <c r="E6" s="1">
        <f t="shared" si="1"/>
        <v>13.499999999999998</v>
      </c>
      <c r="F6" s="33"/>
      <c r="G6" s="33">
        <f>D6*12</f>
        <v>32.4</v>
      </c>
      <c r="H6" s="33"/>
      <c r="I6" s="33"/>
      <c r="K6" s="33">
        <f t="shared" si="2"/>
        <v>107.99999999999999</v>
      </c>
      <c r="P6" s="33"/>
    </row>
    <row r="7" spans="1:16">
      <c r="A7" s="141"/>
      <c r="B7" s="144" t="s">
        <v>692</v>
      </c>
      <c r="C7" s="177">
        <v>0.3</v>
      </c>
      <c r="D7" s="177">
        <f t="shared" si="0"/>
        <v>2.6999999999999997</v>
      </c>
      <c r="E7" s="1">
        <f t="shared" si="1"/>
        <v>13.499999999999998</v>
      </c>
      <c r="F7" s="33">
        <f>D7*15</f>
        <v>40.499999999999993</v>
      </c>
      <c r="G7" s="33"/>
      <c r="H7" s="33"/>
      <c r="I7" s="33"/>
      <c r="K7" s="33">
        <f t="shared" si="2"/>
        <v>107.99999999999999</v>
      </c>
      <c r="P7" s="33"/>
    </row>
    <row r="8" spans="1:16">
      <c r="A8" s="141"/>
      <c r="B8" s="144" t="s">
        <v>693</v>
      </c>
      <c r="C8" s="177">
        <v>0.3</v>
      </c>
      <c r="D8" s="177">
        <f t="shared" si="0"/>
        <v>2.6999999999999997</v>
      </c>
      <c r="E8" s="1">
        <f t="shared" si="1"/>
        <v>13.499999999999998</v>
      </c>
      <c r="F8" s="33">
        <f>D8*15</f>
        <v>40.499999999999993</v>
      </c>
      <c r="G8" s="33"/>
      <c r="H8" s="33"/>
      <c r="I8" s="33"/>
      <c r="K8" s="33">
        <f t="shared" si="2"/>
        <v>107.99999999999999</v>
      </c>
      <c r="P8" s="33"/>
    </row>
    <row r="9" spans="1:16">
      <c r="A9" s="141"/>
      <c r="B9" s="144" t="s">
        <v>217</v>
      </c>
      <c r="C9" s="177">
        <v>0.3</v>
      </c>
      <c r="D9" s="177">
        <f t="shared" si="0"/>
        <v>2.6999999999999997</v>
      </c>
      <c r="E9" s="1">
        <f t="shared" si="1"/>
        <v>13.499999999999998</v>
      </c>
      <c r="F9" s="33"/>
      <c r="G9" s="33"/>
      <c r="H9" s="33"/>
      <c r="I9" s="33">
        <f>D9*15</f>
        <v>40.499999999999993</v>
      </c>
      <c r="K9" s="33">
        <f t="shared" si="2"/>
        <v>107.99999999999999</v>
      </c>
      <c r="P9" s="33"/>
    </row>
    <row r="10" spans="1:16">
      <c r="A10" s="141"/>
      <c r="B10" s="144" t="s">
        <v>694</v>
      </c>
      <c r="C10" s="177">
        <v>0.5</v>
      </c>
      <c r="D10" s="177">
        <f t="shared" si="0"/>
        <v>4.5</v>
      </c>
      <c r="E10" s="1">
        <f t="shared" si="1"/>
        <v>22.5</v>
      </c>
      <c r="F10" s="33">
        <f>D10*15</f>
        <v>67.5</v>
      </c>
      <c r="G10" s="33"/>
      <c r="H10" s="33"/>
      <c r="I10" s="33"/>
      <c r="K10" s="33">
        <f t="shared" si="2"/>
        <v>180</v>
      </c>
      <c r="P10" s="33"/>
    </row>
    <row r="11" spans="1:16">
      <c r="A11" s="141"/>
      <c r="B11" s="144" t="s">
        <v>695</v>
      </c>
      <c r="C11" s="177">
        <v>0.5</v>
      </c>
      <c r="D11" s="177">
        <f t="shared" si="0"/>
        <v>4.5</v>
      </c>
      <c r="E11" s="1">
        <f t="shared" si="1"/>
        <v>22.5</v>
      </c>
      <c r="F11" s="33">
        <f>D11*15</f>
        <v>67.5</v>
      </c>
      <c r="G11" s="33"/>
      <c r="H11" s="33"/>
      <c r="I11" s="33"/>
      <c r="K11" s="33">
        <f t="shared" si="2"/>
        <v>180</v>
      </c>
      <c r="P11" s="33"/>
    </row>
    <row r="12" spans="1:16">
      <c r="A12" s="141"/>
      <c r="B12" s="144" t="s">
        <v>696</v>
      </c>
      <c r="C12" s="177">
        <v>0.7</v>
      </c>
      <c r="D12" s="177">
        <f t="shared" si="0"/>
        <v>6.3</v>
      </c>
      <c r="E12" s="1">
        <f t="shared" si="1"/>
        <v>31.5</v>
      </c>
      <c r="F12" s="33"/>
      <c r="G12" s="33"/>
      <c r="H12" s="33"/>
      <c r="I12" s="33">
        <f>D12*15</f>
        <v>94.5</v>
      </c>
      <c r="K12" s="33">
        <f t="shared" si="2"/>
        <v>252</v>
      </c>
      <c r="P12" s="33"/>
    </row>
    <row r="13" spans="1:16">
      <c r="A13" s="141"/>
      <c r="B13" s="144" t="s">
        <v>697</v>
      </c>
      <c r="C13" s="177">
        <v>0.3</v>
      </c>
      <c r="D13" s="177">
        <f t="shared" si="0"/>
        <v>2.6999999999999997</v>
      </c>
      <c r="E13" s="1">
        <f t="shared" si="1"/>
        <v>13.499999999999998</v>
      </c>
      <c r="F13" s="33">
        <f>D13*15</f>
        <v>40.499999999999993</v>
      </c>
      <c r="G13" s="33"/>
      <c r="H13" s="33"/>
      <c r="I13" s="33"/>
      <c r="K13" s="33">
        <f t="shared" si="2"/>
        <v>107.99999999999999</v>
      </c>
      <c r="P13" s="33"/>
    </row>
    <row r="14" spans="1:16">
      <c r="A14" s="141"/>
      <c r="B14" s="144" t="s">
        <v>698</v>
      </c>
      <c r="C14" s="177">
        <v>0.5</v>
      </c>
      <c r="D14" s="177">
        <f t="shared" si="0"/>
        <v>4.5</v>
      </c>
      <c r="E14" s="1">
        <f t="shared" si="1"/>
        <v>22.5</v>
      </c>
      <c r="F14" s="33"/>
      <c r="G14" s="33"/>
      <c r="H14" s="33"/>
      <c r="I14" s="33">
        <f>D14*15</f>
        <v>67.5</v>
      </c>
      <c r="K14" s="33">
        <f t="shared" si="2"/>
        <v>180</v>
      </c>
      <c r="P14" s="33"/>
    </row>
    <row r="15" spans="1:16">
      <c r="A15" s="141"/>
      <c r="B15" s="144" t="s">
        <v>699</v>
      </c>
      <c r="C15" s="177">
        <v>0.3</v>
      </c>
      <c r="D15" s="177">
        <f t="shared" si="0"/>
        <v>2.6999999999999997</v>
      </c>
      <c r="E15" s="1">
        <f t="shared" si="1"/>
        <v>13.499999999999998</v>
      </c>
      <c r="F15" s="33">
        <f>D15*15</f>
        <v>40.499999999999993</v>
      </c>
      <c r="G15" s="33"/>
      <c r="H15" s="33"/>
      <c r="I15" s="33"/>
      <c r="K15" s="33">
        <f t="shared" si="2"/>
        <v>107.99999999999999</v>
      </c>
      <c r="P15" s="33"/>
    </row>
    <row r="16" spans="1:16">
      <c r="A16" s="141"/>
      <c r="B16" s="144" t="s">
        <v>700</v>
      </c>
      <c r="C16" s="177">
        <v>0.3</v>
      </c>
      <c r="D16" s="177">
        <f t="shared" si="0"/>
        <v>2.6999999999999997</v>
      </c>
      <c r="E16" s="1">
        <f t="shared" si="1"/>
        <v>13.499999999999998</v>
      </c>
      <c r="F16" s="33"/>
      <c r="G16" s="33">
        <f>D16*12</f>
        <v>32.4</v>
      </c>
      <c r="H16" s="33"/>
      <c r="I16" s="33"/>
      <c r="K16" s="33">
        <f t="shared" si="2"/>
        <v>107.99999999999999</v>
      </c>
      <c r="P16" s="33"/>
    </row>
    <row r="17" spans="1:16">
      <c r="A17" s="141"/>
      <c r="B17" s="144" t="s">
        <v>701</v>
      </c>
      <c r="C17" s="177">
        <v>0.3</v>
      </c>
      <c r="D17" s="177">
        <f t="shared" si="0"/>
        <v>2.6999999999999997</v>
      </c>
      <c r="E17" s="1">
        <f t="shared" si="1"/>
        <v>13.499999999999998</v>
      </c>
      <c r="F17" s="33"/>
      <c r="G17" s="33">
        <f>D17*12</f>
        <v>32.4</v>
      </c>
      <c r="H17" s="33"/>
      <c r="I17" s="33"/>
      <c r="K17" s="33">
        <f t="shared" si="2"/>
        <v>107.99999999999999</v>
      </c>
      <c r="P17" s="33"/>
    </row>
    <row r="18" spans="1:16">
      <c r="A18" s="140"/>
      <c r="B18" s="144" t="s">
        <v>702</v>
      </c>
      <c r="C18" s="177">
        <v>0.3</v>
      </c>
      <c r="D18" s="177">
        <f t="shared" si="0"/>
        <v>2.6999999999999997</v>
      </c>
      <c r="E18" s="1">
        <f t="shared" si="1"/>
        <v>13.499999999999998</v>
      </c>
      <c r="F18" s="33">
        <f>D18*15</f>
        <v>40.499999999999993</v>
      </c>
      <c r="G18" s="33"/>
      <c r="H18" s="33"/>
      <c r="I18" s="33"/>
      <c r="K18" s="33">
        <f t="shared" si="2"/>
        <v>107.99999999999999</v>
      </c>
      <c r="P18" s="33"/>
    </row>
    <row r="19" spans="1:16">
      <c r="A19" s="178"/>
      <c r="B19" s="179" t="s">
        <v>703</v>
      </c>
      <c r="C19" s="180">
        <v>0.3</v>
      </c>
      <c r="D19" s="180">
        <f t="shared" si="0"/>
        <v>2.6999999999999997</v>
      </c>
      <c r="E19" s="1">
        <f t="shared" si="1"/>
        <v>13.499999999999998</v>
      </c>
      <c r="F19" s="33">
        <f>D19*15</f>
        <v>40.499999999999993</v>
      </c>
      <c r="G19" s="33"/>
      <c r="H19" s="33"/>
      <c r="I19" s="33"/>
      <c r="K19" s="33">
        <f t="shared" si="2"/>
        <v>107.99999999999999</v>
      </c>
      <c r="P19" s="33"/>
    </row>
    <row r="20" spans="1:16">
      <c r="A20" s="141"/>
      <c r="B20" s="144" t="s">
        <v>704</v>
      </c>
      <c r="C20" s="177">
        <v>0.3</v>
      </c>
      <c r="D20" s="177">
        <f t="shared" si="0"/>
        <v>2.6999999999999997</v>
      </c>
      <c r="E20" s="1">
        <f t="shared" si="1"/>
        <v>13.499999999999998</v>
      </c>
      <c r="F20" s="33">
        <f>D20*15</f>
        <v>40.499999999999993</v>
      </c>
      <c r="G20" s="33"/>
      <c r="H20" s="33"/>
      <c r="I20" s="33"/>
      <c r="K20" s="33">
        <f t="shared" si="2"/>
        <v>107.99999999999999</v>
      </c>
      <c r="P20" s="33"/>
    </row>
    <row r="21" spans="1:16">
      <c r="A21" s="141"/>
      <c r="B21" s="144" t="s">
        <v>705</v>
      </c>
      <c r="C21" s="177">
        <v>0.3</v>
      </c>
      <c r="D21" s="177">
        <f t="shared" si="0"/>
        <v>2.6999999999999997</v>
      </c>
      <c r="E21" s="1">
        <f t="shared" si="1"/>
        <v>13.499999999999998</v>
      </c>
      <c r="F21" s="33"/>
      <c r="G21" s="33">
        <f>D21*12</f>
        <v>32.4</v>
      </c>
      <c r="H21" s="33"/>
      <c r="I21" s="33"/>
      <c r="K21" s="33">
        <f t="shared" si="2"/>
        <v>107.99999999999999</v>
      </c>
      <c r="P21" s="33"/>
    </row>
    <row r="22" spans="1:16">
      <c r="A22" s="141"/>
      <c r="B22" s="144" t="s">
        <v>706</v>
      </c>
      <c r="C22" s="177">
        <v>0.3</v>
      </c>
      <c r="D22" s="177">
        <f t="shared" si="0"/>
        <v>2.6999999999999997</v>
      </c>
      <c r="E22" s="1">
        <f t="shared" si="1"/>
        <v>13.499999999999998</v>
      </c>
      <c r="F22" s="33"/>
      <c r="G22" s="33">
        <f>D22*12</f>
        <v>32.4</v>
      </c>
      <c r="H22" s="33"/>
      <c r="I22" s="33"/>
      <c r="K22" s="33">
        <f t="shared" si="2"/>
        <v>107.99999999999999</v>
      </c>
      <c r="P22" s="33"/>
    </row>
    <row r="23" spans="1:16">
      <c r="A23" s="140"/>
      <c r="B23" s="144" t="s">
        <v>707</v>
      </c>
      <c r="C23" s="177">
        <v>0.3</v>
      </c>
      <c r="D23" s="177">
        <f t="shared" si="0"/>
        <v>2.6999999999999997</v>
      </c>
      <c r="E23" s="1">
        <f t="shared" si="1"/>
        <v>13.499999999999998</v>
      </c>
      <c r="F23" s="33"/>
      <c r="G23" s="33">
        <f>D23*12</f>
        <v>32.4</v>
      </c>
      <c r="H23" s="33"/>
      <c r="I23" s="33"/>
      <c r="K23" s="33">
        <f t="shared" si="2"/>
        <v>107.99999999999999</v>
      </c>
      <c r="P23" s="33"/>
    </row>
    <row r="24" spans="1:16">
      <c r="A24" s="141"/>
      <c r="B24" s="144" t="s">
        <v>708</v>
      </c>
      <c r="C24" s="177">
        <v>1</v>
      </c>
      <c r="D24" s="177">
        <f t="shared" si="0"/>
        <v>9</v>
      </c>
      <c r="E24" s="1">
        <f t="shared" si="1"/>
        <v>45</v>
      </c>
      <c r="F24" s="33"/>
      <c r="G24" s="33"/>
      <c r="H24" s="33"/>
      <c r="I24" s="33">
        <f>D24*15</f>
        <v>135</v>
      </c>
      <c r="K24" s="33">
        <f t="shared" si="2"/>
        <v>360</v>
      </c>
      <c r="P24" s="33"/>
    </row>
    <row r="25" spans="1:16">
      <c r="A25" s="141"/>
      <c r="B25" s="144" t="s">
        <v>709</v>
      </c>
      <c r="C25" s="177">
        <v>0.3</v>
      </c>
      <c r="D25" s="177">
        <f t="shared" si="0"/>
        <v>2.6999999999999997</v>
      </c>
      <c r="E25" s="1">
        <f t="shared" si="1"/>
        <v>13.499999999999998</v>
      </c>
      <c r="F25" s="33">
        <f>D25*15</f>
        <v>40.499999999999993</v>
      </c>
      <c r="G25" s="33"/>
      <c r="H25" s="33"/>
      <c r="I25" s="33"/>
      <c r="K25" s="33">
        <f t="shared" si="2"/>
        <v>107.99999999999999</v>
      </c>
      <c r="P25" s="33"/>
    </row>
    <row r="26" spans="1:16">
      <c r="A26" s="141"/>
      <c r="B26" s="144" t="s">
        <v>710</v>
      </c>
      <c r="C26" s="177">
        <v>0.5</v>
      </c>
      <c r="D26" s="177">
        <f t="shared" si="0"/>
        <v>4.5</v>
      </c>
      <c r="E26" s="1">
        <f t="shared" si="1"/>
        <v>22.5</v>
      </c>
      <c r="F26" s="33">
        <f>D26*15</f>
        <v>67.5</v>
      </c>
      <c r="G26" s="33"/>
      <c r="H26" s="33"/>
      <c r="I26" s="33"/>
      <c r="K26" s="33">
        <f t="shared" si="2"/>
        <v>180</v>
      </c>
      <c r="P26" s="33"/>
    </row>
    <row r="27" spans="1:16">
      <c r="A27" s="141"/>
      <c r="B27" s="144" t="s">
        <v>711</v>
      </c>
      <c r="C27" s="177">
        <v>0.3</v>
      </c>
      <c r="D27" s="177">
        <f t="shared" si="0"/>
        <v>2.6999999999999997</v>
      </c>
      <c r="E27" s="1">
        <f t="shared" si="1"/>
        <v>13.499999999999998</v>
      </c>
      <c r="F27" s="33"/>
      <c r="G27" s="33"/>
      <c r="H27" s="33"/>
      <c r="I27" s="33">
        <f>D27*15</f>
        <v>40.499999999999993</v>
      </c>
      <c r="K27" s="33">
        <f t="shared" si="2"/>
        <v>107.99999999999999</v>
      </c>
      <c r="P27" s="33"/>
    </row>
    <row r="28" spans="1:16">
      <c r="A28" s="141"/>
      <c r="B28" s="144" t="s">
        <v>712</v>
      </c>
      <c r="C28" s="177">
        <v>0.3</v>
      </c>
      <c r="D28" s="177">
        <f t="shared" si="0"/>
        <v>2.6999999999999997</v>
      </c>
      <c r="E28" s="1">
        <f t="shared" si="1"/>
        <v>13.499999999999998</v>
      </c>
      <c r="F28" s="33"/>
      <c r="G28" s="33">
        <f>D28*12</f>
        <v>32.4</v>
      </c>
      <c r="H28" s="33"/>
      <c r="I28" s="33"/>
      <c r="K28" s="33">
        <f t="shared" si="2"/>
        <v>107.99999999999999</v>
      </c>
      <c r="P28" s="33"/>
    </row>
    <row r="29" spans="1:16">
      <c r="A29" s="140"/>
      <c r="B29" s="144" t="s">
        <v>713</v>
      </c>
      <c r="C29" s="177">
        <v>0.5</v>
      </c>
      <c r="D29" s="177">
        <f t="shared" si="0"/>
        <v>4.5</v>
      </c>
      <c r="E29" s="1">
        <f t="shared" si="1"/>
        <v>22.5</v>
      </c>
      <c r="F29" s="33"/>
      <c r="G29" s="33"/>
      <c r="H29" s="33"/>
      <c r="I29" s="33">
        <f>D29*15</f>
        <v>67.5</v>
      </c>
      <c r="K29" s="33">
        <f t="shared" si="2"/>
        <v>180</v>
      </c>
      <c r="P29" s="33"/>
    </row>
    <row r="30" spans="1:16">
      <c r="A30" s="141"/>
      <c r="B30" s="144" t="s">
        <v>714</v>
      </c>
      <c r="C30" s="177">
        <v>0.3</v>
      </c>
      <c r="D30" s="177">
        <f t="shared" si="0"/>
        <v>2.6999999999999997</v>
      </c>
      <c r="E30" s="1">
        <f t="shared" si="1"/>
        <v>13.499999999999998</v>
      </c>
      <c r="F30" s="33"/>
      <c r="G30" s="33">
        <f>D30*12</f>
        <v>32.4</v>
      </c>
      <c r="H30" s="33"/>
      <c r="I30" s="33"/>
      <c r="K30" s="33">
        <f t="shared" si="2"/>
        <v>107.99999999999999</v>
      </c>
      <c r="P30" s="33"/>
    </row>
    <row r="31" spans="1:16">
      <c r="A31" s="141"/>
      <c r="B31" s="144" t="s">
        <v>715</v>
      </c>
      <c r="C31" s="177">
        <v>0.3</v>
      </c>
      <c r="D31" s="177">
        <f t="shared" si="0"/>
        <v>2.6999999999999997</v>
      </c>
      <c r="E31" s="1">
        <f t="shared" si="1"/>
        <v>13.499999999999998</v>
      </c>
      <c r="F31" s="33"/>
      <c r="G31" s="33">
        <f>D31*12</f>
        <v>32.4</v>
      </c>
      <c r="H31" s="33"/>
      <c r="I31" s="33"/>
      <c r="K31" s="33">
        <f t="shared" si="2"/>
        <v>107.99999999999999</v>
      </c>
      <c r="P31" s="33"/>
    </row>
    <row r="32" spans="1:16" ht="25" customHeight="1">
      <c r="A32" s="125" t="s">
        <v>81</v>
      </c>
      <c r="B32" s="125" t="s">
        <v>196</v>
      </c>
      <c r="C32" s="23"/>
      <c r="D32" s="23"/>
      <c r="E32" s="23"/>
      <c r="F32" s="23"/>
      <c r="G32" s="23"/>
      <c r="H32" s="23"/>
      <c r="I32" s="23"/>
      <c r="J32" s="23"/>
      <c r="K32" s="23"/>
    </row>
    <row r="33" spans="1:19">
      <c r="A33" s="141"/>
      <c r="B33" s="144" t="s">
        <v>716</v>
      </c>
      <c r="C33" s="177">
        <v>1.4</v>
      </c>
      <c r="D33" s="177">
        <f t="shared" ref="D33:D37" si="3">C33*9</f>
        <v>12.6</v>
      </c>
      <c r="E33" s="1">
        <f>D33*5</f>
        <v>63</v>
      </c>
      <c r="F33" s="33"/>
      <c r="G33" s="33"/>
      <c r="H33" s="33"/>
      <c r="I33" s="33">
        <f>D33*15</f>
        <v>189</v>
      </c>
      <c r="K33" s="33">
        <f>D33*35</f>
        <v>441</v>
      </c>
    </row>
    <row r="34" spans="1:19">
      <c r="A34" s="141"/>
      <c r="B34" s="169" t="s">
        <v>717</v>
      </c>
      <c r="C34" s="177">
        <v>0.3</v>
      </c>
      <c r="D34" s="177">
        <f t="shared" si="3"/>
        <v>2.6999999999999997</v>
      </c>
      <c r="E34" s="1">
        <f t="shared" ref="E34:E40" si="4">D34*5</f>
        <v>13.499999999999998</v>
      </c>
      <c r="F34" s="33">
        <f>D34*15</f>
        <v>40.499999999999993</v>
      </c>
      <c r="G34" s="33"/>
      <c r="I34" s="33"/>
      <c r="K34" s="33">
        <f t="shared" ref="K34:K40" si="5">D34*35</f>
        <v>94.499999999999986</v>
      </c>
    </row>
    <row r="35" spans="1:19">
      <c r="A35" s="141"/>
      <c r="B35" s="169" t="s">
        <v>718</v>
      </c>
      <c r="C35" s="177">
        <v>0.3</v>
      </c>
      <c r="D35" s="177">
        <f t="shared" si="3"/>
        <v>2.6999999999999997</v>
      </c>
      <c r="E35" s="1">
        <f t="shared" si="4"/>
        <v>13.499999999999998</v>
      </c>
      <c r="F35" s="33">
        <f>D35*15</f>
        <v>40.499999999999993</v>
      </c>
      <c r="G35" s="33"/>
      <c r="H35" s="33"/>
      <c r="I35" s="33"/>
      <c r="K35" s="33">
        <f t="shared" si="5"/>
        <v>94.499999999999986</v>
      </c>
    </row>
    <row r="36" spans="1:19">
      <c r="A36" s="141"/>
      <c r="B36" s="144" t="s">
        <v>719</v>
      </c>
      <c r="C36" s="177">
        <v>0.3</v>
      </c>
      <c r="D36" s="177">
        <f t="shared" si="3"/>
        <v>2.6999999999999997</v>
      </c>
      <c r="E36" s="1">
        <f t="shared" si="4"/>
        <v>13.499999999999998</v>
      </c>
      <c r="F36" s="33"/>
      <c r="G36" s="33">
        <f>D36*12</f>
        <v>32.4</v>
      </c>
      <c r="I36" s="33"/>
      <c r="K36" s="33">
        <f t="shared" si="5"/>
        <v>94.499999999999986</v>
      </c>
    </row>
    <row r="37" spans="1:19">
      <c r="A37" s="141"/>
      <c r="B37" s="167" t="s">
        <v>720</v>
      </c>
      <c r="C37" s="177">
        <v>0.5</v>
      </c>
      <c r="D37" s="177">
        <f t="shared" si="3"/>
        <v>4.5</v>
      </c>
      <c r="E37" s="1">
        <f t="shared" si="4"/>
        <v>22.5</v>
      </c>
      <c r="F37" s="33"/>
      <c r="G37" s="33">
        <f>D37*12</f>
        <v>54</v>
      </c>
      <c r="H37" s="33"/>
      <c r="I37" s="33"/>
      <c r="K37" s="33">
        <f t="shared" si="5"/>
        <v>157.5</v>
      </c>
    </row>
    <row r="38" spans="1:19">
      <c r="A38" s="141"/>
      <c r="B38" s="167" t="s">
        <v>721</v>
      </c>
      <c r="C38" s="177">
        <v>0.5</v>
      </c>
      <c r="D38" s="177">
        <f>C38*9</f>
        <v>4.5</v>
      </c>
      <c r="E38" s="1">
        <f t="shared" si="4"/>
        <v>22.5</v>
      </c>
      <c r="F38" s="33">
        <f>D38*15</f>
        <v>67.5</v>
      </c>
      <c r="G38" s="33"/>
      <c r="H38" s="33"/>
      <c r="I38" s="33"/>
      <c r="K38" s="33">
        <f t="shared" si="5"/>
        <v>157.5</v>
      </c>
    </row>
    <row r="39" spans="1:19">
      <c r="A39" s="141"/>
      <c r="B39" s="167" t="s">
        <v>722</v>
      </c>
      <c r="C39" s="177">
        <v>1.5</v>
      </c>
      <c r="D39" s="177">
        <f t="shared" ref="D39:D40" si="6">C39*9</f>
        <v>13.5</v>
      </c>
      <c r="E39" s="1">
        <f t="shared" si="4"/>
        <v>67.5</v>
      </c>
      <c r="F39" s="33"/>
      <c r="G39" s="33"/>
      <c r="H39" s="33">
        <f>D39*15</f>
        <v>202.5</v>
      </c>
      <c r="I39" s="33"/>
      <c r="K39" s="33">
        <f t="shared" si="5"/>
        <v>472.5</v>
      </c>
    </row>
    <row r="40" spans="1:19">
      <c r="A40" s="141"/>
      <c r="B40" s="167" t="s">
        <v>723</v>
      </c>
      <c r="C40" s="177">
        <v>1.5</v>
      </c>
      <c r="D40" s="177">
        <f t="shared" si="6"/>
        <v>13.5</v>
      </c>
      <c r="E40" s="1">
        <f t="shared" si="4"/>
        <v>67.5</v>
      </c>
      <c r="F40" s="33"/>
      <c r="G40" s="33"/>
      <c r="H40" s="33"/>
      <c r="I40" s="33">
        <f>D40*15</f>
        <v>202.5</v>
      </c>
      <c r="K40" s="33">
        <f t="shared" si="5"/>
        <v>472.5</v>
      </c>
    </row>
    <row r="41" spans="1:19">
      <c r="A41" s="118" t="s">
        <v>199</v>
      </c>
      <c r="B41" s="57"/>
      <c r="C41" s="11">
        <f>SUM(C4:C40)</f>
        <v>16.800000000000004</v>
      </c>
      <c r="D41" s="11">
        <f>SUM(D4:D40)</f>
        <v>151.20000000000005</v>
      </c>
      <c r="E41" s="112">
        <f>SUM(E4:E40)</f>
        <v>756</v>
      </c>
      <c r="F41" s="112">
        <f>SUM(F4:F39)</f>
        <v>675</v>
      </c>
      <c r="G41" s="112">
        <f>SUM(G4:G40)</f>
        <v>442.7999999999999</v>
      </c>
      <c r="H41" s="112">
        <f>SUM(H4:H40)</f>
        <v>202.5</v>
      </c>
      <c r="I41" s="112">
        <f>SUM(I4:I40)</f>
        <v>837</v>
      </c>
      <c r="J41" s="59">
        <f>SUM(E41:I41)</f>
        <v>2913.3</v>
      </c>
      <c r="K41" s="60">
        <f>SUM(K4:K40)</f>
        <v>5764.5</v>
      </c>
      <c r="L41" s="39"/>
      <c r="M41" s="29" t="s">
        <v>2</v>
      </c>
      <c r="N41" s="16" t="s">
        <v>1</v>
      </c>
    </row>
    <row r="42" spans="1:19">
      <c r="E42" s="7">
        <f t="shared" ref="E42:K42" si="7">E41*40</f>
        <v>30240</v>
      </c>
      <c r="F42" s="7">
        <f>F41*40</f>
        <v>27000</v>
      </c>
      <c r="G42" s="7">
        <f>G41*40</f>
        <v>17711.999999999996</v>
      </c>
      <c r="H42" s="7">
        <f>H41*41.3</f>
        <v>8363.25</v>
      </c>
      <c r="I42" s="7">
        <f>I41*41.3</f>
        <v>34568.1</v>
      </c>
      <c r="J42" s="7">
        <f t="shared" si="7"/>
        <v>116532</v>
      </c>
      <c r="K42" s="7">
        <f t="shared" si="7"/>
        <v>230580</v>
      </c>
      <c r="L42" s="5" t="s">
        <v>4</v>
      </c>
      <c r="M42" s="7">
        <f t="shared" ref="M42:M44" si="8">N42*40</f>
        <v>230580</v>
      </c>
      <c r="N42" s="8">
        <f>K41</f>
        <v>5764.5</v>
      </c>
      <c r="S42" s="4"/>
    </row>
    <row r="43" spans="1:19">
      <c r="G43" s="33"/>
      <c r="H43" s="123"/>
      <c r="I43" s="123"/>
      <c r="L43" s="5" t="s">
        <v>3</v>
      </c>
      <c r="M43" s="7">
        <f t="shared" si="8"/>
        <v>219051</v>
      </c>
      <c r="N43" s="8">
        <f>N42-N42*0.05</f>
        <v>5476.2749999999996</v>
      </c>
    </row>
    <row r="44" spans="1:19">
      <c r="B44" s="1"/>
      <c r="E44" s="21"/>
      <c r="F44" s="1">
        <v>45</v>
      </c>
      <c r="G44" s="33">
        <v>36.9</v>
      </c>
      <c r="H44" s="1">
        <v>13.5</v>
      </c>
      <c r="I44" s="1">
        <v>55.8</v>
      </c>
      <c r="L44" s="5" t="s">
        <v>5</v>
      </c>
      <c r="M44" s="7">
        <f t="shared" si="8"/>
        <v>116532</v>
      </c>
      <c r="N44" s="8">
        <f>J41</f>
        <v>2913.3</v>
      </c>
    </row>
    <row r="45" spans="1:19">
      <c r="B45" s="1"/>
      <c r="F45" s="1">
        <f>F44*15</f>
        <v>675</v>
      </c>
      <c r="G45" s="1">
        <f t="shared" ref="G45:I45" si="9">G44*15</f>
        <v>553.5</v>
      </c>
      <c r="H45" s="1">
        <f t="shared" si="9"/>
        <v>202.5</v>
      </c>
      <c r="I45" s="1">
        <f t="shared" si="9"/>
        <v>837</v>
      </c>
      <c r="L45" s="37" t="s">
        <v>18</v>
      </c>
      <c r="M45" s="7">
        <f>N45*40</f>
        <v>102518.99999999997</v>
      </c>
      <c r="N45" s="8">
        <f>N43-N44</f>
        <v>2562.9749999999995</v>
      </c>
    </row>
    <row r="46" spans="1:19">
      <c r="B46" s="1"/>
    </row>
    <row r="47" spans="1:19">
      <c r="B47" s="1"/>
    </row>
    <row r="48" spans="1:19">
      <c r="B48" s="1"/>
    </row>
    <row r="49" spans="2:11">
      <c r="B49" s="144"/>
      <c r="C49" s="166"/>
      <c r="D49" s="176"/>
    </row>
    <row r="50" spans="2:11">
      <c r="B50" s="169"/>
      <c r="C50" s="166"/>
      <c r="D50" s="176"/>
    </row>
    <row r="51" spans="2:11">
      <c r="B51" s="169"/>
      <c r="C51" s="166"/>
      <c r="D51" s="176"/>
    </row>
    <row r="52" spans="2:11">
      <c r="B52" s="144"/>
      <c r="C52" s="166"/>
      <c r="D52" s="176"/>
    </row>
    <row r="53" spans="2:11">
      <c r="B53" s="167"/>
      <c r="C53" s="166"/>
      <c r="D53" s="176"/>
    </row>
    <row r="54" spans="2:11">
      <c r="B54" s="169"/>
      <c r="C54" s="166"/>
      <c r="D54" s="176"/>
      <c r="I54" s="144"/>
      <c r="J54" s="166"/>
      <c r="K54" s="176"/>
    </row>
    <row r="55" spans="2:11">
      <c r="B55" s="169"/>
      <c r="C55" s="166"/>
      <c r="D55" s="176"/>
      <c r="I55" s="169"/>
      <c r="J55" s="166"/>
      <c r="K55" s="176"/>
    </row>
    <row r="56" spans="2:11">
      <c r="B56" s="169"/>
      <c r="C56" s="166"/>
      <c r="D56" s="176"/>
      <c r="I56" s="169"/>
      <c r="J56" s="166"/>
      <c r="K56" s="176"/>
    </row>
    <row r="57" spans="2:11">
      <c r="B57" s="169"/>
      <c r="C57" s="166"/>
      <c r="D57" s="176"/>
      <c r="I57" s="144"/>
      <c r="J57" s="166"/>
      <c r="K57" s="176"/>
    </row>
    <row r="58" spans="2:11">
      <c r="B58" s="169"/>
      <c r="C58" s="171"/>
      <c r="D58" s="176"/>
      <c r="I58" s="167"/>
      <c r="J58" s="166"/>
      <c r="K58" s="176"/>
    </row>
    <row r="59" spans="2:11">
      <c r="B59" s="169"/>
      <c r="C59" s="171"/>
      <c r="D59" s="176"/>
      <c r="I59" s="169"/>
      <c r="J59" s="166"/>
      <c r="K59" s="176"/>
    </row>
    <row r="60" spans="2:11">
      <c r="B60" s="169"/>
      <c r="C60" s="171"/>
      <c r="D60" s="176"/>
      <c r="I60" s="169"/>
      <c r="J60" s="166"/>
      <c r="K60" s="176"/>
    </row>
    <row r="61" spans="2:11">
      <c r="B61" s="169"/>
      <c r="C61" s="166"/>
      <c r="D61" s="176"/>
      <c r="I61" s="169"/>
      <c r="J61" s="166"/>
      <c r="K61" s="176"/>
    </row>
    <row r="62" spans="2:11">
      <c r="B62" s="1"/>
      <c r="I62" s="169"/>
      <c r="J62" s="166"/>
      <c r="K62" s="176"/>
    </row>
    <row r="63" spans="2:11">
      <c r="B63" s="1"/>
      <c r="I63" s="169"/>
      <c r="J63" s="171"/>
      <c r="K63" s="176"/>
    </row>
    <row r="64" spans="2:11">
      <c r="I64" s="169"/>
      <c r="J64" s="171"/>
      <c r="K64" s="176"/>
    </row>
    <row r="65" spans="9:11">
      <c r="I65" s="169"/>
      <c r="J65" s="171"/>
      <c r="K65" s="176"/>
    </row>
    <row r="66" spans="9:11">
      <c r="I66" s="169"/>
      <c r="J66" s="166"/>
      <c r="K66" s="176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6320-1845-0445-8DB9-3218901FFFF0}">
  <dimension ref="A1:S51"/>
  <sheetViews>
    <sheetView zoomScaleNormal="100" workbookViewId="0">
      <pane ySplit="2" topLeftCell="A3" activePane="bottomLeft" state="frozen"/>
      <selection pane="bottomLeft" activeCell="B48" sqref="B48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165" t="s">
        <v>619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173"/>
      <c r="B6" s="144" t="s">
        <v>672</v>
      </c>
      <c r="C6" s="166">
        <v>0.2</v>
      </c>
      <c r="D6" s="172">
        <f t="shared" ref="D6:D9" si="0">C6*9</f>
        <v>1.8</v>
      </c>
      <c r="E6" s="1">
        <f>D6*5</f>
        <v>9</v>
      </c>
      <c r="F6" s="33">
        <f>D6*15</f>
        <v>27</v>
      </c>
      <c r="G6" s="33"/>
      <c r="H6" s="33"/>
      <c r="I6" s="33"/>
      <c r="K6" s="33">
        <f>D6*40</f>
        <v>72</v>
      </c>
      <c r="P6" s="33"/>
    </row>
    <row r="7" spans="1:16">
      <c r="B7" s="144" t="s">
        <v>673</v>
      </c>
      <c r="C7" s="166">
        <v>0.3</v>
      </c>
      <c r="D7" s="134">
        <f t="shared" si="0"/>
        <v>2.6999999999999997</v>
      </c>
      <c r="E7" s="1">
        <f t="shared" ref="E7:E9" si="1">D7*5</f>
        <v>13.499999999999998</v>
      </c>
      <c r="F7" s="33">
        <f t="shared" ref="F7:F9" si="2">D7*15</f>
        <v>40.499999999999993</v>
      </c>
      <c r="G7" s="33"/>
      <c r="H7" s="33"/>
      <c r="I7" s="33"/>
      <c r="K7" s="33">
        <f t="shared" ref="K7:K9" si="3">D7*40</f>
        <v>107.99999999999999</v>
      </c>
      <c r="P7" s="33"/>
    </row>
    <row r="8" spans="1:16">
      <c r="B8" s="144" t="s">
        <v>674</v>
      </c>
      <c r="C8" s="166">
        <v>0.3</v>
      </c>
      <c r="D8" s="134">
        <f t="shared" si="0"/>
        <v>2.6999999999999997</v>
      </c>
      <c r="E8" s="1">
        <f t="shared" si="1"/>
        <v>13.499999999999998</v>
      </c>
      <c r="F8" s="33">
        <f t="shared" si="2"/>
        <v>40.499999999999993</v>
      </c>
      <c r="G8" s="33"/>
      <c r="H8" s="33"/>
      <c r="I8" s="33"/>
      <c r="K8" s="33">
        <f t="shared" si="3"/>
        <v>107.99999999999999</v>
      </c>
      <c r="P8" s="33"/>
    </row>
    <row r="9" spans="1:16">
      <c r="B9" s="144" t="s">
        <v>675</v>
      </c>
      <c r="C9" s="166">
        <v>0.3</v>
      </c>
      <c r="D9" s="134">
        <f t="shared" si="0"/>
        <v>2.6999999999999997</v>
      </c>
      <c r="E9" s="1">
        <f t="shared" si="1"/>
        <v>13.499999999999998</v>
      </c>
      <c r="F9" s="33">
        <f t="shared" si="2"/>
        <v>40.499999999999993</v>
      </c>
      <c r="G9" s="33"/>
      <c r="H9" s="33"/>
      <c r="I9" s="33"/>
      <c r="K9" s="33">
        <f t="shared" si="3"/>
        <v>107.99999999999999</v>
      </c>
      <c r="P9" s="33"/>
    </row>
    <row r="10" spans="1:16">
      <c r="B10" s="144"/>
      <c r="C10" s="166"/>
      <c r="D10" s="134"/>
      <c r="G10" s="33"/>
      <c r="H10" s="33"/>
      <c r="I10" s="33"/>
      <c r="K10" s="33"/>
      <c r="P10" s="33"/>
    </row>
    <row r="11" spans="1:16" ht="25" customHeight="1">
      <c r="A11" s="125" t="s">
        <v>81</v>
      </c>
      <c r="B11" s="125" t="s">
        <v>196</v>
      </c>
      <c r="C11" s="23"/>
      <c r="D11" s="23"/>
      <c r="E11" s="23"/>
      <c r="F11" s="23"/>
      <c r="G11" s="23"/>
      <c r="H11" s="23"/>
      <c r="I11" s="23"/>
      <c r="J11" s="23"/>
      <c r="K11" s="23"/>
    </row>
    <row r="12" spans="1:16">
      <c r="A12" s="174"/>
      <c r="B12" s="144" t="s">
        <v>676</v>
      </c>
      <c r="C12" s="166">
        <v>0.3</v>
      </c>
      <c r="D12" s="176">
        <v>2.7</v>
      </c>
      <c r="E12" s="1">
        <f>D12*5</f>
        <v>13.5</v>
      </c>
      <c r="F12" s="33"/>
      <c r="G12" s="33">
        <f>D12*12</f>
        <v>32.400000000000006</v>
      </c>
      <c r="H12" s="33"/>
      <c r="I12" s="33"/>
      <c r="K12" s="33">
        <f>D12*35</f>
        <v>94.5</v>
      </c>
    </row>
    <row r="13" spans="1:16">
      <c r="A13" s="174"/>
      <c r="B13" s="169" t="s">
        <v>677</v>
      </c>
      <c r="C13" s="166">
        <v>0.3</v>
      </c>
      <c r="D13" s="176">
        <v>2.7</v>
      </c>
      <c r="E13" s="1">
        <f t="shared" ref="E13:E24" si="4">D13*5</f>
        <v>13.5</v>
      </c>
      <c r="F13" s="33"/>
      <c r="G13" s="33">
        <f t="shared" ref="G13:G14" si="5">D13*12</f>
        <v>32.400000000000006</v>
      </c>
      <c r="I13" s="33"/>
      <c r="K13" s="33">
        <f t="shared" ref="K13:K24" si="6">D13*35</f>
        <v>94.5</v>
      </c>
    </row>
    <row r="14" spans="1:16">
      <c r="A14" s="174"/>
      <c r="B14" s="169" t="s">
        <v>678</v>
      </c>
      <c r="C14" s="166">
        <v>0.3</v>
      </c>
      <c r="D14" s="176">
        <v>2.7</v>
      </c>
      <c r="E14" s="1">
        <f t="shared" si="4"/>
        <v>13.5</v>
      </c>
      <c r="F14" s="33"/>
      <c r="G14" s="33">
        <f t="shared" si="5"/>
        <v>32.400000000000006</v>
      </c>
      <c r="H14" s="33"/>
      <c r="I14" s="33"/>
      <c r="K14" s="33">
        <f t="shared" si="6"/>
        <v>94.5</v>
      </c>
    </row>
    <row r="15" spans="1:16">
      <c r="A15" s="174"/>
      <c r="B15" s="144" t="s">
        <v>679</v>
      </c>
      <c r="C15" s="166">
        <v>1.5</v>
      </c>
      <c r="D15" s="176">
        <v>13.5</v>
      </c>
      <c r="E15" s="1">
        <f t="shared" si="4"/>
        <v>67.5</v>
      </c>
      <c r="F15" s="33"/>
      <c r="H15" s="33">
        <f>D15*15</f>
        <v>202.5</v>
      </c>
      <c r="I15" s="33"/>
      <c r="K15" s="33">
        <f t="shared" si="6"/>
        <v>472.5</v>
      </c>
    </row>
    <row r="16" spans="1:16">
      <c r="A16" s="174"/>
      <c r="B16" s="167" t="s">
        <v>680</v>
      </c>
      <c r="C16" s="166">
        <v>1.1299999999999999</v>
      </c>
      <c r="D16" s="176">
        <v>10.17</v>
      </c>
      <c r="E16" s="1">
        <f t="shared" si="4"/>
        <v>50.85</v>
      </c>
      <c r="F16" s="33"/>
      <c r="G16" s="33"/>
      <c r="H16" s="33"/>
      <c r="I16" s="33">
        <f>D16*15</f>
        <v>152.55000000000001</v>
      </c>
      <c r="K16" s="33">
        <f t="shared" si="6"/>
        <v>355.95</v>
      </c>
    </row>
    <row r="17" spans="1:19">
      <c r="A17" s="174"/>
      <c r="B17" s="169" t="s">
        <v>681</v>
      </c>
      <c r="C17" s="166">
        <v>0.3</v>
      </c>
      <c r="D17" s="176">
        <v>2.7</v>
      </c>
      <c r="E17" s="1">
        <f t="shared" si="4"/>
        <v>13.5</v>
      </c>
      <c r="F17" s="33">
        <f>D17*15</f>
        <v>40.5</v>
      </c>
      <c r="G17" s="33"/>
      <c r="H17" s="33"/>
      <c r="I17" s="33"/>
      <c r="K17" s="33">
        <f t="shared" si="6"/>
        <v>94.5</v>
      </c>
    </row>
    <row r="18" spans="1:19">
      <c r="A18" s="174"/>
      <c r="B18" s="169" t="s">
        <v>682</v>
      </c>
      <c r="C18" s="166">
        <v>0.3</v>
      </c>
      <c r="D18" s="176">
        <v>2.7</v>
      </c>
      <c r="E18" s="1">
        <f t="shared" si="4"/>
        <v>13.5</v>
      </c>
      <c r="F18" s="33">
        <f>D18*15</f>
        <v>40.5</v>
      </c>
      <c r="G18" s="33"/>
      <c r="H18" s="33"/>
      <c r="I18" s="33"/>
      <c r="K18" s="33">
        <f t="shared" si="6"/>
        <v>94.5</v>
      </c>
    </row>
    <row r="19" spans="1:19">
      <c r="A19" s="174"/>
      <c r="B19" s="169" t="s">
        <v>683</v>
      </c>
      <c r="C19" s="166">
        <v>0.3</v>
      </c>
      <c r="D19" s="176">
        <v>2.7</v>
      </c>
      <c r="E19" s="1">
        <f t="shared" si="4"/>
        <v>13.5</v>
      </c>
      <c r="F19" s="33"/>
      <c r="G19" s="33">
        <f t="shared" ref="G19" si="7">D19*12</f>
        <v>32.400000000000006</v>
      </c>
      <c r="H19" s="33"/>
      <c r="I19" s="33"/>
      <c r="K19" s="33">
        <f t="shared" si="6"/>
        <v>94.5</v>
      </c>
    </row>
    <row r="20" spans="1:19">
      <c r="A20" s="174"/>
      <c r="B20" s="169" t="s">
        <v>684</v>
      </c>
      <c r="C20" s="166">
        <v>0.3</v>
      </c>
      <c r="D20" s="176">
        <v>2.7</v>
      </c>
      <c r="E20" s="1">
        <f t="shared" si="4"/>
        <v>13.5</v>
      </c>
      <c r="F20" s="33">
        <f>D20*15</f>
        <v>40.5</v>
      </c>
      <c r="G20" s="33"/>
      <c r="H20" s="33"/>
      <c r="I20" s="33"/>
      <c r="K20" s="33">
        <f t="shared" si="6"/>
        <v>94.5</v>
      </c>
      <c r="L20" s="33"/>
    </row>
    <row r="21" spans="1:19">
      <c r="A21" s="174"/>
      <c r="B21" s="169" t="s">
        <v>685</v>
      </c>
      <c r="C21" s="171">
        <v>0.5</v>
      </c>
      <c r="D21" s="176">
        <v>4.5</v>
      </c>
      <c r="E21" s="1">
        <f t="shared" si="4"/>
        <v>22.5</v>
      </c>
      <c r="F21" s="33"/>
      <c r="G21" s="33"/>
      <c r="H21" s="33"/>
      <c r="I21" s="33">
        <f>D21*15</f>
        <v>67.5</v>
      </c>
      <c r="K21" s="33">
        <f t="shared" si="6"/>
        <v>157.5</v>
      </c>
      <c r="L21" s="33"/>
    </row>
    <row r="22" spans="1:19">
      <c r="A22" s="174"/>
      <c r="B22" s="169" t="s">
        <v>686</v>
      </c>
      <c r="C22" s="171">
        <v>0.8</v>
      </c>
      <c r="D22" s="176">
        <v>7.2</v>
      </c>
      <c r="E22" s="1">
        <f t="shared" si="4"/>
        <v>36</v>
      </c>
      <c r="F22" s="33">
        <f>D22*15</f>
        <v>108</v>
      </c>
      <c r="G22" s="33"/>
      <c r="H22" s="33"/>
      <c r="I22" s="33"/>
      <c r="K22" s="33">
        <f t="shared" si="6"/>
        <v>252</v>
      </c>
      <c r="L22" s="33"/>
    </row>
    <row r="23" spans="1:19">
      <c r="A23" s="174"/>
      <c r="B23" s="169" t="s">
        <v>687</v>
      </c>
      <c r="C23" s="171">
        <v>0.8</v>
      </c>
      <c r="D23" s="176">
        <v>7.2</v>
      </c>
      <c r="E23" s="1">
        <f t="shared" si="4"/>
        <v>36</v>
      </c>
      <c r="F23" s="33"/>
      <c r="G23" s="33"/>
      <c r="H23" s="33"/>
      <c r="I23" s="33">
        <f>D23*15</f>
        <v>108</v>
      </c>
      <c r="K23" s="33">
        <f t="shared" si="6"/>
        <v>252</v>
      </c>
      <c r="L23" s="33"/>
    </row>
    <row r="24" spans="1:19">
      <c r="A24" s="174"/>
      <c r="B24" s="169" t="s">
        <v>688</v>
      </c>
      <c r="C24" s="166">
        <v>0.3</v>
      </c>
      <c r="D24" s="176">
        <v>2.7</v>
      </c>
      <c r="E24" s="1">
        <f t="shared" si="4"/>
        <v>13.5</v>
      </c>
      <c r="F24" s="33">
        <f>D24*15</f>
        <v>40.5</v>
      </c>
      <c r="G24" s="33"/>
      <c r="H24" s="33"/>
      <c r="I24" s="33"/>
      <c r="K24" s="33">
        <f t="shared" si="6"/>
        <v>94.5</v>
      </c>
      <c r="L24" s="33"/>
    </row>
    <row r="25" spans="1:19">
      <c r="B25" s="105"/>
      <c r="C25" s="128"/>
      <c r="F25" s="33"/>
      <c r="G25" s="33"/>
      <c r="H25" s="33"/>
      <c r="I25" s="33"/>
      <c r="K25" s="33"/>
    </row>
    <row r="26" spans="1:19">
      <c r="A26" s="118" t="s">
        <v>199</v>
      </c>
      <c r="B26" s="57"/>
      <c r="C26" s="11">
        <f t="shared" ref="C26:I26" si="8">SUM(C6:C25)</f>
        <v>8.2299999999999986</v>
      </c>
      <c r="D26" s="11">
        <f t="shared" si="8"/>
        <v>74.070000000000007</v>
      </c>
      <c r="E26" s="59">
        <f t="shared" si="8"/>
        <v>370.35</v>
      </c>
      <c r="F26" s="59">
        <f t="shared" si="8"/>
        <v>418.5</v>
      </c>
      <c r="G26" s="59">
        <f t="shared" si="8"/>
        <v>129.60000000000002</v>
      </c>
      <c r="H26" s="59">
        <f t="shared" si="8"/>
        <v>202.5</v>
      </c>
      <c r="I26" s="59">
        <f t="shared" si="8"/>
        <v>328.05</v>
      </c>
      <c r="J26" s="59">
        <f>SUM(E26:I26)</f>
        <v>1449</v>
      </c>
      <c r="K26" s="60">
        <f>SUM(K6:K24)</f>
        <v>2641.95</v>
      </c>
      <c r="L26" s="39"/>
      <c r="M26" s="29" t="s">
        <v>2</v>
      </c>
      <c r="N26" s="16" t="s">
        <v>1</v>
      </c>
    </row>
    <row r="27" spans="1:19">
      <c r="E27" s="164">
        <f t="shared" ref="E27:K27" si="9">E26*40</f>
        <v>14814</v>
      </c>
      <c r="F27" s="164">
        <f>F26*40</f>
        <v>16740</v>
      </c>
      <c r="G27" s="164">
        <f>G26*40</f>
        <v>5184.0000000000009</v>
      </c>
      <c r="H27" s="164">
        <f>H26*41.3</f>
        <v>8363.25</v>
      </c>
      <c r="I27" s="164">
        <f>I26*41.3</f>
        <v>13548.465</v>
      </c>
      <c r="J27" s="7">
        <f t="shared" si="9"/>
        <v>57960</v>
      </c>
      <c r="K27" s="7">
        <f t="shared" si="9"/>
        <v>105678</v>
      </c>
      <c r="L27" s="5" t="s">
        <v>4</v>
      </c>
      <c r="M27" s="7">
        <f t="shared" ref="M27:M29" si="10">N27*40</f>
        <v>105678</v>
      </c>
      <c r="N27" s="8">
        <f>K26</f>
        <v>2641.95</v>
      </c>
      <c r="S27" s="4"/>
    </row>
    <row r="28" spans="1:19">
      <c r="G28" s="33"/>
      <c r="H28" s="123"/>
      <c r="I28" s="123"/>
      <c r="L28" s="5" t="s">
        <v>3</v>
      </c>
      <c r="M28" s="7">
        <f t="shared" si="10"/>
        <v>100394.1</v>
      </c>
      <c r="N28" s="8">
        <f>N27-N27*0.05</f>
        <v>2509.8525</v>
      </c>
    </row>
    <row r="29" spans="1:19">
      <c r="B29" s="1"/>
      <c r="E29" s="21"/>
      <c r="G29" s="33"/>
      <c r="L29" s="5" t="s">
        <v>5</v>
      </c>
      <c r="M29" s="7">
        <f t="shared" si="10"/>
        <v>57960</v>
      </c>
      <c r="N29" s="8">
        <f>J26</f>
        <v>1449</v>
      </c>
    </row>
    <row r="30" spans="1:19">
      <c r="B30" s="1"/>
      <c r="L30" s="37" t="s">
        <v>18</v>
      </c>
      <c r="M30" s="7">
        <f>N30*40</f>
        <v>42434.1</v>
      </c>
      <c r="N30" s="8">
        <f>N28-N29</f>
        <v>1060.8525</v>
      </c>
    </row>
    <row r="31" spans="1:19">
      <c r="B31" s="1"/>
    </row>
    <row r="32" spans="1:19">
      <c r="B32" s="1"/>
    </row>
    <row r="33" spans="2:11">
      <c r="B33" s="1"/>
    </row>
    <row r="34" spans="2:11">
      <c r="B34" s="144"/>
      <c r="C34" s="166"/>
      <c r="D34" s="176"/>
    </row>
    <row r="35" spans="2:11">
      <c r="B35" s="169"/>
      <c r="C35" s="166"/>
      <c r="D35" s="176"/>
    </row>
    <row r="36" spans="2:11">
      <c r="B36" s="169"/>
      <c r="C36" s="166"/>
      <c r="D36" s="176"/>
    </row>
    <row r="37" spans="2:11">
      <c r="B37" s="144"/>
      <c r="C37" s="166"/>
      <c r="D37" s="176"/>
    </row>
    <row r="38" spans="2:11">
      <c r="B38" s="167"/>
      <c r="C38" s="166"/>
      <c r="D38" s="176"/>
    </row>
    <row r="39" spans="2:11">
      <c r="B39" s="169"/>
      <c r="C39" s="166"/>
      <c r="D39" s="176"/>
      <c r="I39" s="144"/>
      <c r="J39" s="166"/>
      <c r="K39" s="176"/>
    </row>
    <row r="40" spans="2:11">
      <c r="B40" s="169"/>
      <c r="C40" s="166"/>
      <c r="D40" s="176"/>
      <c r="I40" s="169"/>
      <c r="J40" s="166"/>
      <c r="K40" s="176"/>
    </row>
    <row r="41" spans="2:11">
      <c r="B41" s="169"/>
      <c r="C41" s="166"/>
      <c r="D41" s="176"/>
      <c r="I41" s="169"/>
      <c r="J41" s="166"/>
      <c r="K41" s="176"/>
    </row>
    <row r="42" spans="2:11">
      <c r="B42" s="169"/>
      <c r="C42" s="166"/>
      <c r="D42" s="176"/>
      <c r="I42" s="144"/>
      <c r="J42" s="166"/>
      <c r="K42" s="176"/>
    </row>
    <row r="43" spans="2:11">
      <c r="B43" s="169"/>
      <c r="C43" s="171"/>
      <c r="D43" s="176"/>
      <c r="I43" s="167"/>
      <c r="J43" s="166"/>
      <c r="K43" s="176"/>
    </row>
    <row r="44" spans="2:11">
      <c r="B44" s="169"/>
      <c r="C44" s="171"/>
      <c r="D44" s="176"/>
      <c r="I44" s="169"/>
      <c r="J44" s="166"/>
      <c r="K44" s="176"/>
    </row>
    <row r="45" spans="2:11">
      <c r="B45" s="169"/>
      <c r="C45" s="171"/>
      <c r="D45" s="176"/>
      <c r="I45" s="169"/>
      <c r="J45" s="166"/>
      <c r="K45" s="176"/>
    </row>
    <row r="46" spans="2:11">
      <c r="B46" s="169"/>
      <c r="C46" s="166"/>
      <c r="D46" s="176"/>
      <c r="I46" s="169"/>
      <c r="J46" s="166"/>
      <c r="K46" s="176"/>
    </row>
    <row r="47" spans="2:11">
      <c r="B47" s="1"/>
      <c r="I47" s="169"/>
      <c r="J47" s="166"/>
      <c r="K47" s="176"/>
    </row>
    <row r="48" spans="2:11">
      <c r="B48" s="1"/>
      <c r="I48" s="169"/>
      <c r="J48" s="171"/>
      <c r="K48" s="176"/>
    </row>
    <row r="49" spans="9:11">
      <c r="I49" s="169"/>
      <c r="J49" s="171"/>
      <c r="K49" s="176"/>
    </row>
    <row r="50" spans="9:11">
      <c r="I50" s="169"/>
      <c r="J50" s="171"/>
      <c r="K50" s="176"/>
    </row>
    <row r="51" spans="9:11">
      <c r="I51" s="169"/>
      <c r="J51" s="166"/>
      <c r="K51" s="17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9ACC-0645-4C4A-8349-CD2551EEAFF6}">
  <dimension ref="A1:S44"/>
  <sheetViews>
    <sheetView zoomScaleNormal="100" workbookViewId="0">
      <pane ySplit="2" topLeftCell="A3" activePane="bottomLeft" state="frozen"/>
      <selection pane="bottomLeft" activeCell="H37" sqref="H37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165" t="s">
        <v>619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173"/>
      <c r="B6" s="144" t="s">
        <v>658</v>
      </c>
      <c r="C6" s="166">
        <v>0.3</v>
      </c>
      <c r="D6" s="134">
        <f t="shared" ref="D6:D10" si="0">C6*9</f>
        <v>2.6999999999999997</v>
      </c>
      <c r="E6" s="1">
        <f>D6*5</f>
        <v>13.499999999999998</v>
      </c>
      <c r="F6" s="33">
        <f>D6*15</f>
        <v>40.499999999999993</v>
      </c>
      <c r="G6" s="33"/>
      <c r="H6" s="33"/>
      <c r="I6" s="33"/>
      <c r="K6" s="33">
        <f>D6*40</f>
        <v>107.99999999999999</v>
      </c>
      <c r="P6" s="33"/>
    </row>
    <row r="7" spans="1:16">
      <c r="B7" s="144" t="s">
        <v>659</v>
      </c>
      <c r="C7" s="166">
        <v>0.3</v>
      </c>
      <c r="D7" s="134">
        <f t="shared" si="0"/>
        <v>2.6999999999999997</v>
      </c>
      <c r="E7" s="1">
        <f t="shared" ref="E7:E10" si="1">D7*5</f>
        <v>13.499999999999998</v>
      </c>
      <c r="G7" s="33">
        <f>D7*12</f>
        <v>32.4</v>
      </c>
      <c r="H7" s="33"/>
      <c r="I7" s="33"/>
      <c r="K7" s="33">
        <f t="shared" ref="K7:K10" si="2">D7*40</f>
        <v>107.99999999999999</v>
      </c>
      <c r="P7" s="33"/>
    </row>
    <row r="8" spans="1:16">
      <c r="B8" s="144" t="s">
        <v>660</v>
      </c>
      <c r="C8" s="166">
        <v>0.3</v>
      </c>
      <c r="D8" s="134">
        <f t="shared" si="0"/>
        <v>2.6999999999999997</v>
      </c>
      <c r="E8" s="1">
        <f t="shared" si="1"/>
        <v>13.499999999999998</v>
      </c>
      <c r="G8" s="33">
        <f>D8*12</f>
        <v>32.4</v>
      </c>
      <c r="H8" s="33"/>
      <c r="I8" s="33"/>
      <c r="K8" s="33">
        <f t="shared" si="2"/>
        <v>107.99999999999999</v>
      </c>
      <c r="P8" s="33"/>
    </row>
    <row r="9" spans="1:16">
      <c r="B9" s="144" t="s">
        <v>661</v>
      </c>
      <c r="C9" s="166">
        <v>0.3</v>
      </c>
      <c r="D9" s="134">
        <f t="shared" si="0"/>
        <v>2.6999999999999997</v>
      </c>
      <c r="E9" s="1">
        <f t="shared" si="1"/>
        <v>13.499999999999998</v>
      </c>
      <c r="F9" s="33">
        <f>D9*15</f>
        <v>40.499999999999993</v>
      </c>
      <c r="G9" s="33"/>
      <c r="H9" s="33"/>
      <c r="I9" s="33"/>
      <c r="K9" s="33">
        <f t="shared" si="2"/>
        <v>107.99999999999999</v>
      </c>
      <c r="P9" s="33"/>
    </row>
    <row r="10" spans="1:16">
      <c r="B10" s="144" t="s">
        <v>662</v>
      </c>
      <c r="C10" s="166">
        <v>0.3</v>
      </c>
      <c r="D10" s="134">
        <f t="shared" si="0"/>
        <v>2.6999999999999997</v>
      </c>
      <c r="E10" s="1">
        <f t="shared" si="1"/>
        <v>13.499999999999998</v>
      </c>
      <c r="G10" s="33">
        <f>D10*12</f>
        <v>32.4</v>
      </c>
      <c r="H10" s="33"/>
      <c r="I10" s="33"/>
      <c r="K10" s="33">
        <f t="shared" si="2"/>
        <v>107.99999999999999</v>
      </c>
      <c r="P10" s="33"/>
    </row>
    <row r="11" spans="1:16" ht="25" customHeight="1">
      <c r="A11" s="125" t="s">
        <v>81</v>
      </c>
      <c r="B11" s="125" t="s">
        <v>196</v>
      </c>
      <c r="C11" s="23"/>
      <c r="D11" s="23"/>
      <c r="E11" s="23"/>
      <c r="F11" s="23"/>
      <c r="G11" s="23"/>
      <c r="H11" s="23"/>
      <c r="I11" s="23"/>
      <c r="J11" s="23"/>
      <c r="K11" s="23"/>
    </row>
    <row r="12" spans="1:16">
      <c r="A12" s="174"/>
      <c r="B12" s="144" t="s">
        <v>663</v>
      </c>
      <c r="C12" s="166">
        <v>0.5</v>
      </c>
      <c r="D12" s="172">
        <f>C12*9</f>
        <v>4.5</v>
      </c>
      <c r="E12" s="1">
        <f>D12*5</f>
        <v>22.5</v>
      </c>
      <c r="F12" s="33"/>
      <c r="G12" s="33">
        <f>D12*12</f>
        <v>54</v>
      </c>
      <c r="H12" s="33">
        <f>D12*15</f>
        <v>67.5</v>
      </c>
      <c r="I12" s="33"/>
      <c r="K12" s="33">
        <f>D12*35</f>
        <v>157.5</v>
      </c>
    </row>
    <row r="13" spans="1:16">
      <c r="A13" s="174"/>
      <c r="B13" s="169" t="s">
        <v>664</v>
      </c>
      <c r="C13" s="166">
        <v>0.3</v>
      </c>
      <c r="D13" s="172">
        <f t="shared" ref="D13:D20" si="3">C13*9</f>
        <v>2.6999999999999997</v>
      </c>
      <c r="E13" s="1">
        <f t="shared" ref="E13:E20" si="4">D13*5</f>
        <v>13.499999999999998</v>
      </c>
      <c r="F13" s="33">
        <f>D13*15</f>
        <v>40.499999999999993</v>
      </c>
      <c r="G13" s="135"/>
      <c r="I13" s="33"/>
      <c r="K13" s="33">
        <f t="shared" ref="K13:K20" si="5">D13*35</f>
        <v>94.499999999999986</v>
      </c>
    </row>
    <row r="14" spans="1:16">
      <c r="A14" s="174"/>
      <c r="B14" s="169" t="s">
        <v>665</v>
      </c>
      <c r="C14" s="166">
        <v>0.3</v>
      </c>
      <c r="D14" s="172">
        <f t="shared" si="3"/>
        <v>2.6999999999999997</v>
      </c>
      <c r="E14" s="1">
        <f t="shared" si="4"/>
        <v>13.499999999999998</v>
      </c>
      <c r="F14" s="33"/>
      <c r="G14" s="33">
        <f>D14*12</f>
        <v>32.4</v>
      </c>
      <c r="H14" s="33"/>
      <c r="I14" s="33"/>
      <c r="K14" s="33">
        <f t="shared" si="5"/>
        <v>94.499999999999986</v>
      </c>
    </row>
    <row r="15" spans="1:16">
      <c r="A15" s="174"/>
      <c r="B15" s="144" t="s">
        <v>649</v>
      </c>
      <c r="C15" s="166">
        <v>0.3</v>
      </c>
      <c r="D15" s="172">
        <f t="shared" si="3"/>
        <v>2.6999999999999997</v>
      </c>
      <c r="E15" s="1">
        <f t="shared" si="4"/>
        <v>13.499999999999998</v>
      </c>
      <c r="F15" s="33">
        <f>D15*15</f>
        <v>40.499999999999993</v>
      </c>
      <c r="H15" s="33"/>
      <c r="I15" s="33"/>
      <c r="K15" s="33">
        <f t="shared" si="5"/>
        <v>94.499999999999986</v>
      </c>
    </row>
    <row r="16" spans="1:16">
      <c r="A16" s="174"/>
      <c r="B16" s="167" t="s">
        <v>666</v>
      </c>
      <c r="C16" s="166">
        <v>0.3</v>
      </c>
      <c r="D16" s="172">
        <f t="shared" si="3"/>
        <v>2.6999999999999997</v>
      </c>
      <c r="E16" s="1">
        <f t="shared" si="4"/>
        <v>13.499999999999998</v>
      </c>
      <c r="F16" s="33"/>
      <c r="G16" s="33">
        <f>D16*12</f>
        <v>32.4</v>
      </c>
      <c r="H16" s="33"/>
      <c r="I16" s="33"/>
      <c r="K16" s="33">
        <f t="shared" si="5"/>
        <v>94.499999999999986</v>
      </c>
    </row>
    <row r="17" spans="1:19">
      <c r="A17" s="174"/>
      <c r="B17" s="169" t="s">
        <v>667</v>
      </c>
      <c r="C17" s="166">
        <v>0.3</v>
      </c>
      <c r="D17" s="172">
        <f t="shared" si="3"/>
        <v>2.6999999999999997</v>
      </c>
      <c r="E17" s="1">
        <f t="shared" si="4"/>
        <v>13.499999999999998</v>
      </c>
      <c r="F17" s="33">
        <f>D17*15</f>
        <v>40.499999999999993</v>
      </c>
      <c r="G17" s="33"/>
      <c r="H17" s="33"/>
      <c r="I17" s="33"/>
      <c r="K17" s="33">
        <f t="shared" si="5"/>
        <v>94.499999999999986</v>
      </c>
    </row>
    <row r="18" spans="1:19">
      <c r="A18" s="174"/>
      <c r="B18" s="169" t="s">
        <v>668</v>
      </c>
      <c r="C18" s="166">
        <v>0.3</v>
      </c>
      <c r="D18" s="172">
        <f t="shared" si="3"/>
        <v>2.6999999999999997</v>
      </c>
      <c r="E18" s="1">
        <f t="shared" si="4"/>
        <v>13.499999999999998</v>
      </c>
      <c r="F18" s="33"/>
      <c r="G18" s="33">
        <f>D18*12</f>
        <v>32.4</v>
      </c>
      <c r="H18" s="33"/>
      <c r="I18" s="33"/>
      <c r="K18" s="33">
        <f t="shared" si="5"/>
        <v>94.499999999999986</v>
      </c>
    </row>
    <row r="19" spans="1:19">
      <c r="A19" s="174"/>
      <c r="B19" s="169" t="s">
        <v>669</v>
      </c>
      <c r="C19" s="166">
        <v>0.3</v>
      </c>
      <c r="D19" s="172">
        <f t="shared" si="3"/>
        <v>2.6999999999999997</v>
      </c>
      <c r="E19" s="1">
        <f t="shared" si="4"/>
        <v>13.499999999999998</v>
      </c>
      <c r="F19" s="33">
        <f>D19*15</f>
        <v>40.499999999999993</v>
      </c>
      <c r="G19" s="33"/>
      <c r="H19" s="33"/>
      <c r="I19" s="33"/>
      <c r="K19" s="33">
        <f t="shared" si="5"/>
        <v>94.499999999999986</v>
      </c>
    </row>
    <row r="20" spans="1:19">
      <c r="A20" s="174"/>
      <c r="B20" s="169" t="s">
        <v>670</v>
      </c>
      <c r="C20" s="166">
        <v>0.3</v>
      </c>
      <c r="D20" s="172">
        <f t="shared" si="3"/>
        <v>2.6999999999999997</v>
      </c>
      <c r="E20" s="1">
        <f t="shared" si="4"/>
        <v>13.499999999999998</v>
      </c>
      <c r="F20" s="33"/>
      <c r="G20" s="33">
        <f>D20*12</f>
        <v>32.4</v>
      </c>
      <c r="H20" s="33"/>
      <c r="I20" s="33"/>
      <c r="K20" s="33">
        <f t="shared" si="5"/>
        <v>94.499999999999986</v>
      </c>
      <c r="L20" s="33"/>
    </row>
    <row r="21" spans="1:19">
      <c r="B21" s="105"/>
      <c r="C21" s="128"/>
      <c r="F21" s="33"/>
      <c r="G21" s="33"/>
      <c r="H21" s="33"/>
      <c r="I21" s="33"/>
      <c r="K21" s="33"/>
    </row>
    <row r="22" spans="1:19">
      <c r="A22" s="118" t="s">
        <v>199</v>
      </c>
      <c r="B22" s="57"/>
      <c r="C22" s="11">
        <f t="shared" ref="C22:I22" si="6">SUM(C6:C21)</f>
        <v>4.3999999999999986</v>
      </c>
      <c r="D22" s="11">
        <f t="shared" si="6"/>
        <v>39.6</v>
      </c>
      <c r="E22" s="59">
        <f t="shared" si="6"/>
        <v>197.99999999999997</v>
      </c>
      <c r="F22" s="59">
        <f t="shared" si="6"/>
        <v>242.99999999999997</v>
      </c>
      <c r="G22" s="59">
        <f t="shared" si="6"/>
        <v>280.8</v>
      </c>
      <c r="H22" s="59">
        <f t="shared" si="6"/>
        <v>67.5</v>
      </c>
      <c r="I22" s="59">
        <f t="shared" si="6"/>
        <v>0</v>
      </c>
      <c r="J22" s="59">
        <f>SUM(E22:I22)</f>
        <v>789.3</v>
      </c>
      <c r="K22" s="60">
        <f>SUM(K6:K20)</f>
        <v>1453.4999999999998</v>
      </c>
      <c r="L22" s="39"/>
      <c r="M22" s="29" t="s">
        <v>2</v>
      </c>
      <c r="N22" s="16" t="s">
        <v>1</v>
      </c>
    </row>
    <row r="23" spans="1:19">
      <c r="E23" s="142">
        <f t="shared" ref="E23:K23" si="7">E22*40</f>
        <v>7919.9999999999991</v>
      </c>
      <c r="F23" s="142">
        <f t="shared" si="7"/>
        <v>9719.9999999999982</v>
      </c>
      <c r="G23" s="142">
        <f>G22*40</f>
        <v>11232</v>
      </c>
      <c r="H23" s="142">
        <f t="shared" si="7"/>
        <v>2700</v>
      </c>
      <c r="I23" s="7">
        <f t="shared" si="7"/>
        <v>0</v>
      </c>
      <c r="J23" s="7">
        <f t="shared" si="7"/>
        <v>31572</v>
      </c>
      <c r="K23" s="7">
        <f t="shared" si="7"/>
        <v>58139.999999999993</v>
      </c>
      <c r="L23" s="5" t="s">
        <v>4</v>
      </c>
      <c r="M23" s="7">
        <f t="shared" ref="M23:M25" si="8">N23*40</f>
        <v>58139.999999999993</v>
      </c>
      <c r="N23" s="8">
        <f>K22</f>
        <v>1453.4999999999998</v>
      </c>
      <c r="S23" s="4"/>
    </row>
    <row r="24" spans="1:19">
      <c r="G24" s="33"/>
      <c r="H24" s="123"/>
      <c r="I24" s="123"/>
      <c r="L24" s="5" t="s">
        <v>3</v>
      </c>
      <c r="M24" s="7">
        <f t="shared" si="8"/>
        <v>55232.999999999993</v>
      </c>
      <c r="N24" s="8">
        <f>N23-N23*0.05</f>
        <v>1380.8249999999998</v>
      </c>
    </row>
    <row r="25" spans="1:19">
      <c r="B25" s="1"/>
      <c r="E25" s="21"/>
      <c r="G25" s="33"/>
      <c r="L25" s="5" t="s">
        <v>5</v>
      </c>
      <c r="M25" s="7">
        <f t="shared" si="8"/>
        <v>31572</v>
      </c>
      <c r="N25" s="8">
        <f>J22</f>
        <v>789.3</v>
      </c>
    </row>
    <row r="26" spans="1:19">
      <c r="B26" s="1"/>
      <c r="L26" s="37" t="s">
        <v>18</v>
      </c>
      <c r="M26" s="7">
        <f>N26*40</f>
        <v>23660.999999999993</v>
      </c>
      <c r="N26" s="8">
        <f>N24-N25</f>
        <v>591.52499999999986</v>
      </c>
    </row>
    <row r="27" spans="1:19">
      <c r="B27" s="1"/>
    </row>
    <row r="28" spans="1:19">
      <c r="B28" s="1"/>
    </row>
    <row r="29" spans="1:19">
      <c r="B29" s="1"/>
    </row>
    <row r="30" spans="1:19">
      <c r="B30" s="1"/>
    </row>
    <row r="31" spans="1:19">
      <c r="B31" s="1"/>
    </row>
    <row r="32" spans="1:19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FD85-9D58-E549-88D0-0F1E9E0F8A0F}">
  <dimension ref="A1:S48"/>
  <sheetViews>
    <sheetView zoomScaleNormal="100" workbookViewId="0">
      <pane ySplit="2" topLeftCell="A3" activePane="bottomLeft" state="frozen"/>
      <selection pane="bottomLeft" activeCell="I6" sqref="I6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2.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170" t="s">
        <v>651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165" t="s">
        <v>619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141"/>
      <c r="B6" s="144" t="s">
        <v>652</v>
      </c>
      <c r="C6" s="166">
        <v>0.8</v>
      </c>
      <c r="D6" s="134">
        <f>C6*9</f>
        <v>7.2</v>
      </c>
      <c r="E6" s="1">
        <f>D6*5</f>
        <v>36</v>
      </c>
      <c r="F6" s="33"/>
      <c r="G6" s="33"/>
      <c r="H6" s="33"/>
      <c r="I6" s="33">
        <f>D6*15</f>
        <v>108</v>
      </c>
      <c r="K6" s="33">
        <f>D6*40</f>
        <v>288</v>
      </c>
      <c r="P6" s="33"/>
    </row>
    <row r="7" spans="1:16">
      <c r="B7" s="144"/>
      <c r="C7" s="166"/>
      <c r="D7" s="134"/>
      <c r="G7" s="33"/>
      <c r="H7" s="33"/>
      <c r="I7" s="33"/>
      <c r="K7" s="33"/>
      <c r="P7" s="33"/>
    </row>
    <row r="8" spans="1:16">
      <c r="B8" s="144"/>
      <c r="C8" s="166"/>
      <c r="D8" s="134"/>
      <c r="F8" s="33"/>
      <c r="G8" s="33"/>
      <c r="H8" s="33"/>
      <c r="I8" s="33"/>
      <c r="K8" s="33"/>
      <c r="P8" s="33"/>
    </row>
    <row r="9" spans="1:16" ht="25" customHeight="1">
      <c r="A9" s="125" t="s">
        <v>81</v>
      </c>
      <c r="B9" s="125" t="s">
        <v>196</v>
      </c>
      <c r="C9" s="23"/>
      <c r="D9" s="23"/>
      <c r="E9" s="23"/>
      <c r="F9" s="23"/>
      <c r="G9" s="23"/>
      <c r="H9" s="23"/>
      <c r="I9" s="23"/>
      <c r="J9" s="23"/>
      <c r="K9" s="23"/>
    </row>
    <row r="10" spans="1:16">
      <c r="A10" s="152"/>
      <c r="B10" s="144" t="s">
        <v>642</v>
      </c>
      <c r="C10" s="166">
        <v>0.3</v>
      </c>
      <c r="D10" s="172">
        <f t="shared" ref="D10:D24" si="0">C10*9</f>
        <v>2.6999999999999997</v>
      </c>
      <c r="E10" s="1">
        <f>D10*5</f>
        <v>13.499999999999998</v>
      </c>
      <c r="F10" s="33"/>
      <c r="G10" s="33">
        <f>D10*12</f>
        <v>32.4</v>
      </c>
      <c r="H10" s="33"/>
      <c r="I10" s="33"/>
      <c r="K10" s="33">
        <f>D10*35</f>
        <v>94.499999999999986</v>
      </c>
    </row>
    <row r="11" spans="1:16">
      <c r="A11" s="152"/>
      <c r="B11" s="169" t="s">
        <v>643</v>
      </c>
      <c r="C11" s="166">
        <v>0.3</v>
      </c>
      <c r="D11" s="172">
        <f t="shared" si="0"/>
        <v>2.6999999999999997</v>
      </c>
      <c r="E11" s="1">
        <f t="shared" ref="E11:E24" si="1">D11*5</f>
        <v>13.499999999999998</v>
      </c>
      <c r="F11" s="33">
        <f>D11*15</f>
        <v>40.499999999999993</v>
      </c>
      <c r="G11" s="135"/>
      <c r="I11" s="33"/>
      <c r="K11" s="33">
        <f t="shared" ref="K11:K24" si="2">D11*35</f>
        <v>94.499999999999986</v>
      </c>
    </row>
    <row r="12" spans="1:16">
      <c r="A12" s="152"/>
      <c r="B12" s="169" t="s">
        <v>644</v>
      </c>
      <c r="C12" s="166">
        <v>0.3</v>
      </c>
      <c r="D12" s="172">
        <f t="shared" si="0"/>
        <v>2.6999999999999997</v>
      </c>
      <c r="E12" s="1">
        <f t="shared" si="1"/>
        <v>13.499999999999998</v>
      </c>
      <c r="F12" s="33">
        <f>D12*15</f>
        <v>40.499999999999993</v>
      </c>
      <c r="H12" s="33"/>
      <c r="I12" s="33"/>
      <c r="K12" s="33">
        <f t="shared" si="2"/>
        <v>94.499999999999986</v>
      </c>
    </row>
    <row r="13" spans="1:16">
      <c r="A13" s="152"/>
      <c r="B13" s="144" t="s">
        <v>645</v>
      </c>
      <c r="C13" s="166">
        <v>0.3</v>
      </c>
      <c r="D13" s="172">
        <f t="shared" si="0"/>
        <v>2.6999999999999997</v>
      </c>
      <c r="E13" s="1">
        <f t="shared" si="1"/>
        <v>13.499999999999998</v>
      </c>
      <c r="F13" s="33">
        <f>D13*15</f>
        <v>40.499999999999993</v>
      </c>
      <c r="H13" s="33"/>
      <c r="I13" s="33"/>
      <c r="K13" s="33">
        <f t="shared" si="2"/>
        <v>94.499999999999986</v>
      </c>
    </row>
    <row r="14" spans="1:16">
      <c r="A14" s="152"/>
      <c r="B14" s="167" t="s">
        <v>646</v>
      </c>
      <c r="C14" s="166">
        <v>0.3</v>
      </c>
      <c r="D14" s="172">
        <f t="shared" si="0"/>
        <v>2.6999999999999997</v>
      </c>
      <c r="E14" s="1">
        <f t="shared" si="1"/>
        <v>13.499999999999998</v>
      </c>
      <c r="F14" s="33">
        <f>D14*15</f>
        <v>40.499999999999993</v>
      </c>
      <c r="G14" s="33"/>
      <c r="H14" s="33"/>
      <c r="I14" s="33"/>
      <c r="K14" s="33">
        <f t="shared" si="2"/>
        <v>94.499999999999986</v>
      </c>
    </row>
    <row r="15" spans="1:16">
      <c r="A15" s="152"/>
      <c r="B15" s="167" t="s">
        <v>647</v>
      </c>
      <c r="C15" s="166">
        <v>0.3</v>
      </c>
      <c r="D15" s="172">
        <f t="shared" si="0"/>
        <v>2.6999999999999997</v>
      </c>
      <c r="E15" s="1">
        <f t="shared" si="1"/>
        <v>13.499999999999998</v>
      </c>
      <c r="F15" s="33"/>
      <c r="G15" s="33">
        <f>D15*12</f>
        <v>32.4</v>
      </c>
      <c r="H15" s="33"/>
      <c r="I15" s="33"/>
      <c r="K15" s="33">
        <f t="shared" si="2"/>
        <v>94.499999999999986</v>
      </c>
    </row>
    <row r="16" spans="1:16">
      <c r="A16" s="152"/>
      <c r="B16" s="169" t="s">
        <v>648</v>
      </c>
      <c r="C16" s="166">
        <v>0.3</v>
      </c>
      <c r="D16" s="172">
        <f t="shared" si="0"/>
        <v>2.6999999999999997</v>
      </c>
      <c r="E16" s="1">
        <f t="shared" si="1"/>
        <v>13.499999999999998</v>
      </c>
      <c r="F16" s="33"/>
      <c r="G16" s="33">
        <f>D16*12</f>
        <v>32.4</v>
      </c>
      <c r="H16" s="33"/>
      <c r="I16" s="33"/>
      <c r="K16" s="33">
        <f t="shared" si="2"/>
        <v>94.499999999999986</v>
      </c>
    </row>
    <row r="17" spans="1:19">
      <c r="A17" s="152"/>
      <c r="B17" s="169" t="s">
        <v>649</v>
      </c>
      <c r="C17" s="166">
        <v>0.3</v>
      </c>
      <c r="D17" s="172">
        <f t="shared" si="0"/>
        <v>2.6999999999999997</v>
      </c>
      <c r="E17" s="1">
        <f t="shared" si="1"/>
        <v>13.499999999999998</v>
      </c>
      <c r="F17" s="33"/>
      <c r="G17" s="33">
        <f>D17*12</f>
        <v>32.4</v>
      </c>
      <c r="H17" s="33"/>
      <c r="I17" s="33"/>
      <c r="K17" s="33">
        <f t="shared" si="2"/>
        <v>94.499999999999986</v>
      </c>
    </row>
    <row r="18" spans="1:19">
      <c r="A18" s="152"/>
      <c r="B18" s="169" t="s">
        <v>590</v>
      </c>
      <c r="C18" s="166">
        <v>0.5</v>
      </c>
      <c r="D18" s="172">
        <f t="shared" si="0"/>
        <v>4.5</v>
      </c>
      <c r="E18" s="1">
        <f t="shared" si="1"/>
        <v>22.5</v>
      </c>
      <c r="F18" s="33"/>
      <c r="G18" s="33"/>
      <c r="H18" s="33"/>
      <c r="I18" s="33">
        <f>D18*15</f>
        <v>67.5</v>
      </c>
      <c r="K18" s="33">
        <f t="shared" si="2"/>
        <v>157.5</v>
      </c>
      <c r="L18" s="33"/>
    </row>
    <row r="19" spans="1:19">
      <c r="A19" s="152"/>
      <c r="B19" s="169" t="s">
        <v>650</v>
      </c>
      <c r="C19" s="166">
        <v>0.5</v>
      </c>
      <c r="D19" s="172">
        <f t="shared" si="0"/>
        <v>4.5</v>
      </c>
      <c r="E19" s="1">
        <f t="shared" si="1"/>
        <v>22.5</v>
      </c>
      <c r="F19" s="33"/>
      <c r="G19" s="33">
        <f>D19*12</f>
        <v>54</v>
      </c>
      <c r="H19" s="33"/>
      <c r="I19" s="33"/>
      <c r="K19" s="33">
        <f t="shared" si="2"/>
        <v>157.5</v>
      </c>
    </row>
    <row r="20" spans="1:19">
      <c r="A20" s="152"/>
      <c r="B20" s="169" t="s">
        <v>653</v>
      </c>
      <c r="C20" s="166">
        <v>0.5</v>
      </c>
      <c r="D20" s="171">
        <f t="shared" si="0"/>
        <v>4.5</v>
      </c>
      <c r="E20" s="1">
        <f t="shared" si="1"/>
        <v>22.5</v>
      </c>
      <c r="F20" s="33"/>
      <c r="G20" s="33"/>
      <c r="H20" s="33"/>
      <c r="I20" s="33">
        <f>D20*15</f>
        <v>67.5</v>
      </c>
      <c r="K20" s="33">
        <f t="shared" si="2"/>
        <v>157.5</v>
      </c>
    </row>
    <row r="21" spans="1:19">
      <c r="A21" s="152"/>
      <c r="B21" s="169" t="s">
        <v>654</v>
      </c>
      <c r="C21" s="171">
        <v>0.3</v>
      </c>
      <c r="D21" s="171">
        <f t="shared" si="0"/>
        <v>2.6999999999999997</v>
      </c>
      <c r="E21" s="1">
        <f t="shared" si="1"/>
        <v>13.499999999999998</v>
      </c>
      <c r="F21" s="33"/>
      <c r="G21" s="33"/>
      <c r="H21" s="33"/>
      <c r="I21" s="33">
        <f>D21*15</f>
        <v>40.499999999999993</v>
      </c>
      <c r="K21" s="33">
        <f t="shared" si="2"/>
        <v>94.499999999999986</v>
      </c>
    </row>
    <row r="22" spans="1:19">
      <c r="A22" s="152"/>
      <c r="B22" s="169" t="s">
        <v>655</v>
      </c>
      <c r="C22" s="171">
        <v>0.3</v>
      </c>
      <c r="D22" s="171">
        <f t="shared" si="0"/>
        <v>2.6999999999999997</v>
      </c>
      <c r="E22" s="1">
        <f t="shared" si="1"/>
        <v>13.499999999999998</v>
      </c>
      <c r="F22" s="33">
        <f>D22*15</f>
        <v>40.499999999999993</v>
      </c>
      <c r="G22" s="33"/>
      <c r="H22" s="33"/>
      <c r="I22" s="33"/>
      <c r="K22" s="33">
        <f t="shared" si="2"/>
        <v>94.499999999999986</v>
      </c>
    </row>
    <row r="23" spans="1:19">
      <c r="A23" s="152"/>
      <c r="B23" s="169" t="s">
        <v>656</v>
      </c>
      <c r="C23" s="171">
        <v>0.3</v>
      </c>
      <c r="D23" s="171">
        <f t="shared" si="0"/>
        <v>2.6999999999999997</v>
      </c>
      <c r="E23" s="1">
        <f t="shared" si="1"/>
        <v>13.499999999999998</v>
      </c>
      <c r="F23" s="33"/>
      <c r="G23" s="33">
        <f>D23*12</f>
        <v>32.4</v>
      </c>
      <c r="H23" s="33"/>
      <c r="I23" s="33"/>
      <c r="K23" s="33">
        <f t="shared" si="2"/>
        <v>94.499999999999986</v>
      </c>
    </row>
    <row r="24" spans="1:19">
      <c r="A24" s="152"/>
      <c r="B24" s="169" t="s">
        <v>657</v>
      </c>
      <c r="C24" s="171">
        <v>0.3</v>
      </c>
      <c r="D24" s="171">
        <f t="shared" si="0"/>
        <v>2.6999999999999997</v>
      </c>
      <c r="E24" s="1">
        <f t="shared" si="1"/>
        <v>13.499999999999998</v>
      </c>
      <c r="F24" s="33">
        <f>D24*15</f>
        <v>40.499999999999993</v>
      </c>
      <c r="G24" s="33"/>
      <c r="H24" s="33"/>
      <c r="I24" s="33"/>
      <c r="K24" s="33">
        <f t="shared" si="2"/>
        <v>94.499999999999986</v>
      </c>
    </row>
    <row r="25" spans="1:19">
      <c r="B25" s="105"/>
      <c r="C25" s="128"/>
      <c r="F25" s="33"/>
      <c r="G25" s="33"/>
      <c r="H25" s="33"/>
      <c r="I25" s="33"/>
      <c r="K25" s="33"/>
    </row>
    <row r="26" spans="1:19">
      <c r="A26" s="118" t="s">
        <v>199</v>
      </c>
      <c r="B26" s="57"/>
      <c r="C26" s="11">
        <f t="shared" ref="C26:H26" si="3">SUM(C6:C25)</f>
        <v>5.8999999999999986</v>
      </c>
      <c r="D26" s="11">
        <f t="shared" si="3"/>
        <v>53.100000000000009</v>
      </c>
      <c r="E26" s="59">
        <f t="shared" si="3"/>
        <v>265.5</v>
      </c>
      <c r="F26" s="59">
        <f t="shared" si="3"/>
        <v>242.99999999999997</v>
      </c>
      <c r="G26" s="59">
        <f t="shared" si="3"/>
        <v>216</v>
      </c>
      <c r="H26" s="59">
        <f t="shared" si="3"/>
        <v>0</v>
      </c>
      <c r="I26" s="59">
        <f>SUM(I6:I25)</f>
        <v>283.5</v>
      </c>
      <c r="J26" s="59">
        <f>SUM(E26:I26)</f>
        <v>1008</v>
      </c>
      <c r="K26" s="60">
        <f>SUM(K6:K24)</f>
        <v>1894.5</v>
      </c>
      <c r="L26" s="39"/>
      <c r="M26" s="29" t="s">
        <v>2</v>
      </c>
      <c r="N26" s="16" t="s">
        <v>1</v>
      </c>
    </row>
    <row r="27" spans="1:19">
      <c r="E27" s="142">
        <f t="shared" ref="E27:K27" si="4">E26*40</f>
        <v>10620</v>
      </c>
      <c r="F27" s="142">
        <f t="shared" si="4"/>
        <v>9719.9999999999982</v>
      </c>
      <c r="G27" s="142">
        <f>G26*40</f>
        <v>8640</v>
      </c>
      <c r="H27" s="7">
        <f t="shared" si="4"/>
        <v>0</v>
      </c>
      <c r="I27" s="142">
        <f t="shared" si="4"/>
        <v>11340</v>
      </c>
      <c r="J27" s="7">
        <f t="shared" si="4"/>
        <v>40320</v>
      </c>
      <c r="K27" s="7">
        <f t="shared" si="4"/>
        <v>75780</v>
      </c>
      <c r="L27" s="5" t="s">
        <v>4</v>
      </c>
      <c r="M27" s="7">
        <f t="shared" ref="M27:M29" si="5">N27*40</f>
        <v>75780</v>
      </c>
      <c r="N27" s="8">
        <f>K26</f>
        <v>1894.5</v>
      </c>
      <c r="S27" s="4"/>
    </row>
    <row r="28" spans="1:19">
      <c r="G28" s="33"/>
      <c r="H28" s="123"/>
      <c r="I28" s="123"/>
      <c r="L28" s="5" t="s">
        <v>3</v>
      </c>
      <c r="M28" s="7">
        <f t="shared" si="5"/>
        <v>71991</v>
      </c>
      <c r="N28" s="8">
        <f>N27-N27*0.05</f>
        <v>1799.7750000000001</v>
      </c>
    </row>
    <row r="29" spans="1:19">
      <c r="B29" s="1"/>
      <c r="E29" s="21"/>
      <c r="G29" s="33"/>
      <c r="L29" s="5" t="s">
        <v>5</v>
      </c>
      <c r="M29" s="7">
        <f t="shared" si="5"/>
        <v>40320</v>
      </c>
      <c r="N29" s="8">
        <f>J26</f>
        <v>1008</v>
      </c>
    </row>
    <row r="30" spans="1:19">
      <c r="B30" s="1"/>
      <c r="L30" s="37" t="s">
        <v>18</v>
      </c>
      <c r="M30" s="7">
        <f>N30*40</f>
        <v>31671.000000000004</v>
      </c>
      <c r="N30" s="8">
        <f>N28-N29</f>
        <v>791.77500000000009</v>
      </c>
    </row>
    <row r="31" spans="1:19">
      <c r="B31" s="1"/>
    </row>
    <row r="32" spans="1:19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D7422-5EAE-8942-88F1-44FFE49402A4}">
  <dimension ref="A1:S60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3.1640625" style="1" customWidth="1"/>
    <col min="12" max="12" width="15.3320312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41" t="s">
        <v>0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165" t="s">
        <v>619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141"/>
      <c r="B6" s="144" t="s">
        <v>620</v>
      </c>
      <c r="C6" s="166">
        <v>0.6</v>
      </c>
      <c r="D6" s="134">
        <f t="shared" ref="D6:D15" si="0">C6*9</f>
        <v>5.3999999999999995</v>
      </c>
      <c r="E6" s="1">
        <f>D6*5</f>
        <v>26.999999999999996</v>
      </c>
      <c r="F6" s="33">
        <f>D6*15</f>
        <v>80.999999999999986</v>
      </c>
      <c r="G6" s="33"/>
      <c r="H6" s="33"/>
      <c r="I6" s="33"/>
      <c r="K6" s="33">
        <f>D6*35</f>
        <v>188.99999999999997</v>
      </c>
      <c r="P6" s="33"/>
    </row>
    <row r="7" spans="1:16">
      <c r="A7" s="141"/>
      <c r="B7" s="144" t="s">
        <v>621</v>
      </c>
      <c r="C7" s="166">
        <v>0.5</v>
      </c>
      <c r="D7" s="134">
        <f t="shared" si="0"/>
        <v>4.5</v>
      </c>
      <c r="E7" s="1">
        <f t="shared" ref="E7:E17" si="1">D7*5</f>
        <v>22.5</v>
      </c>
      <c r="G7" s="33"/>
      <c r="H7" s="33">
        <f t="shared" ref="H7" si="2">D7*15</f>
        <v>67.5</v>
      </c>
      <c r="I7" s="33"/>
      <c r="K7" s="33">
        <f t="shared" ref="K7:K17" si="3">D7*35</f>
        <v>157.5</v>
      </c>
      <c r="P7" s="33"/>
    </row>
    <row r="8" spans="1:16">
      <c r="A8" s="141"/>
      <c r="B8" s="144" t="s">
        <v>332</v>
      </c>
      <c r="C8" s="166">
        <v>0.3</v>
      </c>
      <c r="D8" s="134">
        <f t="shared" si="0"/>
        <v>2.6999999999999997</v>
      </c>
      <c r="E8" s="1">
        <f t="shared" si="1"/>
        <v>13.499999999999998</v>
      </c>
      <c r="F8" s="33">
        <f>D8*15</f>
        <v>40.499999999999993</v>
      </c>
      <c r="G8" s="33"/>
      <c r="H8" s="33"/>
      <c r="I8" s="33"/>
      <c r="K8" s="33">
        <f t="shared" si="3"/>
        <v>94.499999999999986</v>
      </c>
      <c r="P8" s="33"/>
    </row>
    <row r="9" spans="1:16">
      <c r="A9" s="141"/>
      <c r="B9" s="167" t="s">
        <v>632</v>
      </c>
      <c r="C9" s="166">
        <v>0.5</v>
      </c>
      <c r="D9" s="134">
        <f t="shared" si="0"/>
        <v>4.5</v>
      </c>
      <c r="E9" s="1">
        <f t="shared" si="1"/>
        <v>22.5</v>
      </c>
      <c r="G9" s="33"/>
      <c r="H9" s="33">
        <f t="shared" ref="H9" si="4">D9*15</f>
        <v>67.5</v>
      </c>
      <c r="I9" s="33"/>
      <c r="K9" s="33">
        <f t="shared" si="3"/>
        <v>157.5</v>
      </c>
      <c r="P9" s="33"/>
    </row>
    <row r="10" spans="1:16">
      <c r="A10" s="141"/>
      <c r="B10" s="144" t="s">
        <v>212</v>
      </c>
      <c r="C10" s="166">
        <v>0.5</v>
      </c>
      <c r="D10" s="134">
        <f t="shared" si="0"/>
        <v>4.5</v>
      </c>
      <c r="E10" s="1">
        <f t="shared" si="1"/>
        <v>22.5</v>
      </c>
      <c r="G10" s="33"/>
      <c r="H10" s="33"/>
      <c r="I10" s="33">
        <f>4.5*12</f>
        <v>54</v>
      </c>
      <c r="K10" s="33">
        <f t="shared" si="3"/>
        <v>157.5</v>
      </c>
      <c r="P10" s="33"/>
    </row>
    <row r="11" spans="1:16">
      <c r="A11" s="141"/>
      <c r="B11" s="144" t="s">
        <v>622</v>
      </c>
      <c r="C11" s="166">
        <v>0.5</v>
      </c>
      <c r="D11" s="134">
        <f t="shared" si="0"/>
        <v>4.5</v>
      </c>
      <c r="E11" s="1">
        <f t="shared" si="1"/>
        <v>22.5</v>
      </c>
      <c r="F11" s="33"/>
      <c r="G11" s="33"/>
      <c r="H11" s="33"/>
      <c r="I11" s="33">
        <f>4.5*12</f>
        <v>54</v>
      </c>
      <c r="K11" s="33">
        <f t="shared" si="3"/>
        <v>157.5</v>
      </c>
      <c r="P11" s="33"/>
    </row>
    <row r="12" spans="1:16">
      <c r="A12" s="141"/>
      <c r="B12" s="144" t="s">
        <v>615</v>
      </c>
      <c r="C12" s="166">
        <v>0.2</v>
      </c>
      <c r="D12" s="134">
        <f t="shared" si="0"/>
        <v>1.8</v>
      </c>
      <c r="E12" s="1">
        <f t="shared" si="1"/>
        <v>9</v>
      </c>
      <c r="F12" s="33">
        <f>D12*15</f>
        <v>27</v>
      </c>
      <c r="G12" s="33"/>
      <c r="H12" s="33"/>
      <c r="I12" s="33"/>
      <c r="K12" s="33">
        <f t="shared" si="3"/>
        <v>63</v>
      </c>
      <c r="P12" s="33"/>
    </row>
    <row r="13" spans="1:16">
      <c r="A13" s="141"/>
      <c r="B13" s="168" t="s">
        <v>633</v>
      </c>
      <c r="C13" s="166">
        <v>0.5</v>
      </c>
      <c r="D13" s="134">
        <f t="shared" si="0"/>
        <v>4.5</v>
      </c>
      <c r="E13" s="1">
        <f t="shared" si="1"/>
        <v>22.5</v>
      </c>
      <c r="F13" s="33">
        <f>D13*15</f>
        <v>67.5</v>
      </c>
      <c r="G13" s="33"/>
      <c r="H13" s="33"/>
      <c r="I13" s="33"/>
      <c r="K13" s="33">
        <f t="shared" si="3"/>
        <v>157.5</v>
      </c>
      <c r="P13" s="33"/>
    </row>
    <row r="14" spans="1:16">
      <c r="A14" s="141"/>
      <c r="B14" s="168" t="s">
        <v>634</v>
      </c>
      <c r="C14" s="166">
        <v>0.5</v>
      </c>
      <c r="D14" s="134">
        <f t="shared" si="0"/>
        <v>4.5</v>
      </c>
      <c r="E14" s="1">
        <f t="shared" si="1"/>
        <v>22.5</v>
      </c>
      <c r="F14" s="33"/>
      <c r="G14" s="33">
        <f t="shared" ref="G14" si="5">D14*12</f>
        <v>54</v>
      </c>
      <c r="H14" s="33"/>
      <c r="I14" s="33"/>
      <c r="K14" s="33">
        <f t="shared" si="3"/>
        <v>157.5</v>
      </c>
      <c r="P14" s="33"/>
    </row>
    <row r="15" spans="1:16">
      <c r="A15" s="141"/>
      <c r="B15" s="168" t="s">
        <v>635</v>
      </c>
      <c r="C15" s="166">
        <v>0.5</v>
      </c>
      <c r="D15" s="134">
        <f t="shared" si="0"/>
        <v>4.5</v>
      </c>
      <c r="E15" s="1">
        <f t="shared" si="1"/>
        <v>22.5</v>
      </c>
      <c r="F15" s="33">
        <f>D15*15</f>
        <v>67.5</v>
      </c>
      <c r="G15" s="33"/>
      <c r="H15" s="33"/>
      <c r="I15" s="33"/>
      <c r="K15" s="33">
        <f t="shared" si="3"/>
        <v>157.5</v>
      </c>
      <c r="P15" s="33"/>
    </row>
    <row r="16" spans="1:16">
      <c r="A16" s="141"/>
      <c r="B16" s="144" t="s">
        <v>636</v>
      </c>
      <c r="C16" s="166">
        <v>1.3</v>
      </c>
      <c r="D16" s="134">
        <f>C16*9</f>
        <v>11.700000000000001</v>
      </c>
      <c r="E16" s="1">
        <f t="shared" si="1"/>
        <v>58.500000000000007</v>
      </c>
      <c r="G16" s="33"/>
      <c r="H16" s="33">
        <f>D16*15</f>
        <v>175.50000000000003</v>
      </c>
      <c r="I16" s="33"/>
      <c r="K16" s="33">
        <f t="shared" si="3"/>
        <v>409.50000000000006</v>
      </c>
      <c r="P16" s="33"/>
    </row>
    <row r="17" spans="1:16">
      <c r="A17" s="141"/>
      <c r="B17" s="144" t="s">
        <v>637</v>
      </c>
      <c r="C17" s="166">
        <v>0.5</v>
      </c>
      <c r="D17" s="134">
        <f>C17*9</f>
        <v>4.5</v>
      </c>
      <c r="E17" s="1">
        <f t="shared" si="1"/>
        <v>22.5</v>
      </c>
      <c r="F17" s="33">
        <f>D17*15</f>
        <v>67.5</v>
      </c>
      <c r="G17" s="33"/>
      <c r="H17" s="33"/>
      <c r="I17" s="33"/>
      <c r="K17" s="33">
        <f t="shared" si="3"/>
        <v>157.5</v>
      </c>
      <c r="P17" s="33"/>
    </row>
    <row r="18" spans="1:16">
      <c r="B18" s="144"/>
      <c r="C18" s="166"/>
      <c r="D18" s="134"/>
      <c r="F18" s="33"/>
      <c r="G18" s="33"/>
      <c r="H18" s="33"/>
      <c r="I18" s="33"/>
      <c r="K18" s="33"/>
      <c r="P18" s="33"/>
    </row>
    <row r="19" spans="1:16">
      <c r="B19" s="144"/>
      <c r="C19" s="166"/>
      <c r="D19" s="134"/>
      <c r="F19" s="33"/>
      <c r="G19" s="33"/>
      <c r="H19" s="33"/>
      <c r="I19" s="33"/>
      <c r="K19" s="33"/>
      <c r="P19" s="33"/>
    </row>
    <row r="20" spans="1:16" ht="25" customHeight="1">
      <c r="A20" s="125" t="s">
        <v>81</v>
      </c>
      <c r="B20" s="125" t="s">
        <v>196</v>
      </c>
      <c r="C20" s="23"/>
      <c r="D20" s="23"/>
      <c r="E20" s="23"/>
      <c r="F20" s="23"/>
      <c r="G20" s="23"/>
      <c r="H20" s="23"/>
      <c r="I20" s="23"/>
      <c r="J20" s="23"/>
      <c r="K20" s="23"/>
    </row>
    <row r="21" spans="1:16">
      <c r="A21" s="152"/>
      <c r="B21" s="144" t="s">
        <v>499</v>
      </c>
      <c r="C21" s="166">
        <v>0.9</v>
      </c>
      <c r="D21" s="134">
        <v>8.1</v>
      </c>
      <c r="E21" s="1">
        <f>D21*5</f>
        <v>40.5</v>
      </c>
      <c r="F21" s="33"/>
      <c r="G21" s="33"/>
      <c r="H21" s="33"/>
      <c r="I21" s="33">
        <f>4.5*12</f>
        <v>54</v>
      </c>
      <c r="K21" s="33">
        <f>D21*35</f>
        <v>283.5</v>
      </c>
    </row>
    <row r="22" spans="1:16">
      <c r="A22" s="152"/>
      <c r="B22" s="144" t="s">
        <v>623</v>
      </c>
      <c r="C22" s="166">
        <v>0.5</v>
      </c>
      <c r="D22" s="134">
        <v>4.5</v>
      </c>
      <c r="E22" s="1">
        <f t="shared" ref="E22:E35" si="6">D22*5</f>
        <v>22.5</v>
      </c>
      <c r="F22" s="33"/>
      <c r="G22" s="135"/>
      <c r="H22" s="33">
        <f t="shared" ref="H22" si="7">D22*15</f>
        <v>67.5</v>
      </c>
      <c r="I22" s="33"/>
      <c r="K22" s="33">
        <f t="shared" ref="K22:K35" si="8">D22*35</f>
        <v>157.5</v>
      </c>
    </row>
    <row r="23" spans="1:16">
      <c r="A23" s="152"/>
      <c r="B23" s="144" t="s">
        <v>624</v>
      </c>
      <c r="C23" s="166">
        <v>0.5</v>
      </c>
      <c r="D23" s="134">
        <v>4.5</v>
      </c>
      <c r="E23" s="1">
        <f t="shared" si="6"/>
        <v>22.5</v>
      </c>
      <c r="F23" s="33"/>
      <c r="G23" s="33">
        <f t="shared" ref="G23:G24" si="9">D23*12</f>
        <v>54</v>
      </c>
      <c r="H23" s="33"/>
      <c r="I23" s="33"/>
      <c r="K23" s="33">
        <f t="shared" si="8"/>
        <v>157.5</v>
      </c>
    </row>
    <row r="24" spans="1:16">
      <c r="A24" s="152"/>
      <c r="B24" s="144" t="s">
        <v>625</v>
      </c>
      <c r="C24" s="166">
        <v>0.5</v>
      </c>
      <c r="D24" s="134">
        <v>4.5</v>
      </c>
      <c r="E24" s="1">
        <f t="shared" si="6"/>
        <v>22.5</v>
      </c>
      <c r="F24" s="33"/>
      <c r="G24" s="33">
        <f t="shared" si="9"/>
        <v>54</v>
      </c>
      <c r="H24" s="33"/>
      <c r="I24" s="33"/>
      <c r="K24" s="33">
        <f t="shared" si="8"/>
        <v>157.5</v>
      </c>
    </row>
    <row r="25" spans="1:16">
      <c r="A25" s="152"/>
      <c r="B25" s="159" t="s">
        <v>626</v>
      </c>
      <c r="C25" s="166">
        <v>0.5</v>
      </c>
      <c r="D25" s="134">
        <v>4.5</v>
      </c>
      <c r="E25" s="1">
        <f t="shared" si="6"/>
        <v>22.5</v>
      </c>
      <c r="F25" s="33"/>
      <c r="G25" s="33"/>
      <c r="H25" s="33"/>
      <c r="I25" s="33">
        <f>4.5*12</f>
        <v>54</v>
      </c>
      <c r="K25" s="33">
        <f t="shared" si="8"/>
        <v>157.5</v>
      </c>
    </row>
    <row r="26" spans="1:16">
      <c r="A26" s="152"/>
      <c r="B26" s="167" t="s">
        <v>627</v>
      </c>
      <c r="C26" s="166">
        <v>0.5</v>
      </c>
      <c r="D26" s="134">
        <v>4.5</v>
      </c>
      <c r="E26" s="1">
        <f t="shared" si="6"/>
        <v>22.5</v>
      </c>
      <c r="F26" s="33"/>
      <c r="G26" s="33">
        <f t="shared" ref="G26" si="10">D26*12</f>
        <v>54</v>
      </c>
      <c r="H26" s="33"/>
      <c r="I26" s="33"/>
      <c r="K26" s="33">
        <f t="shared" si="8"/>
        <v>157.5</v>
      </c>
    </row>
    <row r="27" spans="1:16">
      <c r="A27" s="152"/>
      <c r="B27" s="169" t="s">
        <v>628</v>
      </c>
      <c r="C27" s="166">
        <v>0.3</v>
      </c>
      <c r="D27" s="134">
        <v>2.7</v>
      </c>
      <c r="E27" s="1">
        <f t="shared" si="6"/>
        <v>13.5</v>
      </c>
      <c r="F27" s="33"/>
      <c r="G27" s="33"/>
      <c r="H27" s="33">
        <f t="shared" ref="H27" si="11">D27*15</f>
        <v>40.5</v>
      </c>
      <c r="I27" s="33"/>
      <c r="K27" s="33">
        <f t="shared" si="8"/>
        <v>94.5</v>
      </c>
    </row>
    <row r="28" spans="1:16">
      <c r="A28" s="152"/>
      <c r="B28" s="144" t="s">
        <v>629</v>
      </c>
      <c r="C28" s="166">
        <v>0.3</v>
      </c>
      <c r="D28" s="134">
        <v>2.7</v>
      </c>
      <c r="E28" s="1">
        <f t="shared" si="6"/>
        <v>13.5</v>
      </c>
      <c r="F28" s="33"/>
      <c r="G28" s="33">
        <f t="shared" ref="G28:G34" si="12">D28*12</f>
        <v>32.400000000000006</v>
      </c>
      <c r="H28" s="33"/>
      <c r="I28" s="33"/>
      <c r="K28" s="33">
        <f t="shared" si="8"/>
        <v>94.5</v>
      </c>
    </row>
    <row r="29" spans="1:16">
      <c r="A29" s="152"/>
      <c r="B29" s="144" t="s">
        <v>630</v>
      </c>
      <c r="C29" s="166">
        <v>0.3</v>
      </c>
      <c r="D29" s="134">
        <v>2.7</v>
      </c>
      <c r="E29" s="1">
        <f t="shared" si="6"/>
        <v>13.5</v>
      </c>
      <c r="F29" s="33"/>
      <c r="G29" s="33">
        <f t="shared" si="12"/>
        <v>32.400000000000006</v>
      </c>
      <c r="H29" s="33"/>
      <c r="I29" s="33"/>
      <c r="K29" s="33">
        <f t="shared" si="8"/>
        <v>94.5</v>
      </c>
      <c r="L29" s="33"/>
    </row>
    <row r="30" spans="1:16">
      <c r="A30" s="152"/>
      <c r="B30" s="144" t="s">
        <v>631</v>
      </c>
      <c r="C30" s="166">
        <v>0.5</v>
      </c>
      <c r="D30" s="134">
        <v>4.5</v>
      </c>
      <c r="E30" s="1">
        <f t="shared" si="6"/>
        <v>22.5</v>
      </c>
      <c r="F30" s="33"/>
      <c r="G30" s="33"/>
      <c r="H30" s="33">
        <f t="shared" ref="H30" si="13">D30*15</f>
        <v>67.5</v>
      </c>
      <c r="I30" s="33"/>
      <c r="K30" s="33">
        <f t="shared" si="8"/>
        <v>157.5</v>
      </c>
    </row>
    <row r="31" spans="1:16">
      <c r="A31" s="152"/>
      <c r="B31" s="159" t="s">
        <v>638</v>
      </c>
      <c r="C31" s="166">
        <v>0.8</v>
      </c>
      <c r="D31" s="134">
        <v>7.2</v>
      </c>
      <c r="E31" s="1">
        <f t="shared" si="6"/>
        <v>36</v>
      </c>
      <c r="F31" s="33"/>
      <c r="G31" s="33">
        <f t="shared" si="12"/>
        <v>86.4</v>
      </c>
      <c r="H31" s="33"/>
      <c r="I31" s="33"/>
      <c r="K31" s="33">
        <f t="shared" si="8"/>
        <v>252</v>
      </c>
    </row>
    <row r="32" spans="1:16">
      <c r="A32" s="152"/>
      <c r="B32" s="159" t="s">
        <v>639</v>
      </c>
      <c r="C32" s="166">
        <v>0.5</v>
      </c>
      <c r="D32" s="134">
        <v>4.5</v>
      </c>
      <c r="E32" s="1">
        <f t="shared" si="6"/>
        <v>22.5</v>
      </c>
      <c r="F32" s="33"/>
      <c r="G32" s="33"/>
      <c r="H32" s="33"/>
      <c r="I32" s="33">
        <f>4.5*12</f>
        <v>54</v>
      </c>
      <c r="K32" s="33">
        <f t="shared" si="8"/>
        <v>157.5</v>
      </c>
    </row>
    <row r="33" spans="1:19">
      <c r="A33" s="152"/>
      <c r="B33" s="159" t="s">
        <v>640</v>
      </c>
      <c r="C33" s="166">
        <v>0.5</v>
      </c>
      <c r="D33" s="134">
        <v>4.5</v>
      </c>
      <c r="E33" s="1">
        <f t="shared" si="6"/>
        <v>22.5</v>
      </c>
      <c r="F33" s="33"/>
      <c r="G33" s="33">
        <f t="shared" si="12"/>
        <v>54</v>
      </c>
      <c r="H33" s="33"/>
      <c r="I33" s="33"/>
      <c r="K33" s="33">
        <f t="shared" si="8"/>
        <v>157.5</v>
      </c>
    </row>
    <row r="34" spans="1:19">
      <c r="A34" s="152"/>
      <c r="B34" s="159" t="s">
        <v>641</v>
      </c>
      <c r="C34" s="166">
        <v>0.8</v>
      </c>
      <c r="D34" s="134">
        <v>7.2</v>
      </c>
      <c r="E34" s="1">
        <f t="shared" si="6"/>
        <v>36</v>
      </c>
      <c r="F34" s="33">
        <f>D34*15</f>
        <v>108</v>
      </c>
      <c r="G34" s="33">
        <f t="shared" si="12"/>
        <v>86.4</v>
      </c>
      <c r="H34" s="33"/>
      <c r="I34" s="33"/>
      <c r="K34" s="33">
        <f t="shared" si="8"/>
        <v>252</v>
      </c>
    </row>
    <row r="35" spans="1:19">
      <c r="A35" s="152"/>
      <c r="B35" s="144" t="s">
        <v>617</v>
      </c>
      <c r="C35" s="166">
        <v>0.3</v>
      </c>
      <c r="D35" s="134">
        <v>2.7</v>
      </c>
      <c r="E35" s="1">
        <f t="shared" si="6"/>
        <v>13.5</v>
      </c>
      <c r="F35" s="33"/>
      <c r="G35" s="33"/>
      <c r="H35" s="33"/>
      <c r="I35" s="33">
        <f>4.5*12</f>
        <v>54</v>
      </c>
      <c r="K35" s="33">
        <f t="shared" si="8"/>
        <v>94.5</v>
      </c>
    </row>
    <row r="36" spans="1:19">
      <c r="A36" s="163"/>
      <c r="B36" s="157"/>
      <c r="C36" s="128"/>
      <c r="F36" s="33"/>
      <c r="G36" s="33"/>
      <c r="H36" s="33"/>
      <c r="I36" s="33"/>
      <c r="K36" s="33"/>
    </row>
    <row r="37" spans="1:19">
      <c r="B37" s="105"/>
      <c r="C37" s="128"/>
      <c r="F37" s="33"/>
      <c r="G37" s="33"/>
      <c r="H37" s="33"/>
      <c r="I37" s="33"/>
      <c r="K37" s="33"/>
    </row>
    <row r="38" spans="1:19">
      <c r="A38" s="118" t="s">
        <v>199</v>
      </c>
      <c r="B38" s="57"/>
      <c r="C38" s="11">
        <f t="shared" ref="C38:I38" si="14">SUM(C6:C37)</f>
        <v>14.100000000000005</v>
      </c>
      <c r="D38" s="11">
        <f t="shared" si="14"/>
        <v>126.90000000000002</v>
      </c>
      <c r="E38" s="59">
        <f t="shared" si="14"/>
        <v>634.5</v>
      </c>
      <c r="F38" s="59">
        <f t="shared" si="14"/>
        <v>459</v>
      </c>
      <c r="G38" s="59">
        <f t="shared" si="14"/>
        <v>507.6</v>
      </c>
      <c r="H38" s="59">
        <f t="shared" si="14"/>
        <v>486</v>
      </c>
      <c r="I38" s="59">
        <f t="shared" si="14"/>
        <v>324</v>
      </c>
      <c r="J38" s="59">
        <f>SUM(E38:I38)</f>
        <v>2411.1</v>
      </c>
      <c r="K38" s="60">
        <f>SUM(K6:K36)</f>
        <v>4441.5</v>
      </c>
      <c r="L38" s="39"/>
      <c r="M38" s="29" t="s">
        <v>2</v>
      </c>
      <c r="N38" s="16" t="s">
        <v>1</v>
      </c>
    </row>
    <row r="39" spans="1:19">
      <c r="E39" s="142">
        <f t="shared" ref="E39:K39" si="15">E38*40</f>
        <v>25380</v>
      </c>
      <c r="F39" s="142">
        <f t="shared" si="15"/>
        <v>18360</v>
      </c>
      <c r="G39" s="142">
        <f>G38*40</f>
        <v>20304</v>
      </c>
      <c r="H39" s="142">
        <f t="shared" si="15"/>
        <v>19440</v>
      </c>
      <c r="I39" s="142">
        <f t="shared" si="15"/>
        <v>12960</v>
      </c>
      <c r="J39" s="142">
        <f t="shared" si="15"/>
        <v>96444</v>
      </c>
      <c r="K39" s="7">
        <f t="shared" si="15"/>
        <v>177660</v>
      </c>
      <c r="L39" s="5" t="s">
        <v>4</v>
      </c>
      <c r="M39" s="7">
        <f t="shared" ref="M39:M41" si="16">N39*40</f>
        <v>177660</v>
      </c>
      <c r="N39" s="8">
        <f>K38</f>
        <v>4441.5</v>
      </c>
      <c r="S39" s="4"/>
    </row>
    <row r="40" spans="1:19">
      <c r="G40" s="33"/>
      <c r="H40" s="123"/>
      <c r="I40" s="123"/>
      <c r="L40" s="5" t="s">
        <v>3</v>
      </c>
      <c r="M40" s="7">
        <f t="shared" si="16"/>
        <v>168777</v>
      </c>
      <c r="N40" s="8">
        <f>N39-N39*0.05</f>
        <v>4219.4250000000002</v>
      </c>
    </row>
    <row r="41" spans="1:19">
      <c r="B41" s="1"/>
      <c r="E41" s="21"/>
      <c r="G41" s="33"/>
      <c r="L41" s="5" t="s">
        <v>5</v>
      </c>
      <c r="M41" s="7">
        <f t="shared" si="16"/>
        <v>96444</v>
      </c>
      <c r="N41" s="8">
        <f>J38</f>
        <v>2411.1</v>
      </c>
    </row>
    <row r="42" spans="1:19">
      <c r="B42" s="1"/>
      <c r="L42" s="37" t="s">
        <v>18</v>
      </c>
      <c r="M42" s="7">
        <f>N42*40</f>
        <v>72333.000000000015</v>
      </c>
      <c r="N42" s="8">
        <f>N40-N41</f>
        <v>1808.3250000000003</v>
      </c>
    </row>
    <row r="43" spans="1:19">
      <c r="B43" s="1"/>
      <c r="E43" s="21"/>
    </row>
    <row r="44" spans="1:19">
      <c r="B44" s="1"/>
    </row>
    <row r="45" spans="1:19">
      <c r="B45" s="1"/>
      <c r="E45" s="21"/>
    </row>
    <row r="46" spans="1:19">
      <c r="B46" s="1"/>
    </row>
    <row r="47" spans="1:19">
      <c r="B47" s="1"/>
    </row>
    <row r="48" spans="1:19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53D6-D29E-FB4B-9A13-B96D014DB582}">
  <dimension ref="A1:S49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6" width="10.33203125" style="1" customWidth="1"/>
    <col min="7" max="9" width="10.83203125" style="1"/>
    <col min="10" max="10" width="11.1640625" style="1" customWidth="1"/>
    <col min="11" max="11" width="10.6640625" style="1" customWidth="1"/>
    <col min="12" max="12" width="15.33203125" style="1" bestFit="1" customWidth="1"/>
    <col min="13" max="13" width="12" style="1" customWidth="1"/>
    <col min="14" max="14" width="11.1640625" style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29" t="s">
        <v>671</v>
      </c>
      <c r="E2" s="41" t="s">
        <v>0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25"/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140"/>
      <c r="B6" s="105" t="s">
        <v>613</v>
      </c>
      <c r="C6" s="128">
        <v>0.3</v>
      </c>
      <c r="D6" s="1">
        <f>C6*9</f>
        <v>2.6999999999999997</v>
      </c>
      <c r="E6" s="1">
        <f>D6*5</f>
        <v>13.499999999999998</v>
      </c>
      <c r="G6" s="33">
        <f t="shared" ref="G6" si="0">D6*12</f>
        <v>32.4</v>
      </c>
      <c r="H6" s="33"/>
      <c r="I6" s="33"/>
      <c r="K6" s="33">
        <f>D6*35</f>
        <v>94.499999999999986</v>
      </c>
      <c r="P6" s="33"/>
    </row>
    <row r="7" spans="1:16">
      <c r="A7" s="140"/>
      <c r="B7" s="157" t="s">
        <v>614</v>
      </c>
      <c r="C7" s="128">
        <v>0.3</v>
      </c>
      <c r="D7" s="1">
        <f t="shared" ref="D7:D9" si="1">C7*9</f>
        <v>2.6999999999999997</v>
      </c>
      <c r="E7" s="1">
        <f t="shared" ref="E7:E9" si="2">D7*5</f>
        <v>13.499999999999998</v>
      </c>
      <c r="F7" s="33">
        <f>D7*15</f>
        <v>40.499999999999993</v>
      </c>
      <c r="G7" s="33"/>
      <c r="H7" s="33"/>
      <c r="I7" s="33"/>
      <c r="K7" s="33">
        <f t="shared" ref="K7:K9" si="3">D7*35</f>
        <v>94.499999999999986</v>
      </c>
      <c r="P7" s="33"/>
    </row>
    <row r="8" spans="1:16">
      <c r="A8" s="140"/>
      <c r="B8" s="144" t="s">
        <v>615</v>
      </c>
      <c r="C8" s="128">
        <v>0.3</v>
      </c>
      <c r="D8" s="1">
        <f t="shared" si="1"/>
        <v>2.6999999999999997</v>
      </c>
      <c r="E8" s="1">
        <f t="shared" si="2"/>
        <v>13.499999999999998</v>
      </c>
      <c r="F8" s="33">
        <f>D8*15</f>
        <v>40.499999999999993</v>
      </c>
      <c r="G8" s="33"/>
      <c r="H8" s="33"/>
      <c r="I8" s="33"/>
      <c r="K8" s="33">
        <f t="shared" si="3"/>
        <v>94.499999999999986</v>
      </c>
      <c r="P8" s="33"/>
    </row>
    <row r="9" spans="1:16">
      <c r="A9" s="140"/>
      <c r="B9" s="144" t="s">
        <v>616</v>
      </c>
      <c r="C9" s="128">
        <v>0.3</v>
      </c>
      <c r="D9" s="1">
        <f t="shared" si="1"/>
        <v>2.6999999999999997</v>
      </c>
      <c r="E9" s="1">
        <f t="shared" si="2"/>
        <v>13.499999999999998</v>
      </c>
      <c r="G9" s="33">
        <f t="shared" ref="G9" si="4">D9*12</f>
        <v>32.4</v>
      </c>
      <c r="H9" s="33"/>
      <c r="I9" s="33"/>
      <c r="K9" s="33">
        <f t="shared" si="3"/>
        <v>94.499999999999986</v>
      </c>
      <c r="L9" s="33">
        <f>SUM(K6:K9)</f>
        <v>377.99999999999994</v>
      </c>
      <c r="M9" s="33">
        <f>SUM(D6:D9)</f>
        <v>10.799999999999999</v>
      </c>
      <c r="P9" s="33"/>
    </row>
    <row r="10" spans="1:16">
      <c r="B10" s="145"/>
      <c r="C10" s="128"/>
      <c r="G10" s="33"/>
      <c r="H10" s="33"/>
      <c r="I10" s="33"/>
      <c r="K10" s="33"/>
      <c r="P10" s="33"/>
    </row>
    <row r="11" spans="1:16" ht="25" customHeight="1">
      <c r="A11" s="125" t="s">
        <v>81</v>
      </c>
      <c r="B11" s="125" t="s">
        <v>196</v>
      </c>
      <c r="C11" s="23"/>
      <c r="D11" s="23"/>
      <c r="E11" s="23"/>
      <c r="F11" s="23"/>
      <c r="G11" s="23"/>
      <c r="H11" s="23"/>
      <c r="I11" s="23"/>
      <c r="J11" s="23"/>
      <c r="K11" s="23"/>
    </row>
    <row r="12" spans="1:16">
      <c r="A12" s="141"/>
      <c r="B12" s="157" t="s">
        <v>606</v>
      </c>
      <c r="C12" s="128">
        <v>1</v>
      </c>
      <c r="D12" s="1">
        <f>C12*9</f>
        <v>9</v>
      </c>
      <c r="E12" s="1">
        <f>D12*5</f>
        <v>45</v>
      </c>
      <c r="F12" s="33"/>
      <c r="G12" s="33"/>
      <c r="H12" s="33">
        <f t="shared" ref="H12" si="5">D12*15</f>
        <v>135</v>
      </c>
      <c r="I12" s="33"/>
      <c r="K12" s="33">
        <f>D12*35</f>
        <v>315</v>
      </c>
    </row>
    <row r="13" spans="1:16">
      <c r="A13" s="141"/>
      <c r="B13" s="157" t="s">
        <v>607</v>
      </c>
      <c r="C13" s="128">
        <v>1.5</v>
      </c>
      <c r="D13" s="1">
        <f t="shared" ref="D13:D20" si="6">C13*9</f>
        <v>13.5</v>
      </c>
      <c r="E13" s="1">
        <f t="shared" ref="E13:E20" si="7">D13*5</f>
        <v>67.5</v>
      </c>
      <c r="F13" s="33"/>
      <c r="G13" s="135"/>
      <c r="H13" s="33">
        <f>9*15</f>
        <v>135</v>
      </c>
      <c r="I13" s="33">
        <f>4.5*12</f>
        <v>54</v>
      </c>
      <c r="K13" s="33">
        <f t="shared" ref="K13:K20" si="8">D13*35</f>
        <v>472.5</v>
      </c>
    </row>
    <row r="14" spans="1:16">
      <c r="A14" s="141"/>
      <c r="B14" s="157" t="s">
        <v>608</v>
      </c>
      <c r="C14" s="128">
        <v>0.3</v>
      </c>
      <c r="D14" s="1">
        <f t="shared" si="6"/>
        <v>2.6999999999999997</v>
      </c>
      <c r="E14" s="1">
        <f t="shared" si="7"/>
        <v>13.499999999999998</v>
      </c>
      <c r="F14" s="33"/>
      <c r="G14" s="33">
        <f t="shared" ref="G14:G18" si="9">D14*12</f>
        <v>32.4</v>
      </c>
      <c r="H14" s="33"/>
      <c r="I14" s="33"/>
      <c r="K14" s="33">
        <f t="shared" si="8"/>
        <v>94.499999999999986</v>
      </c>
    </row>
    <row r="15" spans="1:16">
      <c r="A15" s="141"/>
      <c r="B15" s="157" t="s">
        <v>609</v>
      </c>
      <c r="C15" s="128">
        <v>0.3</v>
      </c>
      <c r="D15" s="1">
        <f t="shared" si="6"/>
        <v>2.6999999999999997</v>
      </c>
      <c r="E15" s="1">
        <f t="shared" si="7"/>
        <v>13.499999999999998</v>
      </c>
      <c r="F15" s="33"/>
      <c r="G15" s="33">
        <f t="shared" si="9"/>
        <v>32.4</v>
      </c>
      <c r="H15" s="33"/>
      <c r="I15" s="33"/>
      <c r="K15" s="33">
        <f t="shared" si="8"/>
        <v>94.499999999999986</v>
      </c>
    </row>
    <row r="16" spans="1:16">
      <c r="A16" s="141"/>
      <c r="B16" s="157" t="s">
        <v>610</v>
      </c>
      <c r="C16" s="128">
        <v>0.3</v>
      </c>
      <c r="D16" s="1">
        <f t="shared" si="6"/>
        <v>2.6999999999999997</v>
      </c>
      <c r="E16" s="1">
        <f t="shared" si="7"/>
        <v>13.499999999999998</v>
      </c>
      <c r="F16" s="33"/>
      <c r="G16" s="33">
        <f t="shared" si="9"/>
        <v>32.4</v>
      </c>
      <c r="H16" s="33"/>
      <c r="I16" s="33"/>
      <c r="K16" s="33">
        <f t="shared" si="8"/>
        <v>94.499999999999986</v>
      </c>
    </row>
    <row r="17" spans="1:19">
      <c r="A17" s="141"/>
      <c r="B17" s="157" t="s">
        <v>611</v>
      </c>
      <c r="C17" s="128">
        <v>0.3</v>
      </c>
      <c r="D17" s="1">
        <f t="shared" si="6"/>
        <v>2.6999999999999997</v>
      </c>
      <c r="E17" s="1">
        <f t="shared" si="7"/>
        <v>13.499999999999998</v>
      </c>
      <c r="F17" s="33"/>
      <c r="G17" s="33">
        <f t="shared" si="9"/>
        <v>32.4</v>
      </c>
      <c r="H17" s="33"/>
      <c r="I17" s="33"/>
      <c r="K17" s="33">
        <f t="shared" si="8"/>
        <v>94.499999999999986</v>
      </c>
    </row>
    <row r="18" spans="1:19">
      <c r="A18" s="141"/>
      <c r="B18" s="157" t="s">
        <v>612</v>
      </c>
      <c r="C18" s="128">
        <v>0.3</v>
      </c>
      <c r="D18" s="1">
        <f t="shared" si="6"/>
        <v>2.6999999999999997</v>
      </c>
      <c r="E18" s="1">
        <f t="shared" si="7"/>
        <v>13.499999999999998</v>
      </c>
      <c r="F18" s="33"/>
      <c r="G18" s="33">
        <f t="shared" si="9"/>
        <v>32.4</v>
      </c>
      <c r="H18" s="33"/>
      <c r="I18" s="33"/>
      <c r="K18" s="33">
        <f t="shared" si="8"/>
        <v>94.499999999999986</v>
      </c>
    </row>
    <row r="19" spans="1:19">
      <c r="A19" s="140"/>
      <c r="B19" s="144" t="s">
        <v>617</v>
      </c>
      <c r="C19" s="128">
        <v>1.5</v>
      </c>
      <c r="D19" s="1">
        <f t="shared" si="6"/>
        <v>13.5</v>
      </c>
      <c r="E19" s="1">
        <f t="shared" si="7"/>
        <v>67.5</v>
      </c>
      <c r="F19" s="33"/>
      <c r="G19" s="33"/>
      <c r="H19" s="33"/>
      <c r="I19" s="33">
        <f>D19*12</f>
        <v>162</v>
      </c>
      <c r="K19" s="33">
        <f t="shared" si="8"/>
        <v>472.5</v>
      </c>
    </row>
    <row r="20" spans="1:19">
      <c r="A20" s="140"/>
      <c r="B20" s="144" t="s">
        <v>618</v>
      </c>
      <c r="C20" s="128">
        <v>0.3</v>
      </c>
      <c r="D20" s="1">
        <f t="shared" si="6"/>
        <v>2.6999999999999997</v>
      </c>
      <c r="E20" s="1">
        <f t="shared" si="7"/>
        <v>13.499999999999998</v>
      </c>
      <c r="F20" s="33"/>
      <c r="G20" s="33"/>
      <c r="H20" s="33"/>
      <c r="I20" s="33">
        <f>D20*12</f>
        <v>32.4</v>
      </c>
      <c r="K20" s="33">
        <f t="shared" si="8"/>
        <v>94.499999999999986</v>
      </c>
      <c r="L20" s="33">
        <f>SUM(K12:K20)</f>
        <v>1827</v>
      </c>
    </row>
    <row r="21" spans="1:19">
      <c r="A21" s="163"/>
      <c r="B21" s="157"/>
      <c r="C21" s="128"/>
      <c r="F21" s="33"/>
      <c r="G21" s="33"/>
      <c r="H21" s="33"/>
      <c r="I21" s="33"/>
      <c r="K21" s="33"/>
    </row>
    <row r="22" spans="1:19" ht="25" customHeight="1">
      <c r="A22" s="125" t="s">
        <v>508</v>
      </c>
      <c r="B22" s="125" t="s">
        <v>196</v>
      </c>
      <c r="C22" s="23"/>
      <c r="D22" s="23"/>
      <c r="E22" s="23"/>
      <c r="F22" s="23"/>
      <c r="G22" s="23"/>
      <c r="H22" s="23"/>
      <c r="I22" s="23"/>
      <c r="J22" s="23"/>
      <c r="K22" s="23"/>
      <c r="N22" s="155"/>
    </row>
    <row r="23" spans="1:19" ht="18">
      <c r="A23" s="140"/>
      <c r="B23" s="144" t="s">
        <v>523</v>
      </c>
      <c r="C23" s="128">
        <v>1</v>
      </c>
      <c r="D23" s="1">
        <f t="shared" ref="D23:D24" si="10">C23*9</f>
        <v>9</v>
      </c>
      <c r="E23" s="1">
        <f t="shared" ref="E23:E24" si="11">D23*5</f>
        <v>45</v>
      </c>
      <c r="H23" s="33">
        <f t="shared" ref="H23:H24" si="12">D23*15</f>
        <v>135</v>
      </c>
      <c r="I23" s="33"/>
      <c r="K23" s="33">
        <f t="shared" ref="K23:K24" si="13">D23*35</f>
        <v>315</v>
      </c>
      <c r="N23" s="155"/>
    </row>
    <row r="24" spans="1:19" ht="18">
      <c r="A24" s="140"/>
      <c r="B24" s="144" t="s">
        <v>549</v>
      </c>
      <c r="C24" s="128">
        <v>0.5</v>
      </c>
      <c r="D24" s="1">
        <f t="shared" si="10"/>
        <v>4.5</v>
      </c>
      <c r="E24" s="1">
        <f t="shared" si="11"/>
        <v>22.5</v>
      </c>
      <c r="H24" s="33">
        <f t="shared" si="12"/>
        <v>67.5</v>
      </c>
      <c r="I24" s="33"/>
      <c r="K24" s="33">
        <f t="shared" si="13"/>
        <v>157.5</v>
      </c>
      <c r="L24" s="33">
        <f>SUM(K23:K24)</f>
        <v>472.5</v>
      </c>
      <c r="N24" s="155"/>
    </row>
    <row r="25" spans="1:19" ht="18">
      <c r="B25" s="1"/>
      <c r="C25" s="128"/>
      <c r="H25" s="33"/>
      <c r="I25" s="33"/>
      <c r="K25" s="33"/>
      <c r="N25" s="155"/>
    </row>
    <row r="26" spans="1:19">
      <c r="B26" s="105"/>
      <c r="C26" s="128"/>
      <c r="F26" s="33"/>
      <c r="G26" s="33"/>
      <c r="H26" s="33"/>
      <c r="I26" s="33"/>
      <c r="K26" s="33"/>
    </row>
    <row r="27" spans="1:19">
      <c r="A27" s="118" t="s">
        <v>199</v>
      </c>
      <c r="B27" s="57"/>
      <c r="C27" s="11">
        <f t="shared" ref="C27:I27" si="14">SUM(C6:C26)</f>
        <v>8.5</v>
      </c>
      <c r="D27" s="11">
        <f>SUM(D6:D26)</f>
        <v>76.500000000000014</v>
      </c>
      <c r="E27" s="59">
        <f t="shared" si="14"/>
        <v>382.5</v>
      </c>
      <c r="F27" s="59">
        <f t="shared" si="14"/>
        <v>80.999999999999986</v>
      </c>
      <c r="G27" s="59">
        <f t="shared" si="14"/>
        <v>226.8</v>
      </c>
      <c r="H27" s="59">
        <f t="shared" si="14"/>
        <v>472.5</v>
      </c>
      <c r="I27" s="59">
        <f t="shared" si="14"/>
        <v>248.4</v>
      </c>
      <c r="J27" s="59">
        <f>SUM(E27:I27)</f>
        <v>1411.2</v>
      </c>
      <c r="K27" s="60">
        <f>SUM(K6:K26)</f>
        <v>2677.5</v>
      </c>
      <c r="L27" s="39"/>
      <c r="M27" s="29" t="s">
        <v>2</v>
      </c>
      <c r="N27" s="16" t="s">
        <v>1</v>
      </c>
    </row>
    <row r="28" spans="1:19">
      <c r="E28" s="164">
        <f t="shared" ref="E28:K28" si="15">E27*40</f>
        <v>15300</v>
      </c>
      <c r="F28" s="164">
        <f t="shared" si="15"/>
        <v>3239.9999999999995</v>
      </c>
      <c r="G28" s="164">
        <f>G27*40</f>
        <v>9072</v>
      </c>
      <c r="H28" s="164">
        <f t="shared" si="15"/>
        <v>18900</v>
      </c>
      <c r="I28" s="164">
        <f t="shared" si="15"/>
        <v>9936</v>
      </c>
      <c r="J28" s="7">
        <f t="shared" si="15"/>
        <v>56448</v>
      </c>
      <c r="K28" s="7">
        <f t="shared" si="15"/>
        <v>107100</v>
      </c>
      <c r="L28" s="5" t="s">
        <v>4</v>
      </c>
      <c r="M28" s="7">
        <f t="shared" ref="M28:M30" si="16">N28*40</f>
        <v>107100</v>
      </c>
      <c r="N28" s="8">
        <f>K27</f>
        <v>2677.5</v>
      </c>
      <c r="S28" s="4"/>
    </row>
    <row r="29" spans="1:19">
      <c r="G29" s="33"/>
      <c r="H29" s="123"/>
      <c r="I29" s="123"/>
      <c r="L29" s="5" t="s">
        <v>3</v>
      </c>
      <c r="M29" s="7">
        <f t="shared" si="16"/>
        <v>101745</v>
      </c>
      <c r="N29" s="8">
        <f>N28-N28*0.05</f>
        <v>2543.625</v>
      </c>
    </row>
    <row r="30" spans="1:19">
      <c r="B30" s="1"/>
      <c r="G30" s="33"/>
      <c r="L30" s="5" t="s">
        <v>5</v>
      </c>
      <c r="M30" s="7">
        <f t="shared" si="16"/>
        <v>56448</v>
      </c>
      <c r="N30" s="8">
        <f>J27</f>
        <v>1411.2</v>
      </c>
    </row>
    <row r="31" spans="1:19">
      <c r="B31" s="1"/>
      <c r="L31" s="37" t="s">
        <v>18</v>
      </c>
      <c r="M31" s="7">
        <f>N31*40</f>
        <v>45297</v>
      </c>
      <c r="N31" s="8">
        <f>N29-N30</f>
        <v>1132.425</v>
      </c>
    </row>
    <row r="32" spans="1:19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DB035-7DC5-2D4D-8839-EF205E4712C0}">
  <dimension ref="A1:R87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41.5" style="2" bestFit="1" customWidth="1"/>
    <col min="3" max="3" width="10.83203125" style="1" customWidth="1"/>
    <col min="4" max="5" width="10.33203125" style="1" customWidth="1"/>
    <col min="6" max="8" width="10.83203125" style="1"/>
    <col min="9" max="9" width="11.1640625" style="1" customWidth="1"/>
    <col min="10" max="10" width="10.6640625" style="1" customWidth="1"/>
    <col min="11" max="11" width="15.33203125" style="1" bestFit="1" customWidth="1"/>
    <col min="12" max="12" width="12" style="1" customWidth="1"/>
    <col min="13" max="13" width="11.1640625" style="1" customWidth="1"/>
    <col min="14" max="14" width="12.5" style="1" bestFit="1" customWidth="1"/>
    <col min="15" max="15" width="13" style="1" customWidth="1"/>
    <col min="16" max="16384" width="10.83203125" style="1"/>
  </cols>
  <sheetData>
    <row r="1" spans="1:15">
      <c r="A1" s="11"/>
      <c r="B1" s="97"/>
      <c r="C1" s="11"/>
      <c r="D1" s="11"/>
      <c r="E1" s="11"/>
      <c r="F1" s="11"/>
      <c r="G1" s="11"/>
      <c r="H1" s="11"/>
      <c r="I1" s="11"/>
      <c r="J1" s="11"/>
    </row>
    <row r="2" spans="1:15">
      <c r="B2" s="129" t="s">
        <v>671</v>
      </c>
      <c r="E2" s="41" t="s">
        <v>0</v>
      </c>
      <c r="F2" s="119" t="s">
        <v>206</v>
      </c>
      <c r="G2" s="38" t="s">
        <v>7</v>
      </c>
      <c r="H2" s="109" t="s">
        <v>108</v>
      </c>
    </row>
    <row r="3" spans="1:15">
      <c r="E3" s="38"/>
      <c r="F3" s="38"/>
      <c r="G3" s="38"/>
      <c r="H3" s="38"/>
    </row>
    <row r="4" spans="1:15" ht="21">
      <c r="A4" s="116"/>
    </row>
    <row r="5" spans="1:15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98" t="s">
        <v>10</v>
      </c>
      <c r="F5" s="110" t="s">
        <v>13</v>
      </c>
      <c r="G5" s="110" t="s">
        <v>14</v>
      </c>
      <c r="H5" s="98" t="s">
        <v>15</v>
      </c>
      <c r="I5" s="31" t="s">
        <v>16</v>
      </c>
      <c r="J5" s="39" t="s">
        <v>18</v>
      </c>
    </row>
    <row r="6" spans="1:15">
      <c r="A6" s="141"/>
      <c r="B6" s="145" t="s">
        <v>553</v>
      </c>
      <c r="C6" s="128">
        <v>0.3</v>
      </c>
      <c r="D6" s="1" t="e">
        <f>'May 25'!#REF!=C6*9</f>
        <v>#REF!</v>
      </c>
      <c r="E6" s="33"/>
      <c r="F6" s="33"/>
      <c r="G6" s="33" t="e">
        <f t="shared" ref="G6" si="0">D6*15</f>
        <v>#REF!</v>
      </c>
      <c r="H6" s="33"/>
      <c r="J6" s="33" t="e">
        <f t="shared" ref="J6:J16" si="1">D6*35</f>
        <v>#REF!</v>
      </c>
      <c r="O6" s="33"/>
    </row>
    <row r="7" spans="1:15">
      <c r="A7" s="141"/>
      <c r="B7" s="157" t="s">
        <v>555</v>
      </c>
      <c r="C7" s="128">
        <v>0.5</v>
      </c>
      <c r="D7" s="1">
        <f t="shared" ref="D7:D16" si="2">C7*9</f>
        <v>4.5</v>
      </c>
      <c r="E7" s="33">
        <f>D7*15</f>
        <v>67.5</v>
      </c>
      <c r="F7" s="33"/>
      <c r="G7" s="33"/>
      <c r="H7" s="33"/>
      <c r="J7" s="33">
        <f t="shared" si="1"/>
        <v>157.5</v>
      </c>
      <c r="O7" s="33"/>
    </row>
    <row r="8" spans="1:15">
      <c r="A8" s="141"/>
      <c r="B8" s="144" t="s">
        <v>564</v>
      </c>
      <c r="C8" s="128">
        <v>0.3</v>
      </c>
      <c r="D8" s="1">
        <f t="shared" si="2"/>
        <v>2.6999999999999997</v>
      </c>
      <c r="E8" s="33"/>
      <c r="F8" s="33">
        <f t="shared" ref="F8:F10" si="3">D8*12</f>
        <v>32.4</v>
      </c>
      <c r="G8" s="33"/>
      <c r="H8" s="33"/>
      <c r="J8" s="33">
        <f t="shared" si="1"/>
        <v>94.499999999999986</v>
      </c>
      <c r="O8" s="33"/>
    </row>
    <row r="9" spans="1:15">
      <c r="A9" s="141"/>
      <c r="B9" s="144" t="s">
        <v>565</v>
      </c>
      <c r="C9" s="128">
        <v>0.3</v>
      </c>
      <c r="D9" s="1">
        <f t="shared" si="2"/>
        <v>2.6999999999999997</v>
      </c>
      <c r="E9" s="33"/>
      <c r="F9" s="33">
        <f t="shared" si="3"/>
        <v>32.4</v>
      </c>
      <c r="G9" s="33"/>
      <c r="H9" s="33"/>
      <c r="J9" s="33">
        <f t="shared" si="1"/>
        <v>94.499999999999986</v>
      </c>
      <c r="O9" s="33"/>
    </row>
    <row r="10" spans="1:15">
      <c r="A10" s="141"/>
      <c r="B10" s="144" t="s">
        <v>567</v>
      </c>
      <c r="C10" s="128">
        <v>0.3</v>
      </c>
      <c r="D10" s="1">
        <f t="shared" si="2"/>
        <v>2.6999999999999997</v>
      </c>
      <c r="E10" s="33"/>
      <c r="F10" s="33">
        <f t="shared" si="3"/>
        <v>32.4</v>
      </c>
      <c r="G10" s="33"/>
      <c r="H10" s="33"/>
      <c r="J10" s="33">
        <f t="shared" si="1"/>
        <v>94.499999999999986</v>
      </c>
      <c r="O10" s="33"/>
    </row>
    <row r="11" spans="1:15">
      <c r="A11" s="140"/>
      <c r="B11" s="144" t="s">
        <v>566</v>
      </c>
      <c r="C11" s="128">
        <v>0.5</v>
      </c>
      <c r="D11" s="1">
        <f t="shared" si="2"/>
        <v>4.5</v>
      </c>
      <c r="E11" s="33"/>
      <c r="F11" s="33"/>
      <c r="G11" s="33"/>
      <c r="H11" s="33">
        <f>D11*12</f>
        <v>54</v>
      </c>
      <c r="J11" s="33">
        <f t="shared" si="1"/>
        <v>157.5</v>
      </c>
      <c r="O11" s="33"/>
    </row>
    <row r="12" spans="1:15">
      <c r="A12" s="140"/>
      <c r="B12" s="144" t="s">
        <v>568</v>
      </c>
      <c r="C12" s="128">
        <v>0.3</v>
      </c>
      <c r="D12" s="1">
        <f t="shared" si="2"/>
        <v>2.6999999999999997</v>
      </c>
      <c r="E12" s="33"/>
      <c r="F12" s="33"/>
      <c r="G12" s="33"/>
      <c r="H12" s="33">
        <f t="shared" ref="H12:H13" si="4">D12*12</f>
        <v>32.4</v>
      </c>
      <c r="J12" s="33">
        <f t="shared" si="1"/>
        <v>94.499999999999986</v>
      </c>
      <c r="O12" s="33"/>
    </row>
    <row r="13" spans="1:15">
      <c r="A13" s="140"/>
      <c r="B13" s="144" t="s">
        <v>569</v>
      </c>
      <c r="C13" s="128">
        <v>0.3</v>
      </c>
      <c r="D13" s="1">
        <f t="shared" si="2"/>
        <v>2.6999999999999997</v>
      </c>
      <c r="E13" s="33"/>
      <c r="F13" s="33"/>
      <c r="G13" s="33"/>
      <c r="H13" s="33">
        <f t="shared" si="4"/>
        <v>32.4</v>
      </c>
      <c r="J13" s="33">
        <f t="shared" si="1"/>
        <v>94.499999999999986</v>
      </c>
      <c r="O13" s="33"/>
    </row>
    <row r="14" spans="1:15">
      <c r="A14" s="140"/>
      <c r="B14" s="145" t="s">
        <v>570</v>
      </c>
      <c r="C14" s="128">
        <v>0.3</v>
      </c>
      <c r="D14" s="1">
        <f t="shared" si="2"/>
        <v>2.6999999999999997</v>
      </c>
      <c r="E14" s="33"/>
      <c r="F14" s="33">
        <f t="shared" ref="F14:F15" si="5">D14*12</f>
        <v>32.4</v>
      </c>
      <c r="G14" s="33"/>
      <c r="H14" s="33"/>
      <c r="J14" s="33">
        <f t="shared" si="1"/>
        <v>94.499999999999986</v>
      </c>
      <c r="O14" s="33"/>
    </row>
    <row r="15" spans="1:15">
      <c r="A15" s="140"/>
      <c r="B15" s="145" t="s">
        <v>584</v>
      </c>
      <c r="C15" s="128">
        <v>0.3</v>
      </c>
      <c r="D15" s="1">
        <f t="shared" si="2"/>
        <v>2.6999999999999997</v>
      </c>
      <c r="F15" s="33">
        <f t="shared" si="5"/>
        <v>32.4</v>
      </c>
      <c r="G15" s="33"/>
      <c r="H15" s="33"/>
      <c r="J15" s="33">
        <f t="shared" si="1"/>
        <v>94.499999999999986</v>
      </c>
      <c r="O15" s="33"/>
    </row>
    <row r="16" spans="1:15">
      <c r="A16" s="140"/>
      <c r="B16" s="144" t="s">
        <v>585</v>
      </c>
      <c r="C16" s="128">
        <v>0.3</v>
      </c>
      <c r="D16" s="1">
        <f t="shared" si="2"/>
        <v>2.6999999999999997</v>
      </c>
      <c r="F16" s="33"/>
      <c r="G16" s="33"/>
      <c r="H16" s="33">
        <f t="shared" ref="H16" si="6">D16*12</f>
        <v>32.4</v>
      </c>
      <c r="J16" s="33">
        <f t="shared" si="1"/>
        <v>94.499999999999986</v>
      </c>
      <c r="M16" s="105"/>
      <c r="O16" s="33"/>
    </row>
    <row r="17" spans="1:11" ht="25" customHeight="1">
      <c r="A17" s="125" t="s">
        <v>81</v>
      </c>
      <c r="B17" s="125" t="s">
        <v>196</v>
      </c>
      <c r="C17" s="23"/>
      <c r="D17" s="23"/>
      <c r="E17" s="23"/>
      <c r="F17" s="23"/>
      <c r="G17" s="23"/>
      <c r="H17" s="23"/>
      <c r="I17" s="23"/>
      <c r="J17" s="23"/>
    </row>
    <row r="18" spans="1:11">
      <c r="A18" s="141"/>
      <c r="B18" s="157" t="s">
        <v>552</v>
      </c>
      <c r="C18" s="128">
        <v>0.3</v>
      </c>
      <c r="D18" s="1">
        <f t="shared" ref="D18:D33" si="7">C18*9</f>
        <v>2.6999999999999997</v>
      </c>
      <c r="E18" s="33"/>
      <c r="F18" s="33">
        <f t="shared" ref="F18" si="8">D18*12</f>
        <v>32.4</v>
      </c>
      <c r="G18" s="33"/>
      <c r="H18" s="33"/>
      <c r="J18" s="33">
        <f t="shared" ref="J18:J33" si="9">D18*35</f>
        <v>94.499999999999986</v>
      </c>
    </row>
    <row r="19" spans="1:11">
      <c r="A19" s="141"/>
      <c r="B19" s="144" t="s">
        <v>556</v>
      </c>
      <c r="C19" s="128">
        <v>0.3</v>
      </c>
      <c r="D19" s="1">
        <f t="shared" si="7"/>
        <v>2.6999999999999997</v>
      </c>
      <c r="E19" s="33"/>
      <c r="F19" s="33"/>
      <c r="G19" s="33">
        <f t="shared" ref="G19:G20" si="10">D19*15</f>
        <v>40.499999999999993</v>
      </c>
      <c r="H19" s="33"/>
      <c r="J19" s="33">
        <f t="shared" si="9"/>
        <v>94.499999999999986</v>
      </c>
    </row>
    <row r="20" spans="1:11">
      <c r="A20" s="140"/>
      <c r="B20" s="144" t="s">
        <v>557</v>
      </c>
      <c r="C20" s="128">
        <v>0.3</v>
      </c>
      <c r="D20" s="1">
        <f t="shared" si="7"/>
        <v>2.6999999999999997</v>
      </c>
      <c r="E20" s="33"/>
      <c r="F20" s="33"/>
      <c r="G20" s="33">
        <f t="shared" si="10"/>
        <v>40.499999999999993</v>
      </c>
      <c r="H20" s="33"/>
      <c r="J20" s="33">
        <f t="shared" si="9"/>
        <v>94.499999999999986</v>
      </c>
    </row>
    <row r="21" spans="1:11">
      <c r="A21" s="140"/>
      <c r="B21" s="144" t="s">
        <v>561</v>
      </c>
      <c r="C21" s="128">
        <v>0.3</v>
      </c>
      <c r="D21" s="1">
        <f t="shared" si="7"/>
        <v>2.6999999999999997</v>
      </c>
      <c r="E21" s="33"/>
      <c r="F21" s="33">
        <f t="shared" ref="F21:F22" si="11">D21*12</f>
        <v>32.4</v>
      </c>
      <c r="G21" s="33"/>
      <c r="H21" s="33"/>
      <c r="J21" s="33">
        <f t="shared" si="9"/>
        <v>94.499999999999986</v>
      </c>
    </row>
    <row r="22" spans="1:11">
      <c r="A22" s="140"/>
      <c r="B22" s="144" t="s">
        <v>562</v>
      </c>
      <c r="C22" s="128">
        <v>0.3</v>
      </c>
      <c r="D22" s="1">
        <f t="shared" si="7"/>
        <v>2.6999999999999997</v>
      </c>
      <c r="E22" s="33"/>
      <c r="F22" s="33">
        <f t="shared" si="11"/>
        <v>32.4</v>
      </c>
      <c r="G22" s="33"/>
      <c r="H22" s="33"/>
      <c r="J22" s="33">
        <f t="shared" si="9"/>
        <v>94.499999999999986</v>
      </c>
    </row>
    <row r="23" spans="1:11">
      <c r="A23" s="140"/>
      <c r="B23" s="144" t="s">
        <v>563</v>
      </c>
      <c r="C23" s="128">
        <v>0.5</v>
      </c>
      <c r="D23" s="1">
        <f t="shared" si="7"/>
        <v>4.5</v>
      </c>
      <c r="E23" s="33">
        <f>D23*15</f>
        <v>67.5</v>
      </c>
      <c r="F23" s="33"/>
      <c r="G23" s="33"/>
      <c r="H23" s="33"/>
      <c r="J23" s="33">
        <f t="shared" si="9"/>
        <v>157.5</v>
      </c>
    </row>
    <row r="24" spans="1:11">
      <c r="A24" s="140"/>
      <c r="B24" s="144" t="s">
        <v>499</v>
      </c>
      <c r="C24" s="128">
        <v>0.5</v>
      </c>
      <c r="D24" s="1">
        <f t="shared" si="7"/>
        <v>4.5</v>
      </c>
      <c r="E24" s="33">
        <f>D24*15</f>
        <v>67.5</v>
      </c>
      <c r="F24" s="33"/>
      <c r="G24" s="33"/>
      <c r="H24" s="33"/>
      <c r="J24" s="33">
        <f t="shared" si="9"/>
        <v>157.5</v>
      </c>
    </row>
    <row r="25" spans="1:11">
      <c r="A25" s="140"/>
      <c r="B25" s="144" t="s">
        <v>501</v>
      </c>
      <c r="C25" s="128">
        <v>0.5</v>
      </c>
      <c r="D25" s="1">
        <f t="shared" si="7"/>
        <v>4.5</v>
      </c>
      <c r="E25" s="33">
        <f>D25*15</f>
        <v>67.5</v>
      </c>
      <c r="F25" s="33"/>
      <c r="G25" s="33"/>
      <c r="H25" s="33"/>
      <c r="J25" s="33">
        <f t="shared" si="9"/>
        <v>157.5</v>
      </c>
    </row>
    <row r="26" spans="1:11">
      <c r="A26" s="140"/>
      <c r="B26" s="144" t="s">
        <v>551</v>
      </c>
      <c r="C26" s="128">
        <v>0.3</v>
      </c>
      <c r="D26" s="1">
        <f t="shared" si="7"/>
        <v>2.6999999999999997</v>
      </c>
      <c r="E26" s="33"/>
      <c r="F26" s="33"/>
      <c r="G26" s="33"/>
      <c r="H26" s="33">
        <f t="shared" ref="H26" si="12">D26*12</f>
        <v>32.4</v>
      </c>
      <c r="J26" s="33">
        <f t="shared" si="9"/>
        <v>94.499999999999986</v>
      </c>
    </row>
    <row r="27" spans="1:11">
      <c r="A27" s="141"/>
      <c r="B27" s="144" t="s">
        <v>571</v>
      </c>
      <c r="C27" s="128">
        <v>0.3</v>
      </c>
      <c r="D27" s="1">
        <f t="shared" si="7"/>
        <v>2.6999999999999997</v>
      </c>
      <c r="E27" s="33"/>
      <c r="F27" s="33">
        <f>D27*12</f>
        <v>32.4</v>
      </c>
      <c r="G27" s="33"/>
      <c r="H27" s="33"/>
      <c r="J27" s="33">
        <f t="shared" si="9"/>
        <v>94.499999999999986</v>
      </c>
    </row>
    <row r="28" spans="1:11">
      <c r="A28" s="141"/>
      <c r="B28" s="144" t="s">
        <v>572</v>
      </c>
      <c r="C28" s="128">
        <v>0.3</v>
      </c>
      <c r="D28" s="1">
        <f t="shared" si="7"/>
        <v>2.6999999999999997</v>
      </c>
      <c r="E28" s="33"/>
      <c r="F28" s="33">
        <f t="shared" ref="F28:F30" si="13">D28*12</f>
        <v>32.4</v>
      </c>
      <c r="G28" s="33"/>
      <c r="H28" s="33"/>
      <c r="J28" s="33">
        <f t="shared" si="9"/>
        <v>94.499999999999986</v>
      </c>
    </row>
    <row r="29" spans="1:11">
      <c r="A29" s="141"/>
      <c r="B29" s="144" t="s">
        <v>573</v>
      </c>
      <c r="C29" s="128">
        <v>0.3</v>
      </c>
      <c r="D29" s="1">
        <f t="shared" si="7"/>
        <v>2.6999999999999997</v>
      </c>
      <c r="E29" s="33">
        <f t="shared" ref="E29:E32" si="14">D29*15</f>
        <v>40.499999999999993</v>
      </c>
      <c r="F29" s="33"/>
      <c r="G29" s="33"/>
      <c r="H29" s="33"/>
      <c r="J29" s="33">
        <f t="shared" si="9"/>
        <v>94.499999999999986</v>
      </c>
    </row>
    <row r="30" spans="1:11">
      <c r="A30" s="141"/>
      <c r="B30" s="144" t="s">
        <v>577</v>
      </c>
      <c r="C30" s="128">
        <v>0.3</v>
      </c>
      <c r="D30" s="1">
        <f t="shared" si="7"/>
        <v>2.6999999999999997</v>
      </c>
      <c r="F30" s="33">
        <f t="shared" si="13"/>
        <v>32.4</v>
      </c>
      <c r="J30" s="33">
        <f t="shared" si="9"/>
        <v>94.499999999999986</v>
      </c>
      <c r="K30" s="105"/>
    </row>
    <row r="31" spans="1:11">
      <c r="A31" s="141"/>
      <c r="B31" s="144" t="s">
        <v>578</v>
      </c>
      <c r="C31" s="128">
        <v>0.3</v>
      </c>
      <c r="D31" s="1">
        <f t="shared" si="7"/>
        <v>2.6999999999999997</v>
      </c>
      <c r="E31" s="33">
        <f t="shared" si="14"/>
        <v>40.499999999999993</v>
      </c>
      <c r="J31" s="33">
        <f t="shared" si="9"/>
        <v>94.499999999999986</v>
      </c>
      <c r="K31" s="105"/>
    </row>
    <row r="32" spans="1:11">
      <c r="A32" s="141"/>
      <c r="B32" s="144" t="s">
        <v>581</v>
      </c>
      <c r="C32" s="128">
        <v>0.3</v>
      </c>
      <c r="D32" s="1">
        <f t="shared" si="7"/>
        <v>2.6999999999999997</v>
      </c>
      <c r="E32" s="33">
        <f t="shared" si="14"/>
        <v>40.499999999999993</v>
      </c>
      <c r="J32" s="33">
        <f t="shared" si="9"/>
        <v>94.499999999999986</v>
      </c>
      <c r="K32" s="105"/>
    </row>
    <row r="33" spans="1:11">
      <c r="A33" s="141"/>
      <c r="B33" s="144" t="s">
        <v>583</v>
      </c>
      <c r="C33" s="128">
        <v>0.5</v>
      </c>
      <c r="D33" s="1">
        <f t="shared" si="7"/>
        <v>4.5</v>
      </c>
      <c r="H33" s="33">
        <f t="shared" ref="H33" si="15">D33*12</f>
        <v>54</v>
      </c>
      <c r="J33" s="33">
        <f t="shared" si="9"/>
        <v>157.5</v>
      </c>
      <c r="K33" s="105"/>
    </row>
    <row r="34" spans="1:11">
      <c r="A34" s="141"/>
      <c r="B34" s="144" t="s">
        <v>574</v>
      </c>
      <c r="C34" s="128">
        <v>0.3</v>
      </c>
      <c r="D34" s="1">
        <f t="shared" ref="D34:D58" si="16">C34*9</f>
        <v>2.6999999999999997</v>
      </c>
      <c r="E34" s="33"/>
      <c r="F34" s="33">
        <f>D34*12</f>
        <v>32.4</v>
      </c>
      <c r="G34" s="33"/>
      <c r="H34" s="33"/>
      <c r="J34" s="33">
        <f t="shared" ref="J34:J58" si="17">D34*35</f>
        <v>94.499999999999986</v>
      </c>
      <c r="K34" s="105"/>
    </row>
    <row r="35" spans="1:11">
      <c r="A35" s="141"/>
      <c r="B35" s="144" t="s">
        <v>580</v>
      </c>
      <c r="C35" s="128">
        <v>0.3</v>
      </c>
      <c r="D35" s="1">
        <f t="shared" si="16"/>
        <v>2.6999999999999997</v>
      </c>
      <c r="E35" s="33">
        <f t="shared" ref="E35" si="18">D35*15</f>
        <v>40.499999999999993</v>
      </c>
      <c r="J35" s="33">
        <f t="shared" si="17"/>
        <v>94.499999999999986</v>
      </c>
      <c r="K35" s="105"/>
    </row>
    <row r="36" spans="1:11">
      <c r="A36" s="141"/>
      <c r="B36" s="144" t="s">
        <v>575</v>
      </c>
      <c r="C36" s="128">
        <v>0.3</v>
      </c>
      <c r="D36" s="1">
        <f t="shared" si="16"/>
        <v>2.6999999999999997</v>
      </c>
      <c r="E36" s="33"/>
      <c r="F36" s="33">
        <f t="shared" ref="F36" si="19">D36*12</f>
        <v>32.4</v>
      </c>
      <c r="G36" s="33"/>
      <c r="H36" s="33"/>
      <c r="J36" s="33">
        <f t="shared" si="17"/>
        <v>94.499999999999986</v>
      </c>
      <c r="K36" s="105"/>
    </row>
    <row r="37" spans="1:11">
      <c r="A37" s="141"/>
      <c r="B37" s="144" t="s">
        <v>582</v>
      </c>
      <c r="C37" s="128">
        <v>0.3</v>
      </c>
      <c r="D37" s="1">
        <f t="shared" si="16"/>
        <v>2.6999999999999997</v>
      </c>
      <c r="E37" s="33">
        <f t="shared" ref="E37:E39" si="20">D37*15</f>
        <v>40.499999999999993</v>
      </c>
      <c r="J37" s="33">
        <f t="shared" si="17"/>
        <v>94.499999999999986</v>
      </c>
      <c r="K37" s="105"/>
    </row>
    <row r="38" spans="1:11">
      <c r="A38" s="141"/>
      <c r="B38" s="144" t="s">
        <v>576</v>
      </c>
      <c r="C38" s="128">
        <v>0.3</v>
      </c>
      <c r="D38" s="1">
        <f t="shared" si="16"/>
        <v>2.6999999999999997</v>
      </c>
      <c r="E38" s="33">
        <f t="shared" si="20"/>
        <v>40.499999999999993</v>
      </c>
      <c r="F38" s="33"/>
      <c r="G38" s="33"/>
      <c r="H38" s="33"/>
      <c r="J38" s="33">
        <f t="shared" si="17"/>
        <v>94.499999999999986</v>
      </c>
      <c r="K38" s="105"/>
    </row>
    <row r="39" spans="1:11">
      <c r="A39" s="141"/>
      <c r="B39" s="144" t="s">
        <v>579</v>
      </c>
      <c r="C39" s="128">
        <v>0.3</v>
      </c>
      <c r="D39" s="1">
        <f t="shared" si="16"/>
        <v>2.6999999999999997</v>
      </c>
      <c r="E39" s="33">
        <f t="shared" si="20"/>
        <v>40.499999999999993</v>
      </c>
      <c r="F39" s="33"/>
      <c r="G39" s="33"/>
      <c r="H39" s="33"/>
      <c r="J39" s="33">
        <f t="shared" si="17"/>
        <v>94.499999999999986</v>
      </c>
      <c r="K39" s="105"/>
    </row>
    <row r="40" spans="1:11">
      <c r="A40" s="158"/>
      <c r="B40" s="113" t="s">
        <v>586</v>
      </c>
      <c r="C40" s="128">
        <v>0.3</v>
      </c>
      <c r="D40" s="1">
        <f t="shared" si="16"/>
        <v>2.6999999999999997</v>
      </c>
      <c r="E40" s="33"/>
      <c r="F40" s="33">
        <f>D40*12</f>
        <v>32.4</v>
      </c>
      <c r="G40" s="33"/>
      <c r="H40" s="33"/>
      <c r="J40" s="33">
        <f t="shared" si="17"/>
        <v>94.499999999999986</v>
      </c>
    </row>
    <row r="41" spans="1:11">
      <c r="A41" s="158"/>
      <c r="B41" s="159" t="s">
        <v>587</v>
      </c>
      <c r="C41" s="128">
        <v>0.3</v>
      </c>
      <c r="D41" s="1">
        <f t="shared" si="16"/>
        <v>2.6999999999999997</v>
      </c>
      <c r="E41" s="33"/>
      <c r="F41" s="33">
        <f t="shared" ref="F41" si="21">D41*12</f>
        <v>32.4</v>
      </c>
      <c r="G41" s="33"/>
      <c r="H41" s="33"/>
      <c r="J41" s="33">
        <f t="shared" si="17"/>
        <v>94.499999999999986</v>
      </c>
    </row>
    <row r="42" spans="1:11">
      <c r="A42" s="158"/>
      <c r="B42" s="113" t="s">
        <v>588</v>
      </c>
      <c r="C42" s="128">
        <v>0.3</v>
      </c>
      <c r="D42" s="1">
        <f t="shared" si="16"/>
        <v>2.6999999999999997</v>
      </c>
      <c r="E42" s="33"/>
      <c r="F42" s="33"/>
      <c r="G42" s="33"/>
      <c r="H42" s="33">
        <f t="shared" ref="H42" si="22">D42*12</f>
        <v>32.4</v>
      </c>
      <c r="J42" s="33">
        <f t="shared" si="17"/>
        <v>94.499999999999986</v>
      </c>
    </row>
    <row r="43" spans="1:11">
      <c r="A43" s="158"/>
      <c r="B43" s="113" t="s">
        <v>589</v>
      </c>
      <c r="C43" s="128">
        <v>0.3</v>
      </c>
      <c r="D43" s="1">
        <f t="shared" si="16"/>
        <v>2.6999999999999997</v>
      </c>
      <c r="E43" s="33">
        <f t="shared" ref="E43" si="23">D43*15</f>
        <v>40.499999999999993</v>
      </c>
      <c r="F43" s="33"/>
      <c r="G43" s="33"/>
      <c r="H43" s="33"/>
      <c r="J43" s="33">
        <f t="shared" si="17"/>
        <v>94.499999999999986</v>
      </c>
      <c r="K43" s="161" t="s">
        <v>605</v>
      </c>
    </row>
    <row r="44" spans="1:11">
      <c r="A44" s="160"/>
      <c r="B44" s="113" t="s">
        <v>590</v>
      </c>
      <c r="C44" s="128">
        <v>0.3</v>
      </c>
      <c r="D44" s="1">
        <f t="shared" si="16"/>
        <v>2.6999999999999997</v>
      </c>
      <c r="E44" s="33"/>
      <c r="F44" s="33"/>
      <c r="G44" s="33">
        <f t="shared" ref="G44:G46" si="24">D44*15</f>
        <v>40.499999999999993</v>
      </c>
      <c r="H44" s="33"/>
      <c r="J44" s="33">
        <f t="shared" si="17"/>
        <v>94.499999999999986</v>
      </c>
      <c r="K44" s="33">
        <f>D44*5</f>
        <v>13.499999999999998</v>
      </c>
    </row>
    <row r="45" spans="1:11">
      <c r="A45" s="160"/>
      <c r="B45" s="113" t="s">
        <v>591</v>
      </c>
      <c r="C45" s="128">
        <v>0.3</v>
      </c>
      <c r="D45" s="1">
        <f t="shared" si="16"/>
        <v>2.6999999999999997</v>
      </c>
      <c r="E45" s="33"/>
      <c r="F45" s="33"/>
      <c r="G45" s="33">
        <f t="shared" si="24"/>
        <v>40.499999999999993</v>
      </c>
      <c r="H45" s="33"/>
      <c r="J45" s="33">
        <f t="shared" si="17"/>
        <v>94.499999999999986</v>
      </c>
      <c r="K45" s="33">
        <f t="shared" ref="K45:K58" si="25">D45*5</f>
        <v>13.499999999999998</v>
      </c>
    </row>
    <row r="46" spans="1:11">
      <c r="A46" s="160"/>
      <c r="B46" s="113" t="s">
        <v>592</v>
      </c>
      <c r="C46" s="128">
        <v>0.3</v>
      </c>
      <c r="D46" s="1">
        <f t="shared" si="16"/>
        <v>2.6999999999999997</v>
      </c>
      <c r="E46" s="33"/>
      <c r="F46" s="33"/>
      <c r="G46" s="33">
        <f t="shared" si="24"/>
        <v>40.499999999999993</v>
      </c>
      <c r="H46" s="33"/>
      <c r="J46" s="33">
        <f t="shared" si="17"/>
        <v>94.499999999999986</v>
      </c>
      <c r="K46" s="33">
        <f t="shared" si="25"/>
        <v>13.499999999999998</v>
      </c>
    </row>
    <row r="47" spans="1:11">
      <c r="A47" s="160"/>
      <c r="B47" s="113" t="s">
        <v>593</v>
      </c>
      <c r="C47" s="128">
        <v>0.3</v>
      </c>
      <c r="D47" s="1">
        <f t="shared" si="16"/>
        <v>2.6999999999999997</v>
      </c>
      <c r="E47" s="33">
        <f t="shared" ref="E47:E49" si="26">D47*15</f>
        <v>40.499999999999993</v>
      </c>
      <c r="F47" s="33"/>
      <c r="G47" s="33"/>
      <c r="H47" s="33"/>
      <c r="J47" s="33">
        <f t="shared" si="17"/>
        <v>94.499999999999986</v>
      </c>
      <c r="K47" s="33">
        <f t="shared" si="25"/>
        <v>13.499999999999998</v>
      </c>
    </row>
    <row r="48" spans="1:11">
      <c r="A48" s="160"/>
      <c r="B48" s="113" t="s">
        <v>594</v>
      </c>
      <c r="C48" s="128">
        <v>0.3</v>
      </c>
      <c r="D48" s="1">
        <f t="shared" si="16"/>
        <v>2.6999999999999997</v>
      </c>
      <c r="E48" s="33">
        <f t="shared" si="26"/>
        <v>40.499999999999993</v>
      </c>
      <c r="F48" s="33"/>
      <c r="G48" s="33"/>
      <c r="H48" s="33"/>
      <c r="J48" s="33">
        <f t="shared" si="17"/>
        <v>94.499999999999986</v>
      </c>
      <c r="K48" s="33">
        <f t="shared" si="25"/>
        <v>13.499999999999998</v>
      </c>
    </row>
    <row r="49" spans="1:13">
      <c r="A49" s="160"/>
      <c r="B49" s="113" t="s">
        <v>595</v>
      </c>
      <c r="C49" s="128">
        <v>0.3</v>
      </c>
      <c r="D49" s="1">
        <f t="shared" si="16"/>
        <v>2.6999999999999997</v>
      </c>
      <c r="E49" s="33">
        <f t="shared" si="26"/>
        <v>40.499999999999993</v>
      </c>
      <c r="F49" s="33"/>
      <c r="G49" s="33"/>
      <c r="H49" s="33"/>
      <c r="J49" s="33">
        <f t="shared" si="17"/>
        <v>94.499999999999986</v>
      </c>
      <c r="K49" s="33">
        <f t="shared" si="25"/>
        <v>13.499999999999998</v>
      </c>
    </row>
    <row r="50" spans="1:13">
      <c r="A50" s="158"/>
      <c r="B50" s="113" t="s">
        <v>596</v>
      </c>
      <c r="C50" s="128">
        <v>0.1</v>
      </c>
      <c r="D50" s="1">
        <f t="shared" si="16"/>
        <v>0.9</v>
      </c>
      <c r="E50" s="33"/>
      <c r="F50" s="33">
        <f t="shared" ref="F50:F53" si="27">D50*12</f>
        <v>10.8</v>
      </c>
      <c r="G50" s="33"/>
      <c r="H50" s="33"/>
      <c r="J50" s="33">
        <f t="shared" si="17"/>
        <v>31.5</v>
      </c>
      <c r="K50" s="33">
        <f t="shared" si="25"/>
        <v>4.5</v>
      </c>
    </row>
    <row r="51" spans="1:13">
      <c r="A51" s="158"/>
      <c r="B51" s="113" t="s">
        <v>597</v>
      </c>
      <c r="C51" s="128">
        <v>0.1</v>
      </c>
      <c r="D51" s="1">
        <f t="shared" si="16"/>
        <v>0.9</v>
      </c>
      <c r="E51" s="33"/>
      <c r="F51" s="33">
        <f t="shared" si="27"/>
        <v>10.8</v>
      </c>
      <c r="G51" s="33"/>
      <c r="H51" s="33"/>
      <c r="J51" s="33">
        <f t="shared" si="17"/>
        <v>31.5</v>
      </c>
      <c r="K51" s="33">
        <f t="shared" si="25"/>
        <v>4.5</v>
      </c>
    </row>
    <row r="52" spans="1:13">
      <c r="A52" s="158"/>
      <c r="B52" s="113" t="s">
        <v>598</v>
      </c>
      <c r="C52" s="128">
        <v>0.1</v>
      </c>
      <c r="D52" s="1">
        <f t="shared" si="16"/>
        <v>0.9</v>
      </c>
      <c r="E52" s="33"/>
      <c r="F52" s="33">
        <f t="shared" si="27"/>
        <v>10.8</v>
      </c>
      <c r="G52" s="33"/>
      <c r="H52" s="33"/>
      <c r="J52" s="33">
        <f t="shared" si="17"/>
        <v>31.5</v>
      </c>
      <c r="K52" s="33">
        <f t="shared" si="25"/>
        <v>4.5</v>
      </c>
    </row>
    <row r="53" spans="1:13">
      <c r="A53" s="158"/>
      <c r="B53" s="113" t="s">
        <v>599</v>
      </c>
      <c r="C53" s="128">
        <v>0.1</v>
      </c>
      <c r="D53" s="1">
        <f t="shared" si="16"/>
        <v>0.9</v>
      </c>
      <c r="E53" s="33"/>
      <c r="F53" s="33">
        <f t="shared" si="27"/>
        <v>10.8</v>
      </c>
      <c r="G53" s="33"/>
      <c r="H53" s="33"/>
      <c r="J53" s="33">
        <f t="shared" si="17"/>
        <v>31.5</v>
      </c>
      <c r="K53" s="33">
        <f t="shared" si="25"/>
        <v>4.5</v>
      </c>
    </row>
    <row r="54" spans="1:13">
      <c r="A54" s="160"/>
      <c r="B54" s="113" t="s">
        <v>600</v>
      </c>
      <c r="C54" s="128">
        <v>0.3</v>
      </c>
      <c r="D54" s="1">
        <f t="shared" si="16"/>
        <v>2.6999999999999997</v>
      </c>
      <c r="E54" s="33">
        <f t="shared" ref="E54:E55" si="28">D54*15</f>
        <v>40.499999999999993</v>
      </c>
      <c r="F54" s="33"/>
      <c r="G54" s="33"/>
      <c r="H54" s="33"/>
      <c r="J54" s="33">
        <f t="shared" si="17"/>
        <v>94.499999999999986</v>
      </c>
      <c r="K54" s="33">
        <f t="shared" si="25"/>
        <v>13.499999999999998</v>
      </c>
    </row>
    <row r="55" spans="1:13">
      <c r="A55" s="160"/>
      <c r="B55" s="113" t="s">
        <v>601</v>
      </c>
      <c r="C55" s="128">
        <v>0.3</v>
      </c>
      <c r="D55" s="1">
        <f t="shared" si="16"/>
        <v>2.6999999999999997</v>
      </c>
      <c r="E55" s="33">
        <f t="shared" si="28"/>
        <v>40.499999999999993</v>
      </c>
      <c r="F55" s="33"/>
      <c r="G55" s="33"/>
      <c r="H55" s="33"/>
      <c r="J55" s="33">
        <f t="shared" si="17"/>
        <v>94.499999999999986</v>
      </c>
      <c r="K55" s="33">
        <f t="shared" si="25"/>
        <v>13.499999999999998</v>
      </c>
    </row>
    <row r="56" spans="1:13">
      <c r="A56" s="160"/>
      <c r="B56" s="113" t="s">
        <v>602</v>
      </c>
      <c r="C56" s="128">
        <v>0.3</v>
      </c>
      <c r="D56" s="1">
        <f t="shared" si="16"/>
        <v>2.6999999999999997</v>
      </c>
      <c r="E56" s="33"/>
      <c r="F56" s="33">
        <f t="shared" ref="F56:F58" si="29">D56*12</f>
        <v>32.4</v>
      </c>
      <c r="G56" s="33"/>
      <c r="H56" s="33"/>
      <c r="J56" s="33">
        <f t="shared" si="17"/>
        <v>94.499999999999986</v>
      </c>
      <c r="K56" s="33">
        <f t="shared" si="25"/>
        <v>13.499999999999998</v>
      </c>
    </row>
    <row r="57" spans="1:13">
      <c r="A57" s="160"/>
      <c r="B57" s="113" t="s">
        <v>603</v>
      </c>
      <c r="C57" s="128">
        <v>0.3</v>
      </c>
      <c r="D57" s="1">
        <f t="shared" si="16"/>
        <v>2.6999999999999997</v>
      </c>
      <c r="E57" s="33"/>
      <c r="F57" s="33">
        <f t="shared" si="29"/>
        <v>32.4</v>
      </c>
      <c r="G57" s="33"/>
      <c r="H57" s="33"/>
      <c r="J57" s="33">
        <f t="shared" si="17"/>
        <v>94.499999999999986</v>
      </c>
      <c r="K57" s="33">
        <f t="shared" si="25"/>
        <v>13.499999999999998</v>
      </c>
    </row>
    <row r="58" spans="1:13">
      <c r="A58" s="160"/>
      <c r="B58" s="113" t="s">
        <v>604</v>
      </c>
      <c r="C58" s="128">
        <v>0.3</v>
      </c>
      <c r="D58" s="1">
        <f t="shared" si="16"/>
        <v>2.6999999999999997</v>
      </c>
      <c r="E58" s="33"/>
      <c r="F58" s="33">
        <f t="shared" si="29"/>
        <v>32.4</v>
      </c>
      <c r="G58" s="33"/>
      <c r="H58" s="33"/>
      <c r="J58" s="33">
        <f t="shared" si="17"/>
        <v>94.499999999999986</v>
      </c>
      <c r="K58" s="33">
        <f t="shared" si="25"/>
        <v>13.499999999999998</v>
      </c>
    </row>
    <row r="59" spans="1:13" ht="25" customHeight="1">
      <c r="A59" s="125" t="s">
        <v>508</v>
      </c>
      <c r="B59" s="125" t="s">
        <v>196</v>
      </c>
      <c r="C59" s="23"/>
      <c r="D59" s="23"/>
      <c r="E59" s="23"/>
      <c r="F59" s="23"/>
      <c r="G59" s="23"/>
      <c r="H59" s="23"/>
      <c r="I59" s="23"/>
      <c r="J59" s="23"/>
      <c r="M59" s="155"/>
    </row>
    <row r="60" spans="1:13">
      <c r="A60" s="141"/>
      <c r="B60" s="105" t="s">
        <v>559</v>
      </c>
      <c r="C60" s="128">
        <v>0.5</v>
      </c>
      <c r="D60" s="1">
        <f t="shared" ref="D60:D62" si="30">C60*9</f>
        <v>4.5</v>
      </c>
      <c r="E60" s="33"/>
      <c r="F60" s="33"/>
      <c r="G60" s="33">
        <f t="shared" ref="G60:G61" si="31">D60*15</f>
        <v>67.5</v>
      </c>
      <c r="H60" s="33"/>
      <c r="J60" s="33">
        <f t="shared" ref="J60:J62" si="32">D60*35</f>
        <v>157.5</v>
      </c>
    </row>
    <row r="61" spans="1:13">
      <c r="A61" s="158"/>
      <c r="B61" s="105" t="s">
        <v>560</v>
      </c>
      <c r="C61" s="128">
        <v>0.5</v>
      </c>
      <c r="D61" s="1">
        <f t="shared" si="30"/>
        <v>4.5</v>
      </c>
      <c r="E61" s="33"/>
      <c r="F61" s="33"/>
      <c r="G61" s="33">
        <f t="shared" si="31"/>
        <v>67.5</v>
      </c>
      <c r="H61" s="33"/>
      <c r="J61" s="33">
        <f t="shared" si="32"/>
        <v>157.5</v>
      </c>
    </row>
    <row r="62" spans="1:13">
      <c r="A62" s="158"/>
      <c r="B62" s="105" t="s">
        <v>558</v>
      </c>
      <c r="C62" s="128">
        <v>0.5</v>
      </c>
      <c r="D62" s="1">
        <f t="shared" si="30"/>
        <v>4.5</v>
      </c>
      <c r="E62" s="33"/>
      <c r="F62" s="33"/>
      <c r="G62" s="33"/>
      <c r="H62" s="33">
        <f>D62*12</f>
        <v>54</v>
      </c>
      <c r="J62" s="33">
        <f t="shared" si="32"/>
        <v>157.5</v>
      </c>
    </row>
    <row r="63" spans="1:13">
      <c r="B63" s="1"/>
      <c r="C63" s="128"/>
      <c r="G63" s="33"/>
      <c r="H63" s="33"/>
      <c r="J63" s="33"/>
    </row>
    <row r="64" spans="1:13">
      <c r="B64" s="105"/>
      <c r="C64" s="128"/>
      <c r="E64" s="33"/>
      <c r="F64" s="33"/>
      <c r="G64" s="33"/>
      <c r="H64" s="33"/>
      <c r="J64" s="33"/>
    </row>
    <row r="65" spans="1:18">
      <c r="A65" s="118" t="s">
        <v>199</v>
      </c>
      <c r="B65" s="57"/>
      <c r="C65" s="11">
        <f t="shared" ref="C65:H65" si="33">SUM(C6:C64)</f>
        <v>17.500000000000011</v>
      </c>
      <c r="D65" s="11" t="e">
        <f t="shared" si="33"/>
        <v>#REF!</v>
      </c>
      <c r="E65" s="59">
        <f t="shared" si="33"/>
        <v>796.5</v>
      </c>
      <c r="F65" s="59">
        <f t="shared" si="33"/>
        <v>626.39999999999975</v>
      </c>
      <c r="G65" s="59" t="e">
        <f t="shared" si="33"/>
        <v>#REF!</v>
      </c>
      <c r="H65" s="59">
        <f t="shared" si="33"/>
        <v>324</v>
      </c>
      <c r="I65" s="59" t="e">
        <f>SUM(E65:H65)</f>
        <v>#REF!</v>
      </c>
      <c r="J65" s="60" t="e">
        <f>SUM(J6:J64)</f>
        <v>#REF!</v>
      </c>
      <c r="K65" s="39"/>
      <c r="L65" s="29" t="s">
        <v>2</v>
      </c>
      <c r="M65" s="16" t="s">
        <v>1</v>
      </c>
      <c r="O65" s="162" t="s">
        <v>82</v>
      </c>
      <c r="P65" s="105" t="e">
        <f>SUM(D6:D16)</f>
        <v>#REF!</v>
      </c>
      <c r="Q65" s="105" t="e">
        <f>P65*35</f>
        <v>#REF!</v>
      </c>
      <c r="R65" s="1">
        <v>1166</v>
      </c>
    </row>
    <row r="66" spans="1:18">
      <c r="E66" s="142">
        <f t="shared" ref="E66:J66" si="34">E65*40</f>
        <v>31860</v>
      </c>
      <c r="F66" s="142">
        <f>F65*40</f>
        <v>25055.999999999989</v>
      </c>
      <c r="G66" s="142" t="e">
        <f t="shared" si="34"/>
        <v>#REF!</v>
      </c>
      <c r="H66" s="142">
        <f t="shared" si="34"/>
        <v>12960</v>
      </c>
      <c r="I66" s="142" t="e">
        <f t="shared" si="34"/>
        <v>#REF!</v>
      </c>
      <c r="J66" s="7" t="e">
        <f t="shared" si="34"/>
        <v>#REF!</v>
      </c>
      <c r="K66" s="5" t="s">
        <v>4</v>
      </c>
      <c r="L66" s="7" t="e">
        <f t="shared" ref="L66:L68" si="35">M66*40</f>
        <v>#REF!</v>
      </c>
      <c r="M66" s="8" t="e">
        <f>J65</f>
        <v>#REF!</v>
      </c>
      <c r="O66" s="162" t="s">
        <v>81</v>
      </c>
      <c r="P66" s="105">
        <f>SUM(D18:D58)</f>
        <v>110.70000000000009</v>
      </c>
      <c r="Q66" s="105">
        <f>P66*35</f>
        <v>3874.5000000000032</v>
      </c>
      <c r="R66" s="1">
        <v>3875</v>
      </c>
    </row>
    <row r="67" spans="1:18">
      <c r="F67" s="33"/>
      <c r="G67" s="123"/>
      <c r="H67" s="123"/>
      <c r="K67" s="5" t="s">
        <v>3</v>
      </c>
      <c r="L67" s="7" t="e">
        <f t="shared" si="35"/>
        <v>#REF!</v>
      </c>
      <c r="M67" s="8" t="e">
        <f>M66-M66*0.05</f>
        <v>#REF!</v>
      </c>
      <c r="O67" s="162" t="s">
        <v>508</v>
      </c>
      <c r="P67" s="105">
        <f>SUM(D60:D62)</f>
        <v>13.5</v>
      </c>
      <c r="Q67" s="105">
        <f>P67*35</f>
        <v>472.5</v>
      </c>
      <c r="R67" s="1">
        <v>473</v>
      </c>
    </row>
    <row r="68" spans="1:18" ht="18">
      <c r="B68" s="1"/>
      <c r="F68" s="33"/>
      <c r="K68" s="5" t="s">
        <v>5</v>
      </c>
      <c r="L68" s="7" t="e">
        <f t="shared" si="35"/>
        <v>#REF!</v>
      </c>
      <c r="M68" s="8" t="e">
        <f>I65</f>
        <v>#REF!</v>
      </c>
      <c r="Q68" s="155" t="e">
        <f>SUM(Q65:Q67)</f>
        <v>#REF!</v>
      </c>
      <c r="R68" s="1">
        <f>SUM(R65:R67)</f>
        <v>5514</v>
      </c>
    </row>
    <row r="69" spans="1:18">
      <c r="B69" s="1"/>
      <c r="K69" s="37" t="s">
        <v>18</v>
      </c>
      <c r="L69" s="7" t="e">
        <f>M69*40</f>
        <v>#REF!</v>
      </c>
      <c r="M69" s="8" t="e">
        <f>M67-M68</f>
        <v>#REF!</v>
      </c>
    </row>
    <row r="70" spans="1:18">
      <c r="B70" s="1"/>
    </row>
    <row r="71" spans="1:18">
      <c r="B71" s="1"/>
    </row>
    <row r="72" spans="1:18">
      <c r="B72" s="1"/>
    </row>
    <row r="73" spans="1:18">
      <c r="B73" s="1"/>
    </row>
    <row r="74" spans="1:18">
      <c r="B74" s="1"/>
    </row>
    <row r="75" spans="1:18">
      <c r="B75" s="1"/>
    </row>
    <row r="76" spans="1:18">
      <c r="B76" s="1"/>
    </row>
    <row r="77" spans="1:18">
      <c r="B77" s="1"/>
    </row>
    <row r="78" spans="1:18">
      <c r="B78" s="1"/>
    </row>
    <row r="79" spans="1:18">
      <c r="B79" s="1"/>
    </row>
    <row r="80" spans="1:18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BEA0-CD04-F141-A229-5464A1E4E2CE}">
  <dimension ref="A1:R83"/>
  <sheetViews>
    <sheetView zoomScaleNormal="100" workbookViewId="0">
      <pane ySplit="2" topLeftCell="A27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24" style="2" customWidth="1"/>
    <col min="3" max="3" width="10.83203125" style="1" customWidth="1"/>
    <col min="4" max="4" width="13.33203125" style="1" customWidth="1"/>
    <col min="5" max="5" width="10.33203125" style="1" customWidth="1"/>
    <col min="6" max="8" width="10.83203125" style="1"/>
    <col min="9" max="9" width="11.1640625" style="1" customWidth="1"/>
    <col min="10" max="10" width="10.6640625" style="1" customWidth="1"/>
    <col min="11" max="11" width="14.33203125" style="1" customWidth="1"/>
    <col min="12" max="12" width="12.33203125" style="1" customWidth="1"/>
    <col min="13" max="13" width="14" style="1" bestFit="1" customWidth="1"/>
    <col min="14" max="14" width="12.5" style="1" bestFit="1" customWidth="1"/>
    <col min="15" max="15" width="13" style="1" customWidth="1"/>
    <col min="16" max="16384" width="10.83203125" style="1"/>
  </cols>
  <sheetData>
    <row r="1" spans="1:15">
      <c r="A1" s="11"/>
      <c r="B1" s="97"/>
      <c r="C1" s="11"/>
      <c r="D1" s="11"/>
      <c r="E1" s="11"/>
      <c r="F1" s="11"/>
      <c r="G1" s="11"/>
      <c r="H1" s="11"/>
      <c r="I1" s="11"/>
      <c r="J1" s="11"/>
    </row>
    <row r="2" spans="1:15">
      <c r="B2" s="129" t="s">
        <v>671</v>
      </c>
      <c r="E2" s="41" t="s">
        <v>0</v>
      </c>
      <c r="F2" s="119" t="s">
        <v>206</v>
      </c>
      <c r="G2" s="38" t="s">
        <v>7</v>
      </c>
      <c r="H2" s="109" t="s">
        <v>108</v>
      </c>
    </row>
    <row r="3" spans="1:15">
      <c r="E3" s="38"/>
      <c r="F3" s="38"/>
      <c r="G3" s="38"/>
      <c r="H3" s="38"/>
    </row>
    <row r="4" spans="1:15" ht="21">
      <c r="A4" s="116"/>
    </row>
    <row r="5" spans="1:15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98" t="s">
        <v>10</v>
      </c>
      <c r="F5" s="110" t="s">
        <v>13</v>
      </c>
      <c r="G5" s="110" t="s">
        <v>14</v>
      </c>
      <c r="H5" s="98" t="s">
        <v>15</v>
      </c>
      <c r="I5" s="31" t="s">
        <v>16</v>
      </c>
      <c r="J5" s="39" t="s">
        <v>18</v>
      </c>
    </row>
    <row r="6" spans="1:15">
      <c r="A6" s="156"/>
      <c r="B6" s="145" t="s">
        <v>506</v>
      </c>
      <c r="C6" s="128">
        <v>0.3</v>
      </c>
      <c r="D6" s="1">
        <f t="shared" ref="D6:D21" si="0">C6*9</f>
        <v>2.6999999999999997</v>
      </c>
      <c r="E6" s="33"/>
      <c r="F6" s="33">
        <f t="shared" ref="F6:F8" si="1">D6*12</f>
        <v>32.4</v>
      </c>
      <c r="J6" s="33">
        <f t="shared" ref="J6:J21" si="2">D6*35</f>
        <v>94.499999999999986</v>
      </c>
      <c r="O6" s="33"/>
    </row>
    <row r="7" spans="1:15">
      <c r="A7" s="156"/>
      <c r="B7" s="145" t="s">
        <v>505</v>
      </c>
      <c r="C7" s="128">
        <v>0.3</v>
      </c>
      <c r="D7" s="1">
        <f t="shared" si="0"/>
        <v>2.6999999999999997</v>
      </c>
      <c r="F7" s="33">
        <f t="shared" si="1"/>
        <v>32.4</v>
      </c>
      <c r="G7" s="33"/>
      <c r="H7" s="33"/>
      <c r="J7" s="33">
        <f t="shared" si="2"/>
        <v>94.499999999999986</v>
      </c>
      <c r="O7" s="33"/>
    </row>
    <row r="8" spans="1:15">
      <c r="A8" s="156"/>
      <c r="B8" s="145" t="s">
        <v>504</v>
      </c>
      <c r="C8" s="128">
        <v>0.3</v>
      </c>
      <c r="D8" s="1">
        <f t="shared" si="0"/>
        <v>2.6999999999999997</v>
      </c>
      <c r="F8" s="33">
        <f t="shared" si="1"/>
        <v>32.4</v>
      </c>
      <c r="G8" s="33"/>
      <c r="H8" s="33"/>
      <c r="J8" s="33">
        <f t="shared" si="2"/>
        <v>94.499999999999986</v>
      </c>
      <c r="O8" s="33"/>
    </row>
    <row r="9" spans="1:15">
      <c r="A9" s="156"/>
      <c r="B9" s="105" t="s">
        <v>503</v>
      </c>
      <c r="C9" s="128">
        <v>0.5</v>
      </c>
      <c r="D9" s="1">
        <f t="shared" si="0"/>
        <v>4.5</v>
      </c>
      <c r="G9" s="33"/>
      <c r="H9" s="33">
        <f>D9*12</f>
        <v>54</v>
      </c>
      <c r="J9" s="33">
        <f t="shared" si="2"/>
        <v>157.5</v>
      </c>
      <c r="O9" s="33"/>
    </row>
    <row r="10" spans="1:15">
      <c r="A10" s="156"/>
      <c r="B10" s="105" t="s">
        <v>513</v>
      </c>
      <c r="C10" s="128">
        <v>0.3</v>
      </c>
      <c r="D10" s="1">
        <f t="shared" si="0"/>
        <v>2.6999999999999997</v>
      </c>
      <c r="G10" s="33">
        <f>D10*15</f>
        <v>40.499999999999993</v>
      </c>
      <c r="J10" s="33">
        <f t="shared" si="2"/>
        <v>94.499999999999986</v>
      </c>
      <c r="O10" s="33"/>
    </row>
    <row r="11" spans="1:15">
      <c r="A11" s="156"/>
      <c r="B11" s="105" t="s">
        <v>469</v>
      </c>
      <c r="C11" s="128">
        <v>0.3</v>
      </c>
      <c r="D11" s="1">
        <f t="shared" si="0"/>
        <v>2.6999999999999997</v>
      </c>
      <c r="E11" s="33">
        <f>D11*15</f>
        <v>40.499999999999993</v>
      </c>
      <c r="G11" s="33"/>
      <c r="H11" s="33"/>
      <c r="J11" s="33">
        <f t="shared" si="2"/>
        <v>94.499999999999986</v>
      </c>
      <c r="O11" s="33"/>
    </row>
    <row r="12" spans="1:15">
      <c r="A12" s="156"/>
      <c r="B12" s="105" t="s">
        <v>420</v>
      </c>
      <c r="C12" s="128">
        <v>0.5</v>
      </c>
      <c r="D12" s="1">
        <f t="shared" si="0"/>
        <v>4.5</v>
      </c>
      <c r="E12" s="33">
        <f>D12*15</f>
        <v>67.5</v>
      </c>
      <c r="G12" s="33"/>
      <c r="H12" s="33"/>
      <c r="J12" s="33">
        <f t="shared" si="2"/>
        <v>157.5</v>
      </c>
      <c r="O12" s="33"/>
    </row>
    <row r="13" spans="1:15">
      <c r="A13" s="156"/>
      <c r="B13" s="105" t="s">
        <v>514</v>
      </c>
      <c r="C13" s="128">
        <v>0.5</v>
      </c>
      <c r="D13" s="1">
        <f t="shared" si="0"/>
        <v>4.5</v>
      </c>
      <c r="G13" s="33">
        <f>D13*15</f>
        <v>67.5</v>
      </c>
      <c r="H13" s="33"/>
      <c r="J13" s="33">
        <f t="shared" si="2"/>
        <v>157.5</v>
      </c>
      <c r="O13" s="33"/>
    </row>
    <row r="14" spans="1:15">
      <c r="A14" s="156"/>
      <c r="B14" s="105" t="s">
        <v>515</v>
      </c>
      <c r="C14" s="128">
        <v>0.3</v>
      </c>
      <c r="D14" s="1">
        <f t="shared" si="0"/>
        <v>2.6999999999999997</v>
      </c>
      <c r="E14" s="33">
        <f>D14*15</f>
        <v>40.499999999999993</v>
      </c>
      <c r="G14" s="33"/>
      <c r="H14" s="33"/>
      <c r="J14" s="33">
        <f t="shared" si="2"/>
        <v>94.499999999999986</v>
      </c>
      <c r="O14" s="33"/>
    </row>
    <row r="15" spans="1:15">
      <c r="A15" s="140"/>
      <c r="B15" s="105" t="s">
        <v>516</v>
      </c>
      <c r="C15" s="128">
        <v>1</v>
      </c>
      <c r="D15" s="1">
        <f t="shared" si="0"/>
        <v>9</v>
      </c>
      <c r="G15" s="33"/>
      <c r="H15" s="33">
        <f>D15*12</f>
        <v>108</v>
      </c>
      <c r="J15" s="33">
        <f t="shared" si="2"/>
        <v>315</v>
      </c>
      <c r="O15" s="33"/>
    </row>
    <row r="16" spans="1:15">
      <c r="A16" s="140"/>
      <c r="B16" s="105" t="s">
        <v>517</v>
      </c>
      <c r="C16" s="128">
        <v>0.3</v>
      </c>
      <c r="D16" s="1">
        <f t="shared" si="0"/>
        <v>2.6999999999999997</v>
      </c>
      <c r="F16" s="33">
        <f t="shared" ref="F16" si="3">D16*12</f>
        <v>32.4</v>
      </c>
      <c r="G16" s="33"/>
      <c r="H16" s="33"/>
      <c r="J16" s="33">
        <f t="shared" si="2"/>
        <v>94.499999999999986</v>
      </c>
      <c r="O16" s="33"/>
    </row>
    <row r="17" spans="1:15">
      <c r="A17" s="140"/>
      <c r="B17" s="105" t="s">
        <v>518</v>
      </c>
      <c r="C17" s="128">
        <v>0.3</v>
      </c>
      <c r="D17" s="1">
        <f t="shared" si="0"/>
        <v>2.6999999999999997</v>
      </c>
      <c r="G17" s="33">
        <f>D17*15</f>
        <v>40.499999999999993</v>
      </c>
      <c r="H17" s="33"/>
      <c r="J17" s="33">
        <f t="shared" si="2"/>
        <v>94.499999999999986</v>
      </c>
      <c r="O17" s="33"/>
    </row>
    <row r="18" spans="1:15">
      <c r="A18" s="140"/>
      <c r="B18" s="105" t="s">
        <v>522</v>
      </c>
      <c r="C18" s="128">
        <v>0.3</v>
      </c>
      <c r="D18" s="1">
        <f t="shared" si="0"/>
        <v>2.6999999999999997</v>
      </c>
      <c r="E18" s="33">
        <f>D18*15</f>
        <v>40.499999999999993</v>
      </c>
      <c r="G18" s="33"/>
      <c r="H18" s="33"/>
      <c r="J18" s="33">
        <f t="shared" si="2"/>
        <v>94.499999999999986</v>
      </c>
      <c r="O18" s="33"/>
    </row>
    <row r="19" spans="1:15">
      <c r="A19" s="140"/>
      <c r="B19" s="105" t="s">
        <v>183</v>
      </c>
      <c r="C19" s="128">
        <v>0.3</v>
      </c>
      <c r="D19" s="1">
        <f t="shared" si="0"/>
        <v>2.6999999999999997</v>
      </c>
      <c r="F19" s="33">
        <f t="shared" ref="F19:F20" si="4">D19*12</f>
        <v>32.4</v>
      </c>
      <c r="G19" s="33"/>
      <c r="H19" s="33"/>
      <c r="J19" s="33">
        <f t="shared" si="2"/>
        <v>94.499999999999986</v>
      </c>
      <c r="O19" s="33"/>
    </row>
    <row r="20" spans="1:15">
      <c r="A20" s="102"/>
      <c r="B20" s="105" t="s">
        <v>548</v>
      </c>
      <c r="C20" s="128">
        <v>0.3</v>
      </c>
      <c r="D20" s="1">
        <f t="shared" si="0"/>
        <v>2.6999999999999997</v>
      </c>
      <c r="F20" s="33">
        <f t="shared" si="4"/>
        <v>32.4</v>
      </c>
      <c r="G20" s="33"/>
      <c r="H20" s="33"/>
      <c r="J20" s="33">
        <f t="shared" si="2"/>
        <v>94.499999999999986</v>
      </c>
      <c r="O20" s="33"/>
    </row>
    <row r="21" spans="1:15">
      <c r="A21" s="102"/>
      <c r="B21" s="105" t="s">
        <v>554</v>
      </c>
      <c r="C21" s="128">
        <v>0.5</v>
      </c>
      <c r="D21" s="1">
        <f t="shared" si="0"/>
        <v>4.5</v>
      </c>
      <c r="E21" s="33">
        <f>D21*15</f>
        <v>67.5</v>
      </c>
      <c r="G21" s="33"/>
      <c r="H21" s="33"/>
      <c r="J21" s="33">
        <f t="shared" si="2"/>
        <v>157.5</v>
      </c>
      <c r="O21" s="33"/>
    </row>
    <row r="22" spans="1:15" ht="25" customHeight="1">
      <c r="A22" s="125" t="s">
        <v>81</v>
      </c>
      <c r="B22" s="125" t="s">
        <v>196</v>
      </c>
      <c r="C22" s="23"/>
      <c r="D22" s="23"/>
      <c r="E22" s="23"/>
      <c r="F22" s="23"/>
      <c r="G22" s="23"/>
      <c r="H22" s="23"/>
      <c r="I22" s="23"/>
      <c r="J22" s="23"/>
    </row>
    <row r="23" spans="1:15">
      <c r="A23" s="96"/>
      <c r="B23" s="105" t="s">
        <v>507</v>
      </c>
      <c r="C23" s="128">
        <v>0.3</v>
      </c>
      <c r="D23" s="1">
        <f t="shared" ref="D23:D29" si="5">C23*9</f>
        <v>2.6999999999999997</v>
      </c>
      <c r="E23" s="33">
        <f>D23*15</f>
        <v>40.499999999999993</v>
      </c>
      <c r="F23" s="33"/>
      <c r="H23" s="33"/>
      <c r="J23" s="33">
        <f t="shared" ref="J23:J29" si="6">D23*35</f>
        <v>94.499999999999986</v>
      </c>
    </row>
    <row r="24" spans="1:15" ht="18">
      <c r="A24" s="96"/>
      <c r="B24" s="105" t="s">
        <v>519</v>
      </c>
      <c r="C24" s="128">
        <v>0.5</v>
      </c>
      <c r="D24" s="1">
        <f t="shared" si="5"/>
        <v>4.5</v>
      </c>
      <c r="G24" s="33"/>
      <c r="H24" s="33">
        <f>D24*12</f>
        <v>54</v>
      </c>
      <c r="J24" s="33">
        <f t="shared" si="6"/>
        <v>157.5</v>
      </c>
      <c r="M24" s="155"/>
      <c r="O24" s="33"/>
    </row>
    <row r="25" spans="1:15" ht="18">
      <c r="A25" s="96"/>
      <c r="B25" s="105" t="s">
        <v>521</v>
      </c>
      <c r="C25" s="149">
        <v>0.3</v>
      </c>
      <c r="D25" s="1">
        <f t="shared" si="5"/>
        <v>2.6999999999999997</v>
      </c>
      <c r="E25" s="33">
        <f>D25*15</f>
        <v>40.499999999999993</v>
      </c>
      <c r="G25" s="33"/>
      <c r="H25" s="33"/>
      <c r="J25" s="33">
        <f t="shared" si="6"/>
        <v>94.499999999999986</v>
      </c>
      <c r="M25" s="155"/>
      <c r="O25" s="33"/>
    </row>
    <row r="26" spans="1:15" ht="18">
      <c r="A26" s="96"/>
      <c r="B26" s="105" t="s">
        <v>520</v>
      </c>
      <c r="C26" s="149">
        <v>0.3</v>
      </c>
      <c r="D26" s="1">
        <f t="shared" si="5"/>
        <v>2.6999999999999997</v>
      </c>
      <c r="E26" s="33">
        <f>D26*15</f>
        <v>40.499999999999993</v>
      </c>
      <c r="G26" s="33"/>
      <c r="H26" s="33"/>
      <c r="J26" s="33">
        <f t="shared" si="6"/>
        <v>94.499999999999986</v>
      </c>
      <c r="M26" s="155"/>
      <c r="O26" s="33"/>
    </row>
    <row r="27" spans="1:15">
      <c r="A27" s="96"/>
      <c r="B27" s="105" t="s">
        <v>496</v>
      </c>
      <c r="C27" s="149">
        <v>0.3</v>
      </c>
      <c r="D27" s="1">
        <f t="shared" si="5"/>
        <v>2.6999999999999997</v>
      </c>
      <c r="F27" s="33">
        <f t="shared" ref="F27" si="7">D27*12</f>
        <v>32.4</v>
      </c>
      <c r="G27" s="33"/>
      <c r="H27" s="33"/>
      <c r="J27" s="33">
        <f t="shared" si="6"/>
        <v>94.499999999999986</v>
      </c>
      <c r="M27" s="105"/>
      <c r="O27" s="33"/>
    </row>
    <row r="28" spans="1:15">
      <c r="A28" s="96"/>
      <c r="B28" s="105" t="s">
        <v>551</v>
      </c>
      <c r="C28" s="149">
        <v>0.3</v>
      </c>
      <c r="D28" s="1">
        <f t="shared" si="5"/>
        <v>2.6999999999999997</v>
      </c>
      <c r="F28" s="33">
        <f>D28*12</f>
        <v>32.4</v>
      </c>
      <c r="H28" s="33"/>
      <c r="J28" s="33">
        <f t="shared" si="6"/>
        <v>94.499999999999986</v>
      </c>
      <c r="M28" s="105"/>
      <c r="O28" s="33"/>
    </row>
    <row r="29" spans="1:15">
      <c r="A29" s="102"/>
      <c r="B29" s="105" t="s">
        <v>539</v>
      </c>
      <c r="C29" s="149">
        <v>0.3</v>
      </c>
      <c r="D29" s="1">
        <f t="shared" si="5"/>
        <v>2.6999999999999997</v>
      </c>
      <c r="F29" s="33">
        <f>D29*12</f>
        <v>32.4</v>
      </c>
      <c r="H29" s="33"/>
      <c r="J29" s="33">
        <f t="shared" si="6"/>
        <v>94.499999999999986</v>
      </c>
      <c r="M29" s="105"/>
      <c r="O29" s="33"/>
    </row>
    <row r="30" spans="1:15" ht="25" customHeight="1">
      <c r="A30" s="125" t="s">
        <v>508</v>
      </c>
      <c r="B30" s="125" t="s">
        <v>196</v>
      </c>
      <c r="C30" s="23"/>
      <c r="D30" s="23"/>
      <c r="E30" s="23"/>
      <c r="F30" s="23"/>
      <c r="G30" s="23"/>
      <c r="H30" s="23"/>
      <c r="I30" s="23"/>
      <c r="J30" s="23"/>
      <c r="M30" s="155"/>
    </row>
    <row r="31" spans="1:15">
      <c r="A31" s="90"/>
      <c r="B31" s="105" t="s">
        <v>529</v>
      </c>
      <c r="C31" s="128">
        <v>0.3</v>
      </c>
      <c r="D31" s="1">
        <f t="shared" ref="D31" si="8">C31*9</f>
        <v>2.6999999999999997</v>
      </c>
      <c r="E31" s="33"/>
      <c r="F31" s="33"/>
      <c r="G31" s="33">
        <f t="shared" ref="G31:G32" si="9">D31*15</f>
        <v>40.499999999999993</v>
      </c>
      <c r="H31" s="33"/>
      <c r="J31" s="33">
        <f t="shared" ref="J31:J48" si="10">D31*35</f>
        <v>94.499999999999986</v>
      </c>
      <c r="M31" s="105"/>
    </row>
    <row r="32" spans="1:15" ht="18">
      <c r="A32" s="90"/>
      <c r="B32" s="105" t="s">
        <v>530</v>
      </c>
      <c r="C32" s="128">
        <v>0.3</v>
      </c>
      <c r="D32" s="1">
        <f t="shared" ref="D32:D48" si="11">C32*9</f>
        <v>2.6999999999999997</v>
      </c>
      <c r="G32" s="33">
        <f t="shared" si="9"/>
        <v>40.499999999999993</v>
      </c>
      <c r="J32" s="33">
        <f t="shared" si="10"/>
        <v>94.499999999999986</v>
      </c>
      <c r="M32" s="155"/>
    </row>
    <row r="33" spans="1:12">
      <c r="A33" s="90"/>
      <c r="B33" s="105" t="s">
        <v>509</v>
      </c>
      <c r="C33" s="128">
        <v>0.2</v>
      </c>
      <c r="D33" s="1">
        <f t="shared" si="11"/>
        <v>1.8</v>
      </c>
      <c r="E33" s="33"/>
      <c r="F33" s="33">
        <f t="shared" ref="F33:F37" si="12">D33*12</f>
        <v>21.6</v>
      </c>
      <c r="G33" s="33"/>
      <c r="H33" s="33"/>
      <c r="J33" s="33">
        <f t="shared" si="10"/>
        <v>63</v>
      </c>
    </row>
    <row r="34" spans="1:12">
      <c r="A34" s="90"/>
      <c r="B34" s="105" t="s">
        <v>510</v>
      </c>
      <c r="C34" s="128">
        <v>0.2</v>
      </c>
      <c r="D34" s="1">
        <f t="shared" si="11"/>
        <v>1.8</v>
      </c>
      <c r="E34" s="33"/>
      <c r="F34" s="33">
        <f t="shared" si="12"/>
        <v>21.6</v>
      </c>
      <c r="G34" s="33"/>
      <c r="H34" s="33"/>
      <c r="J34" s="33">
        <f t="shared" si="10"/>
        <v>63</v>
      </c>
    </row>
    <row r="35" spans="1:12">
      <c r="A35" s="90"/>
      <c r="B35" s="105" t="s">
        <v>511</v>
      </c>
      <c r="C35" s="128">
        <v>0.2</v>
      </c>
      <c r="D35" s="1">
        <f t="shared" si="11"/>
        <v>1.8</v>
      </c>
      <c r="E35" s="33"/>
      <c r="F35" s="33">
        <f t="shared" si="12"/>
        <v>21.6</v>
      </c>
      <c r="G35" s="33"/>
      <c r="H35" s="33"/>
      <c r="J35" s="33">
        <f t="shared" si="10"/>
        <v>63</v>
      </c>
    </row>
    <row r="36" spans="1:12">
      <c r="A36" s="90"/>
      <c r="B36" s="105" t="s">
        <v>512</v>
      </c>
      <c r="C36" s="128">
        <v>0.2</v>
      </c>
      <c r="D36" s="1">
        <f t="shared" si="11"/>
        <v>1.8</v>
      </c>
      <c r="E36" s="33"/>
      <c r="F36" s="33">
        <f t="shared" si="12"/>
        <v>21.6</v>
      </c>
      <c r="G36" s="33"/>
      <c r="H36" s="33"/>
      <c r="J36" s="33">
        <f t="shared" si="10"/>
        <v>63</v>
      </c>
      <c r="L36" s="128"/>
    </row>
    <row r="37" spans="1:12">
      <c r="A37" s="96"/>
      <c r="B37" s="105" t="s">
        <v>523</v>
      </c>
      <c r="C37" s="128">
        <v>0.3</v>
      </c>
      <c r="D37" s="1">
        <f t="shared" si="11"/>
        <v>2.6999999999999997</v>
      </c>
      <c r="E37" s="33"/>
      <c r="F37" s="33">
        <f t="shared" si="12"/>
        <v>32.4</v>
      </c>
      <c r="G37" s="33"/>
      <c r="H37" s="33"/>
      <c r="J37" s="33">
        <f t="shared" si="10"/>
        <v>94.499999999999986</v>
      </c>
      <c r="L37" s="128"/>
    </row>
    <row r="38" spans="1:12">
      <c r="A38" s="96"/>
      <c r="B38" s="105" t="s">
        <v>538</v>
      </c>
      <c r="C38" s="128">
        <v>0.5</v>
      </c>
      <c r="D38" s="1">
        <f t="shared" si="11"/>
        <v>4.5</v>
      </c>
      <c r="E38" s="33"/>
      <c r="H38" s="33">
        <f>D38*12</f>
        <v>54</v>
      </c>
      <c r="J38" s="33">
        <f t="shared" si="10"/>
        <v>157.5</v>
      </c>
    </row>
    <row r="39" spans="1:12">
      <c r="A39" s="96"/>
      <c r="B39" s="105" t="s">
        <v>527</v>
      </c>
      <c r="C39" s="128">
        <v>0.5</v>
      </c>
      <c r="D39" s="1">
        <f t="shared" ref="D39:D45" si="13">C39*9</f>
        <v>4.5</v>
      </c>
      <c r="E39" s="33">
        <f t="shared" ref="E39:E40" si="14">D39*15</f>
        <v>67.5</v>
      </c>
      <c r="F39" s="33"/>
      <c r="G39" s="33"/>
      <c r="H39" s="33"/>
      <c r="J39" s="33">
        <f t="shared" ref="J39:J45" si="15">D39*35</f>
        <v>157.5</v>
      </c>
    </row>
    <row r="40" spans="1:12">
      <c r="A40" s="96"/>
      <c r="B40" s="105" t="s">
        <v>528</v>
      </c>
      <c r="C40" s="128">
        <v>0.5</v>
      </c>
      <c r="D40" s="1">
        <f t="shared" si="13"/>
        <v>4.5</v>
      </c>
      <c r="E40" s="33">
        <f t="shared" si="14"/>
        <v>67.5</v>
      </c>
      <c r="F40" s="33"/>
      <c r="G40" s="33"/>
      <c r="H40" s="33"/>
      <c r="J40" s="33">
        <f t="shared" si="15"/>
        <v>157.5</v>
      </c>
    </row>
    <row r="41" spans="1:12">
      <c r="A41" s="96"/>
      <c r="B41" s="105" t="s">
        <v>532</v>
      </c>
      <c r="C41" s="128">
        <v>0.5</v>
      </c>
      <c r="D41" s="1">
        <f t="shared" si="13"/>
        <v>4.5</v>
      </c>
      <c r="E41" s="33">
        <f>D41*15</f>
        <v>67.5</v>
      </c>
      <c r="F41" s="33"/>
      <c r="G41" s="33"/>
      <c r="H41" s="33"/>
      <c r="J41" s="33">
        <f t="shared" si="15"/>
        <v>157.5</v>
      </c>
    </row>
    <row r="42" spans="1:12">
      <c r="A42" s="96"/>
      <c r="B42" s="105" t="s">
        <v>540</v>
      </c>
      <c r="C42" s="128">
        <v>0.5</v>
      </c>
      <c r="D42" s="1">
        <f t="shared" si="13"/>
        <v>4.5</v>
      </c>
      <c r="E42" s="33"/>
      <c r="F42" s="33"/>
      <c r="G42" s="33">
        <f t="shared" ref="G42:G43" si="16">D42*15</f>
        <v>67.5</v>
      </c>
      <c r="H42" s="33"/>
      <c r="J42" s="33">
        <f t="shared" si="15"/>
        <v>157.5</v>
      </c>
    </row>
    <row r="43" spans="1:12">
      <c r="A43" s="96"/>
      <c r="B43" s="105" t="s">
        <v>534</v>
      </c>
      <c r="C43" s="128">
        <v>0.5</v>
      </c>
      <c r="D43" s="1">
        <f t="shared" si="13"/>
        <v>4.5</v>
      </c>
      <c r="E43" s="33"/>
      <c r="F43" s="33"/>
      <c r="G43" s="33">
        <f t="shared" si="16"/>
        <v>67.5</v>
      </c>
      <c r="H43" s="33"/>
      <c r="J43" s="33">
        <f t="shared" si="15"/>
        <v>157.5</v>
      </c>
    </row>
    <row r="44" spans="1:12">
      <c r="A44" s="96"/>
      <c r="B44" s="105" t="s">
        <v>525</v>
      </c>
      <c r="C44" s="128">
        <v>0.5</v>
      </c>
      <c r="D44" s="1">
        <f t="shared" si="13"/>
        <v>4.5</v>
      </c>
      <c r="E44" s="33"/>
      <c r="F44" s="33">
        <f t="shared" ref="F44:F45" si="17">D44*12</f>
        <v>54</v>
      </c>
      <c r="G44" s="33"/>
      <c r="H44" s="33"/>
      <c r="J44" s="33">
        <f t="shared" si="15"/>
        <v>157.5</v>
      </c>
    </row>
    <row r="45" spans="1:12">
      <c r="A45" s="96"/>
      <c r="B45" s="105" t="s">
        <v>526</v>
      </c>
      <c r="C45" s="128">
        <v>0.5</v>
      </c>
      <c r="D45" s="1">
        <f t="shared" si="13"/>
        <v>4.5</v>
      </c>
      <c r="E45" s="33"/>
      <c r="F45" s="33">
        <f t="shared" si="17"/>
        <v>54</v>
      </c>
      <c r="G45" s="33"/>
      <c r="H45" s="33"/>
      <c r="J45" s="33">
        <f t="shared" si="15"/>
        <v>157.5</v>
      </c>
    </row>
    <row r="46" spans="1:12">
      <c r="A46" s="96"/>
      <c r="B46" s="105" t="s">
        <v>533</v>
      </c>
      <c r="C46" s="128">
        <v>0.5</v>
      </c>
      <c r="D46" s="1">
        <f t="shared" si="11"/>
        <v>4.5</v>
      </c>
      <c r="E46" s="33"/>
      <c r="F46" s="33"/>
      <c r="G46" s="33">
        <f t="shared" ref="G46" si="18">D46*15</f>
        <v>67.5</v>
      </c>
      <c r="H46" s="33"/>
      <c r="J46" s="33">
        <f t="shared" si="10"/>
        <v>157.5</v>
      </c>
    </row>
    <row r="47" spans="1:12">
      <c r="A47" s="96"/>
      <c r="B47" s="105" t="s">
        <v>524</v>
      </c>
      <c r="C47" s="128">
        <v>0.5</v>
      </c>
      <c r="D47" s="1">
        <f>C47*9</f>
        <v>4.5</v>
      </c>
      <c r="E47" s="33">
        <f t="shared" ref="E47" si="19">D47*15</f>
        <v>67.5</v>
      </c>
      <c r="F47" s="33"/>
      <c r="G47" s="33"/>
      <c r="H47" s="33"/>
      <c r="J47" s="33">
        <f>D47*35</f>
        <v>157.5</v>
      </c>
    </row>
    <row r="48" spans="1:12">
      <c r="A48" s="96"/>
      <c r="B48" s="105" t="s">
        <v>535</v>
      </c>
      <c r="C48" s="128">
        <v>0.5</v>
      </c>
      <c r="D48" s="1">
        <f t="shared" si="11"/>
        <v>4.5</v>
      </c>
      <c r="E48" s="33"/>
      <c r="F48" s="33"/>
      <c r="G48" s="33"/>
      <c r="H48" s="33">
        <f>D48*12</f>
        <v>54</v>
      </c>
      <c r="J48" s="33">
        <f t="shared" si="10"/>
        <v>157.5</v>
      </c>
      <c r="L48" s="128"/>
    </row>
    <row r="49" spans="1:18">
      <c r="A49" s="96"/>
      <c r="B49" s="105" t="s">
        <v>536</v>
      </c>
      <c r="C49" s="128">
        <v>0.5</v>
      </c>
      <c r="D49" s="1">
        <f t="shared" ref="D49:D55" si="20">C49*9</f>
        <v>4.5</v>
      </c>
      <c r="E49" s="33"/>
      <c r="F49" s="33"/>
      <c r="G49" s="33"/>
      <c r="H49" s="33">
        <f>D49*12</f>
        <v>54</v>
      </c>
      <c r="J49" s="33">
        <f>D49*35</f>
        <v>157.5</v>
      </c>
    </row>
    <row r="50" spans="1:18">
      <c r="A50" s="96"/>
      <c r="B50" s="105" t="s">
        <v>531</v>
      </c>
      <c r="C50" s="128">
        <v>0.5</v>
      </c>
      <c r="D50" s="1">
        <f t="shared" si="20"/>
        <v>4.5</v>
      </c>
      <c r="E50" s="33">
        <f t="shared" ref="E50:E53" si="21">D50*15</f>
        <v>67.5</v>
      </c>
      <c r="F50" s="33"/>
      <c r="G50" s="33"/>
      <c r="H50" s="33"/>
      <c r="J50" s="33">
        <f>D50*35</f>
        <v>157.5</v>
      </c>
      <c r="L50" s="128"/>
    </row>
    <row r="51" spans="1:18">
      <c r="A51" s="96"/>
      <c r="B51" s="105" t="s">
        <v>537</v>
      </c>
      <c r="C51" s="128">
        <v>0.5</v>
      </c>
      <c r="D51" s="1">
        <f t="shared" si="20"/>
        <v>4.5</v>
      </c>
      <c r="E51" s="33"/>
      <c r="F51" s="33"/>
      <c r="H51" s="33">
        <f>D51*12</f>
        <v>54</v>
      </c>
      <c r="J51" s="33">
        <f>D51*35</f>
        <v>157.5</v>
      </c>
    </row>
    <row r="52" spans="1:18">
      <c r="A52" s="102"/>
      <c r="B52" s="105" t="s">
        <v>546</v>
      </c>
      <c r="C52" s="128">
        <v>0.5</v>
      </c>
      <c r="D52" s="1">
        <f t="shared" si="20"/>
        <v>4.5</v>
      </c>
      <c r="E52" s="33">
        <f t="shared" si="21"/>
        <v>67.5</v>
      </c>
      <c r="F52" s="33"/>
      <c r="H52" s="33"/>
      <c r="J52" s="33">
        <f t="shared" ref="J52:J60" si="22">D52*35</f>
        <v>157.5</v>
      </c>
    </row>
    <row r="53" spans="1:18">
      <c r="A53" s="102"/>
      <c r="B53" s="105" t="s">
        <v>547</v>
      </c>
      <c r="C53" s="128">
        <v>0.5</v>
      </c>
      <c r="D53" s="1">
        <f t="shared" si="20"/>
        <v>4.5</v>
      </c>
      <c r="E53" s="33">
        <f t="shared" si="21"/>
        <v>67.5</v>
      </c>
      <c r="F53" s="33"/>
      <c r="H53" s="33"/>
      <c r="J53" s="33">
        <f t="shared" si="22"/>
        <v>157.5</v>
      </c>
    </row>
    <row r="54" spans="1:18">
      <c r="A54" s="102"/>
      <c r="B54" s="105" t="s">
        <v>549</v>
      </c>
      <c r="C54" s="128">
        <v>0.3</v>
      </c>
      <c r="D54" s="1">
        <f t="shared" si="20"/>
        <v>2.6999999999999997</v>
      </c>
      <c r="E54" s="33"/>
      <c r="F54" s="33">
        <f t="shared" ref="F54:F55" si="23">D54*12</f>
        <v>32.4</v>
      </c>
      <c r="H54" s="33"/>
      <c r="J54" s="33">
        <f t="shared" si="22"/>
        <v>94.499999999999986</v>
      </c>
    </row>
    <row r="55" spans="1:18">
      <c r="A55" s="102"/>
      <c r="B55" s="105" t="s">
        <v>550</v>
      </c>
      <c r="C55" s="128">
        <v>0.3</v>
      </c>
      <c r="D55" s="1">
        <f t="shared" si="20"/>
        <v>2.6999999999999997</v>
      </c>
      <c r="E55" s="33"/>
      <c r="F55" s="33">
        <f t="shared" si="23"/>
        <v>32.4</v>
      </c>
      <c r="H55" s="33"/>
      <c r="J55" s="33">
        <f t="shared" si="22"/>
        <v>94.499999999999986</v>
      </c>
    </row>
    <row r="56" spans="1:18">
      <c r="A56" s="102"/>
      <c r="B56" s="105" t="s">
        <v>541</v>
      </c>
      <c r="C56" s="128">
        <v>0.5</v>
      </c>
      <c r="D56" s="1">
        <f t="shared" ref="D56:D60" si="24">C56*9</f>
        <v>4.5</v>
      </c>
      <c r="E56" s="33">
        <f t="shared" ref="E56:E60" si="25">D56*15</f>
        <v>67.5</v>
      </c>
      <c r="F56" s="33"/>
      <c r="H56" s="33"/>
      <c r="J56" s="33">
        <f t="shared" si="22"/>
        <v>157.5</v>
      </c>
    </row>
    <row r="57" spans="1:18">
      <c r="A57" s="102"/>
      <c r="B57" s="105" t="s">
        <v>542</v>
      </c>
      <c r="C57" s="128">
        <v>0.5</v>
      </c>
      <c r="D57" s="1">
        <f t="shared" si="24"/>
        <v>4.5</v>
      </c>
      <c r="E57" s="33">
        <f t="shared" si="25"/>
        <v>67.5</v>
      </c>
      <c r="F57" s="33"/>
      <c r="H57" s="33"/>
      <c r="J57" s="33">
        <f t="shared" si="22"/>
        <v>157.5</v>
      </c>
    </row>
    <row r="58" spans="1:18">
      <c r="A58" s="102"/>
      <c r="B58" s="105" t="s">
        <v>543</v>
      </c>
      <c r="C58" s="128">
        <v>0.5</v>
      </c>
      <c r="D58" s="1">
        <f t="shared" si="24"/>
        <v>4.5</v>
      </c>
      <c r="E58" s="33">
        <f t="shared" si="25"/>
        <v>67.5</v>
      </c>
      <c r="F58" s="33"/>
      <c r="H58" s="33"/>
      <c r="J58" s="33">
        <f t="shared" si="22"/>
        <v>157.5</v>
      </c>
    </row>
    <row r="59" spans="1:18">
      <c r="A59" s="102"/>
      <c r="B59" s="105" t="s">
        <v>544</v>
      </c>
      <c r="C59" s="128">
        <v>0.5</v>
      </c>
      <c r="D59" s="1">
        <f t="shared" si="24"/>
        <v>4.5</v>
      </c>
      <c r="E59" s="33">
        <f t="shared" si="25"/>
        <v>67.5</v>
      </c>
      <c r="F59" s="33"/>
      <c r="H59" s="33"/>
      <c r="J59" s="33">
        <f t="shared" si="22"/>
        <v>157.5</v>
      </c>
    </row>
    <row r="60" spans="1:18">
      <c r="A60" s="102"/>
      <c r="B60" s="105" t="s">
        <v>545</v>
      </c>
      <c r="C60" s="128">
        <v>0.5</v>
      </c>
      <c r="D60" s="1">
        <f t="shared" si="24"/>
        <v>4.5</v>
      </c>
      <c r="E60" s="33">
        <f t="shared" si="25"/>
        <v>67.5</v>
      </c>
      <c r="F60" s="33"/>
      <c r="H60" s="33"/>
      <c r="J60" s="33">
        <f t="shared" si="22"/>
        <v>157.5</v>
      </c>
    </row>
    <row r="61" spans="1:18">
      <c r="A61" s="118" t="s">
        <v>199</v>
      </c>
      <c r="B61" s="57"/>
      <c r="C61" s="11">
        <f t="shared" ref="C61:H61" si="26">SUM(C6:C60)</f>
        <v>21.4</v>
      </c>
      <c r="D61" s="11">
        <f t="shared" si="26"/>
        <v>192.60000000000002</v>
      </c>
      <c r="E61" s="59">
        <f t="shared" si="26"/>
        <v>1188</v>
      </c>
      <c r="F61" s="59">
        <f t="shared" si="26"/>
        <v>583.20000000000005</v>
      </c>
      <c r="G61" s="59">
        <f t="shared" si="26"/>
        <v>432</v>
      </c>
      <c r="H61" s="59">
        <f t="shared" si="26"/>
        <v>432</v>
      </c>
      <c r="I61" s="59">
        <f>SUM(E61:H61)</f>
        <v>2635.2</v>
      </c>
      <c r="J61" s="60">
        <f>SUM(J6:J60)</f>
        <v>6741</v>
      </c>
      <c r="K61" s="39"/>
      <c r="L61" s="29" t="s">
        <v>2</v>
      </c>
      <c r="M61" s="16" t="s">
        <v>1</v>
      </c>
    </row>
    <row r="62" spans="1:18">
      <c r="E62" s="142">
        <f t="shared" ref="E62:J62" si="27">E61*40</f>
        <v>47520</v>
      </c>
      <c r="F62" s="142">
        <f>F61*40</f>
        <v>23328</v>
      </c>
      <c r="G62" s="142">
        <f t="shared" si="27"/>
        <v>17280</v>
      </c>
      <c r="H62" s="142">
        <f t="shared" si="27"/>
        <v>17280</v>
      </c>
      <c r="I62" s="7">
        <f t="shared" si="27"/>
        <v>105408</v>
      </c>
      <c r="J62" s="7">
        <f t="shared" si="27"/>
        <v>269640</v>
      </c>
      <c r="K62" s="5" t="s">
        <v>4</v>
      </c>
      <c r="L62" s="7">
        <f t="shared" ref="L62:L64" si="28">M62*40</f>
        <v>269640</v>
      </c>
      <c r="M62" s="8">
        <f>J61</f>
        <v>6741</v>
      </c>
      <c r="R62" s="4"/>
    </row>
    <row r="63" spans="1:18">
      <c r="F63" s="33"/>
      <c r="G63" s="123"/>
      <c r="H63" s="123"/>
      <c r="K63" s="5" t="s">
        <v>3</v>
      </c>
      <c r="L63" s="7">
        <f t="shared" si="28"/>
        <v>256158</v>
      </c>
      <c r="M63" s="8">
        <f>M62-M62*0.05</f>
        <v>6403.95</v>
      </c>
    </row>
    <row r="64" spans="1:18">
      <c r="B64" s="1"/>
      <c r="F64" s="33"/>
      <c r="K64" s="5" t="s">
        <v>5</v>
      </c>
      <c r="L64" s="7">
        <f t="shared" si="28"/>
        <v>105408</v>
      </c>
      <c r="M64" s="8">
        <f>I61</f>
        <v>2635.2</v>
      </c>
    </row>
    <row r="65" spans="2:13">
      <c r="B65" s="1"/>
      <c r="K65" s="37" t="s">
        <v>18</v>
      </c>
      <c r="L65" s="7">
        <f>M65*40</f>
        <v>150750</v>
      </c>
      <c r="M65" s="8">
        <f>M63-M64</f>
        <v>3768.75</v>
      </c>
    </row>
    <row r="66" spans="2:13">
      <c r="B66" s="1"/>
    </row>
    <row r="67" spans="2:13">
      <c r="B67" s="1"/>
    </row>
    <row r="68" spans="2:13">
      <c r="B68" s="1"/>
    </row>
    <row r="69" spans="2:13">
      <c r="B69" s="1"/>
    </row>
    <row r="70" spans="2:13">
      <c r="B70" s="1"/>
    </row>
    <row r="71" spans="2:13">
      <c r="B71" s="1"/>
    </row>
    <row r="72" spans="2:13">
      <c r="B72" s="1"/>
    </row>
    <row r="73" spans="2:13">
      <c r="B73" s="1"/>
    </row>
    <row r="74" spans="2:13">
      <c r="B74" s="1"/>
    </row>
    <row r="75" spans="2:13">
      <c r="B75" s="1"/>
    </row>
    <row r="76" spans="2:13">
      <c r="B76" s="1"/>
    </row>
    <row r="77" spans="2:13">
      <c r="B77" s="1"/>
    </row>
    <row r="78" spans="2:13">
      <c r="B78" s="1"/>
    </row>
    <row r="79" spans="2:13">
      <c r="B79" s="1"/>
    </row>
    <row r="80" spans="2:13">
      <c r="B80" s="1"/>
    </row>
    <row r="81" spans="2:2">
      <c r="B81" s="1"/>
    </row>
    <row r="82" spans="2:2">
      <c r="B82" s="1"/>
    </row>
    <row r="83" spans="2:2">
      <c r="B83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78182-AF0E-C045-807E-A393F4CF5C53}">
  <dimension ref="A1:R145"/>
  <sheetViews>
    <sheetView zoomScaleNormal="100" workbookViewId="0">
      <pane ySplit="2" topLeftCell="A100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27.83203125" style="2" customWidth="1"/>
    <col min="3" max="4" width="10.83203125" style="1" customWidth="1"/>
    <col min="5" max="5" width="10.33203125" style="1" customWidth="1"/>
    <col min="6" max="8" width="10.83203125" style="1"/>
    <col min="9" max="9" width="11.1640625" style="1" customWidth="1"/>
    <col min="10" max="10" width="10.6640625" style="1" customWidth="1"/>
    <col min="11" max="11" width="14.33203125" style="1" customWidth="1"/>
    <col min="12" max="12" width="12.33203125" style="1" customWidth="1"/>
    <col min="13" max="13" width="14" style="1" bestFit="1" customWidth="1"/>
    <col min="14" max="14" width="12.5" style="1" bestFit="1" customWidth="1"/>
    <col min="15" max="15" width="13" style="1" customWidth="1"/>
    <col min="16" max="16384" width="10.83203125" style="1"/>
  </cols>
  <sheetData>
    <row r="1" spans="1:15">
      <c r="A1" s="11"/>
      <c r="B1" s="97"/>
      <c r="C1" s="11"/>
      <c r="D1" s="11"/>
      <c r="E1" s="11"/>
      <c r="F1" s="11"/>
      <c r="G1" s="11"/>
      <c r="H1" s="11"/>
      <c r="I1" s="11"/>
      <c r="J1" s="11"/>
    </row>
    <row r="2" spans="1:15">
      <c r="B2" s="129" t="s">
        <v>671</v>
      </c>
      <c r="E2" s="41" t="s">
        <v>0</v>
      </c>
      <c r="F2" s="119" t="s">
        <v>206</v>
      </c>
      <c r="G2" s="38" t="s">
        <v>7</v>
      </c>
      <c r="H2" s="109" t="s">
        <v>108</v>
      </c>
    </row>
    <row r="3" spans="1:15">
      <c r="E3" s="38"/>
      <c r="F3" s="38"/>
      <c r="G3" s="38"/>
      <c r="H3" s="38"/>
    </row>
    <row r="4" spans="1:15" ht="21">
      <c r="A4" s="116"/>
    </row>
    <row r="5" spans="1:15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98" t="s">
        <v>10</v>
      </c>
      <c r="F5" s="110" t="s">
        <v>13</v>
      </c>
      <c r="G5" s="110" t="s">
        <v>14</v>
      </c>
      <c r="H5" s="98" t="s">
        <v>15</v>
      </c>
      <c r="I5" s="31" t="s">
        <v>16</v>
      </c>
      <c r="J5" s="39" t="s">
        <v>18</v>
      </c>
    </row>
    <row r="6" spans="1:15">
      <c r="A6" s="140"/>
      <c r="B6" s="105" t="s">
        <v>390</v>
      </c>
      <c r="C6" s="128">
        <v>0.5</v>
      </c>
      <c r="D6" s="1">
        <f t="shared" ref="D6:D38" si="0">C6*9</f>
        <v>4.5</v>
      </c>
      <c r="E6" s="33">
        <f>D6*15</f>
        <v>67.5</v>
      </c>
      <c r="J6" s="33">
        <f t="shared" ref="J6:J60" si="1">D6*35</f>
        <v>157.5</v>
      </c>
      <c r="O6" s="33"/>
    </row>
    <row r="7" spans="1:15">
      <c r="A7" s="141"/>
      <c r="B7" s="105" t="s">
        <v>391</v>
      </c>
      <c r="C7" s="128">
        <v>0.5</v>
      </c>
      <c r="D7" s="1">
        <f t="shared" si="0"/>
        <v>4.5</v>
      </c>
      <c r="E7" s="33">
        <f>D7*15</f>
        <v>67.5</v>
      </c>
      <c r="J7" s="33">
        <f t="shared" si="1"/>
        <v>157.5</v>
      </c>
      <c r="O7" s="33"/>
    </row>
    <row r="8" spans="1:15">
      <c r="A8" s="141"/>
      <c r="B8" s="105" t="s">
        <v>392</v>
      </c>
      <c r="C8" s="128">
        <v>0.5</v>
      </c>
      <c r="D8" s="1">
        <f t="shared" si="0"/>
        <v>4.5</v>
      </c>
      <c r="E8" s="33">
        <f>D8*15</f>
        <v>67.5</v>
      </c>
      <c r="J8" s="33">
        <f t="shared" si="1"/>
        <v>157.5</v>
      </c>
      <c r="M8" s="105"/>
      <c r="O8" s="33"/>
    </row>
    <row r="9" spans="1:15">
      <c r="A9" s="140"/>
      <c r="B9" s="105" t="s">
        <v>393</v>
      </c>
      <c r="C9" s="128">
        <v>0.3</v>
      </c>
      <c r="D9" s="1">
        <f t="shared" si="0"/>
        <v>2.6999999999999997</v>
      </c>
      <c r="G9" s="33">
        <f>D9*15</f>
        <v>40.499999999999993</v>
      </c>
      <c r="J9" s="33">
        <f t="shared" si="1"/>
        <v>94.499999999999986</v>
      </c>
      <c r="M9" s="105"/>
      <c r="O9" s="33"/>
    </row>
    <row r="10" spans="1:15">
      <c r="A10" s="141"/>
      <c r="B10" s="105" t="s">
        <v>484</v>
      </c>
      <c r="C10" s="128">
        <v>0.3</v>
      </c>
      <c r="D10" s="1">
        <f t="shared" si="0"/>
        <v>2.6999999999999997</v>
      </c>
      <c r="G10" s="33"/>
      <c r="H10" s="33">
        <f>D10*12</f>
        <v>32.4</v>
      </c>
      <c r="J10" s="33">
        <f t="shared" si="1"/>
        <v>94.499999999999986</v>
      </c>
      <c r="M10" s="105"/>
      <c r="O10" s="33"/>
    </row>
    <row r="11" spans="1:15">
      <c r="A11" s="141"/>
      <c r="B11" s="105" t="s">
        <v>394</v>
      </c>
      <c r="C11" s="128">
        <v>0.3</v>
      </c>
      <c r="D11" s="1">
        <f t="shared" si="0"/>
        <v>2.6999999999999997</v>
      </c>
      <c r="G11" s="33">
        <f t="shared" ref="G11:G16" si="2">D11*15</f>
        <v>40.499999999999993</v>
      </c>
      <c r="J11" s="33">
        <f t="shared" si="1"/>
        <v>94.499999999999986</v>
      </c>
      <c r="M11" s="105"/>
      <c r="O11" s="33"/>
    </row>
    <row r="12" spans="1:15">
      <c r="A12" s="141"/>
      <c r="B12" s="105" t="s">
        <v>395</v>
      </c>
      <c r="C12" s="128">
        <v>0.3</v>
      </c>
      <c r="D12" s="1">
        <f t="shared" si="0"/>
        <v>2.6999999999999997</v>
      </c>
      <c r="G12" s="33">
        <f t="shared" si="2"/>
        <v>40.499999999999993</v>
      </c>
      <c r="H12" s="33"/>
      <c r="J12" s="33">
        <f t="shared" si="1"/>
        <v>94.499999999999986</v>
      </c>
      <c r="M12" s="105"/>
      <c r="O12" s="33"/>
    </row>
    <row r="13" spans="1:15">
      <c r="A13" s="141"/>
      <c r="B13" s="105" t="s">
        <v>396</v>
      </c>
      <c r="C13" s="128">
        <v>0.3</v>
      </c>
      <c r="D13" s="1">
        <f t="shared" si="0"/>
        <v>2.6999999999999997</v>
      </c>
      <c r="G13" s="33">
        <f t="shared" si="2"/>
        <v>40.499999999999993</v>
      </c>
      <c r="J13" s="33">
        <f t="shared" si="1"/>
        <v>94.499999999999986</v>
      </c>
      <c r="O13" s="33"/>
    </row>
    <row r="14" spans="1:15">
      <c r="A14" s="141"/>
      <c r="B14" s="105" t="s">
        <v>397</v>
      </c>
      <c r="C14" s="128">
        <v>0.3</v>
      </c>
      <c r="D14" s="1">
        <f t="shared" si="0"/>
        <v>2.6999999999999997</v>
      </c>
      <c r="G14" s="33">
        <f t="shared" si="2"/>
        <v>40.499999999999993</v>
      </c>
      <c r="J14" s="33">
        <f t="shared" si="1"/>
        <v>94.499999999999986</v>
      </c>
      <c r="O14" s="33"/>
    </row>
    <row r="15" spans="1:15">
      <c r="A15" s="141"/>
      <c r="B15" s="105" t="s">
        <v>398</v>
      </c>
      <c r="C15" s="128">
        <v>0.3</v>
      </c>
      <c r="D15" s="1">
        <f t="shared" si="0"/>
        <v>2.6999999999999997</v>
      </c>
      <c r="G15" s="33">
        <f t="shared" si="2"/>
        <v>40.499999999999993</v>
      </c>
      <c r="H15" s="33"/>
      <c r="J15" s="33">
        <f t="shared" si="1"/>
        <v>94.499999999999986</v>
      </c>
      <c r="O15" s="33"/>
    </row>
    <row r="16" spans="1:15">
      <c r="A16" s="141"/>
      <c r="B16" s="105" t="s">
        <v>399</v>
      </c>
      <c r="C16" s="128">
        <v>0.3</v>
      </c>
      <c r="D16" s="1">
        <f t="shared" si="0"/>
        <v>2.6999999999999997</v>
      </c>
      <c r="G16" s="33">
        <f t="shared" si="2"/>
        <v>40.499999999999993</v>
      </c>
      <c r="J16" s="33">
        <f t="shared" si="1"/>
        <v>94.499999999999986</v>
      </c>
      <c r="O16" s="33"/>
    </row>
    <row r="17" spans="1:15">
      <c r="A17" s="141"/>
      <c r="B17" s="105" t="s">
        <v>409</v>
      </c>
      <c r="C17" s="128">
        <v>0.3</v>
      </c>
      <c r="D17" s="1">
        <f t="shared" si="0"/>
        <v>2.6999999999999997</v>
      </c>
      <c r="G17" s="33"/>
      <c r="H17" s="33">
        <f>D17*12</f>
        <v>32.4</v>
      </c>
      <c r="J17" s="33">
        <f t="shared" si="1"/>
        <v>94.499999999999986</v>
      </c>
      <c r="O17" s="33"/>
    </row>
    <row r="18" spans="1:15">
      <c r="A18" s="141"/>
      <c r="B18" s="105" t="s">
        <v>408</v>
      </c>
      <c r="C18" s="128">
        <v>0.3</v>
      </c>
      <c r="D18" s="1">
        <f t="shared" si="0"/>
        <v>2.6999999999999997</v>
      </c>
      <c r="G18" s="33"/>
      <c r="H18" s="33">
        <f>D18*12</f>
        <v>32.4</v>
      </c>
      <c r="J18" s="33">
        <f t="shared" si="1"/>
        <v>94.499999999999986</v>
      </c>
      <c r="O18" s="33"/>
    </row>
    <row r="19" spans="1:15">
      <c r="A19" s="140"/>
      <c r="B19" s="105" t="s">
        <v>407</v>
      </c>
      <c r="C19" s="128">
        <v>0.3</v>
      </c>
      <c r="D19" s="1">
        <f t="shared" si="0"/>
        <v>2.6999999999999997</v>
      </c>
      <c r="E19" s="33">
        <f>D19*15</f>
        <v>40.499999999999993</v>
      </c>
      <c r="J19" s="33">
        <f t="shared" si="1"/>
        <v>94.499999999999986</v>
      </c>
      <c r="O19" s="33"/>
    </row>
    <row r="20" spans="1:15">
      <c r="A20" s="140"/>
      <c r="B20" s="105" t="s">
        <v>376</v>
      </c>
      <c r="C20" s="128">
        <v>1</v>
      </c>
      <c r="D20" s="1">
        <f t="shared" si="0"/>
        <v>9</v>
      </c>
      <c r="E20" s="33"/>
      <c r="H20" s="33">
        <f>D20*12</f>
        <v>108</v>
      </c>
      <c r="J20" s="33">
        <f t="shared" si="1"/>
        <v>315</v>
      </c>
      <c r="O20" s="33"/>
    </row>
    <row r="21" spans="1:15">
      <c r="A21" s="141"/>
      <c r="B21" s="105" t="s">
        <v>430</v>
      </c>
      <c r="C21" s="128">
        <v>0.5</v>
      </c>
      <c r="D21" s="1">
        <f t="shared" si="0"/>
        <v>4.5</v>
      </c>
      <c r="E21" s="33"/>
      <c r="G21" s="33">
        <f>D21*15</f>
        <v>67.5</v>
      </c>
      <c r="J21" s="33">
        <f t="shared" si="1"/>
        <v>157.5</v>
      </c>
      <c r="O21" s="33"/>
    </row>
    <row r="22" spans="1:15">
      <c r="A22" s="140"/>
      <c r="B22" s="144" t="s">
        <v>424</v>
      </c>
      <c r="C22" s="128">
        <v>0.3</v>
      </c>
      <c r="D22" s="1">
        <f t="shared" si="0"/>
        <v>2.6999999999999997</v>
      </c>
      <c r="E22" s="33">
        <f>D22*15</f>
        <v>40.499999999999993</v>
      </c>
      <c r="J22" s="33">
        <f t="shared" si="1"/>
        <v>94.499999999999986</v>
      </c>
      <c r="O22" s="33"/>
    </row>
    <row r="23" spans="1:15">
      <c r="A23" s="140"/>
      <c r="B23" s="144" t="s">
        <v>425</v>
      </c>
      <c r="C23" s="128">
        <v>0.3</v>
      </c>
      <c r="D23" s="1">
        <f t="shared" si="0"/>
        <v>2.6999999999999997</v>
      </c>
      <c r="E23" s="33">
        <f>D23*15</f>
        <v>40.499999999999993</v>
      </c>
      <c r="J23" s="33">
        <f t="shared" si="1"/>
        <v>94.499999999999986</v>
      </c>
      <c r="O23" s="33"/>
    </row>
    <row r="24" spans="1:15">
      <c r="A24" s="141"/>
      <c r="B24" s="144" t="s">
        <v>426</v>
      </c>
      <c r="C24" s="128">
        <v>0.5</v>
      </c>
      <c r="D24" s="1">
        <f t="shared" si="0"/>
        <v>4.5</v>
      </c>
      <c r="E24" s="33">
        <f>D24*15</f>
        <v>67.5</v>
      </c>
      <c r="J24" s="33">
        <f t="shared" si="1"/>
        <v>157.5</v>
      </c>
      <c r="O24" s="33"/>
    </row>
    <row r="25" spans="1:15">
      <c r="A25" s="141"/>
      <c r="B25" s="144" t="s">
        <v>427</v>
      </c>
      <c r="C25" s="128">
        <v>0.3</v>
      </c>
      <c r="D25" s="1">
        <f t="shared" si="0"/>
        <v>2.6999999999999997</v>
      </c>
      <c r="E25" s="33">
        <f>D25*15</f>
        <v>40.499999999999993</v>
      </c>
      <c r="J25" s="33">
        <f t="shared" si="1"/>
        <v>94.499999999999986</v>
      </c>
      <c r="O25" s="33"/>
    </row>
    <row r="26" spans="1:15">
      <c r="A26" s="141"/>
      <c r="B26" s="144" t="s">
        <v>418</v>
      </c>
      <c r="C26" s="128">
        <v>0.3</v>
      </c>
      <c r="D26" s="1">
        <f t="shared" si="0"/>
        <v>2.6999999999999997</v>
      </c>
      <c r="E26" s="33">
        <f>D26*15</f>
        <v>40.499999999999993</v>
      </c>
      <c r="J26" s="33">
        <f t="shared" si="1"/>
        <v>94.499999999999986</v>
      </c>
      <c r="O26" s="33"/>
    </row>
    <row r="27" spans="1:15">
      <c r="A27" s="141"/>
      <c r="B27" s="144" t="s">
        <v>242</v>
      </c>
      <c r="C27" s="128">
        <v>0.3</v>
      </c>
      <c r="D27" s="1">
        <f t="shared" si="0"/>
        <v>2.6999999999999997</v>
      </c>
      <c r="E27" s="33"/>
      <c r="G27" s="33">
        <f>D27*15</f>
        <v>40.499999999999993</v>
      </c>
      <c r="J27" s="33">
        <f t="shared" si="1"/>
        <v>94.499999999999986</v>
      </c>
      <c r="O27" s="33"/>
    </row>
    <row r="28" spans="1:15">
      <c r="A28" s="141"/>
      <c r="B28" s="144" t="s">
        <v>422</v>
      </c>
      <c r="C28" s="128">
        <v>0.3</v>
      </c>
      <c r="D28" s="1">
        <f t="shared" si="0"/>
        <v>2.6999999999999997</v>
      </c>
      <c r="E28" s="33"/>
      <c r="G28" s="33">
        <f>D28*15</f>
        <v>40.499999999999993</v>
      </c>
      <c r="J28" s="33">
        <f t="shared" si="1"/>
        <v>94.499999999999986</v>
      </c>
      <c r="L28" s="151" t="s">
        <v>260</v>
      </c>
      <c r="O28" s="33"/>
    </row>
    <row r="29" spans="1:15">
      <c r="A29" s="140"/>
      <c r="B29" s="144" t="s">
        <v>423</v>
      </c>
      <c r="C29" s="128">
        <v>0.3</v>
      </c>
      <c r="D29" s="1">
        <f t="shared" si="0"/>
        <v>2.6999999999999997</v>
      </c>
      <c r="E29" s="33"/>
      <c r="F29" s="33">
        <f>D29*12</f>
        <v>32.4</v>
      </c>
      <c r="J29" s="33">
        <f t="shared" si="1"/>
        <v>94.499999999999986</v>
      </c>
      <c r="O29" s="33"/>
    </row>
    <row r="30" spans="1:15">
      <c r="A30" s="141"/>
      <c r="B30" s="144" t="s">
        <v>421</v>
      </c>
      <c r="C30" s="128">
        <v>0.3</v>
      </c>
      <c r="D30" s="1">
        <f t="shared" si="0"/>
        <v>2.6999999999999997</v>
      </c>
      <c r="E30" s="33"/>
      <c r="G30" s="33">
        <f>D30*15</f>
        <v>40.499999999999993</v>
      </c>
      <c r="J30" s="33">
        <f t="shared" si="1"/>
        <v>94.499999999999986</v>
      </c>
      <c r="O30" s="33"/>
    </row>
    <row r="31" spans="1:15">
      <c r="A31" s="140"/>
      <c r="B31" s="144" t="s">
        <v>420</v>
      </c>
      <c r="C31" s="128">
        <v>0.3</v>
      </c>
      <c r="D31" s="1">
        <f t="shared" si="0"/>
        <v>2.6999999999999997</v>
      </c>
      <c r="E31" s="33"/>
      <c r="G31" s="33">
        <f>D31*15</f>
        <v>40.499999999999993</v>
      </c>
      <c r="J31" s="33">
        <f t="shared" si="1"/>
        <v>94.499999999999986</v>
      </c>
      <c r="O31" s="33"/>
    </row>
    <row r="32" spans="1:15">
      <c r="A32" s="141"/>
      <c r="B32" s="144" t="s">
        <v>428</v>
      </c>
      <c r="C32" s="128">
        <v>0.3</v>
      </c>
      <c r="D32" s="1">
        <f t="shared" si="0"/>
        <v>2.6999999999999997</v>
      </c>
      <c r="E32" s="33"/>
      <c r="F32" s="33">
        <f>D32*12</f>
        <v>32.4</v>
      </c>
      <c r="J32" s="33">
        <f t="shared" si="1"/>
        <v>94.499999999999986</v>
      </c>
      <c r="O32" s="33"/>
    </row>
    <row r="33" spans="1:15">
      <c r="A33" s="141"/>
      <c r="B33" s="105" t="s">
        <v>429</v>
      </c>
      <c r="C33" s="128">
        <v>0.3</v>
      </c>
      <c r="D33" s="1">
        <f t="shared" si="0"/>
        <v>2.6999999999999997</v>
      </c>
      <c r="E33" s="33"/>
      <c r="G33" s="33">
        <f>D33*15</f>
        <v>40.499999999999993</v>
      </c>
      <c r="J33" s="33">
        <f t="shared" si="1"/>
        <v>94.499999999999986</v>
      </c>
      <c r="O33" s="33"/>
    </row>
    <row r="34" spans="1:15">
      <c r="A34" s="122"/>
      <c r="B34" s="144" t="s">
        <v>440</v>
      </c>
      <c r="C34" s="128">
        <v>0.3</v>
      </c>
      <c r="D34" s="1">
        <f>C34*9</f>
        <v>2.6999999999999997</v>
      </c>
      <c r="E34" s="33"/>
      <c r="F34" s="33">
        <f>D34*12</f>
        <v>32.4</v>
      </c>
      <c r="J34" s="33">
        <f t="shared" si="1"/>
        <v>94.499999999999986</v>
      </c>
      <c r="O34" s="33"/>
    </row>
    <row r="35" spans="1:15">
      <c r="A35" s="147"/>
      <c r="B35" s="144" t="s">
        <v>439</v>
      </c>
      <c r="C35" s="128">
        <v>0.3</v>
      </c>
      <c r="D35" s="1">
        <f>C35*9</f>
        <v>2.6999999999999997</v>
      </c>
      <c r="E35" s="33"/>
      <c r="G35" s="33">
        <f>D35*15</f>
        <v>40.499999999999993</v>
      </c>
      <c r="J35" s="33">
        <f t="shared" si="1"/>
        <v>94.499999999999986</v>
      </c>
      <c r="O35" s="33"/>
    </row>
    <row r="36" spans="1:15">
      <c r="A36" s="146"/>
      <c r="B36" s="144" t="s">
        <v>419</v>
      </c>
      <c r="C36" s="128">
        <v>0.3</v>
      </c>
      <c r="D36" s="1">
        <f>C36*9</f>
        <v>2.6999999999999997</v>
      </c>
      <c r="E36" s="33"/>
      <c r="F36" s="33">
        <f>D36*12</f>
        <v>32.4</v>
      </c>
      <c r="J36" s="33">
        <f t="shared" si="1"/>
        <v>94.499999999999986</v>
      </c>
      <c r="O36" s="33"/>
    </row>
    <row r="37" spans="1:15">
      <c r="A37" s="122"/>
      <c r="B37" s="105" t="s">
        <v>431</v>
      </c>
      <c r="C37" s="128">
        <v>0.5</v>
      </c>
      <c r="D37" s="1">
        <f t="shared" si="0"/>
        <v>4.5</v>
      </c>
      <c r="E37" s="33">
        <f>D37*15</f>
        <v>67.5</v>
      </c>
      <c r="J37" s="33">
        <f t="shared" si="1"/>
        <v>157.5</v>
      </c>
      <c r="O37" s="33"/>
    </row>
    <row r="38" spans="1:15">
      <c r="A38" s="122"/>
      <c r="B38" s="105" t="s">
        <v>446</v>
      </c>
      <c r="C38" s="128">
        <v>0.5</v>
      </c>
      <c r="D38" s="1">
        <f t="shared" si="0"/>
        <v>4.5</v>
      </c>
      <c r="E38" s="33"/>
      <c r="G38" s="33">
        <f>D38*15</f>
        <v>67.5</v>
      </c>
      <c r="J38" s="33">
        <f t="shared" si="1"/>
        <v>157.5</v>
      </c>
      <c r="O38" s="33"/>
    </row>
    <row r="39" spans="1:15">
      <c r="A39" s="141"/>
      <c r="B39" s="105" t="s">
        <v>447</v>
      </c>
      <c r="C39" s="128">
        <v>0.5</v>
      </c>
      <c r="D39" s="1">
        <f t="shared" ref="D39" si="3">C39*9</f>
        <v>4.5</v>
      </c>
      <c r="E39" s="33"/>
      <c r="G39" s="33">
        <f>D39*15</f>
        <v>67.5</v>
      </c>
      <c r="J39" s="33">
        <f t="shared" si="1"/>
        <v>157.5</v>
      </c>
      <c r="O39" s="33"/>
    </row>
    <row r="40" spans="1:15">
      <c r="A40" s="141"/>
      <c r="B40" s="105" t="s">
        <v>445</v>
      </c>
      <c r="C40" s="128">
        <v>0.5</v>
      </c>
      <c r="D40" s="1">
        <f>C40*9</f>
        <v>4.5</v>
      </c>
      <c r="E40" s="33"/>
      <c r="H40" s="33">
        <f>D40*12</f>
        <v>54</v>
      </c>
      <c r="J40" s="33">
        <f t="shared" si="1"/>
        <v>157.5</v>
      </c>
      <c r="O40" s="33"/>
    </row>
    <row r="41" spans="1:15">
      <c r="A41" s="140"/>
      <c r="B41" s="105" t="s">
        <v>464</v>
      </c>
      <c r="C41" s="128">
        <v>0.5</v>
      </c>
      <c r="D41" s="1">
        <f t="shared" ref="D41:D60" si="4">C41*9</f>
        <v>4.5</v>
      </c>
      <c r="E41" s="33">
        <f>D41*15</f>
        <v>67.5</v>
      </c>
      <c r="J41" s="33">
        <f t="shared" si="1"/>
        <v>157.5</v>
      </c>
      <c r="O41" s="33"/>
    </row>
    <row r="42" spans="1:15">
      <c r="A42" s="140"/>
      <c r="B42" s="105" t="s">
        <v>465</v>
      </c>
      <c r="C42" s="128">
        <v>0.3</v>
      </c>
      <c r="D42" s="1">
        <f t="shared" si="4"/>
        <v>2.6999999999999997</v>
      </c>
      <c r="E42" s="33">
        <f>D42*15</f>
        <v>40.499999999999993</v>
      </c>
      <c r="J42" s="33">
        <f t="shared" si="1"/>
        <v>94.499999999999986</v>
      </c>
      <c r="O42" s="33"/>
    </row>
    <row r="43" spans="1:15">
      <c r="A43" s="141"/>
      <c r="B43" s="144" t="s">
        <v>466</v>
      </c>
      <c r="C43" s="128">
        <v>0.5</v>
      </c>
      <c r="D43" s="1">
        <f t="shared" si="4"/>
        <v>4.5</v>
      </c>
      <c r="E43" s="33">
        <f>D43*15</f>
        <v>67.5</v>
      </c>
      <c r="J43" s="33">
        <f t="shared" si="1"/>
        <v>157.5</v>
      </c>
      <c r="O43" s="33"/>
    </row>
    <row r="44" spans="1:15">
      <c r="A44" s="141"/>
      <c r="B44" s="105" t="s">
        <v>467</v>
      </c>
      <c r="C44" s="128">
        <v>0.3</v>
      </c>
      <c r="D44" s="1">
        <f t="shared" si="4"/>
        <v>2.6999999999999997</v>
      </c>
      <c r="F44" s="33">
        <f>D44*12</f>
        <v>32.4</v>
      </c>
      <c r="J44" s="33">
        <f t="shared" si="1"/>
        <v>94.499999999999986</v>
      </c>
      <c r="O44" s="33"/>
    </row>
    <row r="45" spans="1:15">
      <c r="A45" s="140"/>
      <c r="B45" s="105" t="s">
        <v>468</v>
      </c>
      <c r="C45" s="128">
        <v>0.5</v>
      </c>
      <c r="D45" s="1">
        <f t="shared" si="4"/>
        <v>4.5</v>
      </c>
      <c r="H45" s="33">
        <f>D45*12</f>
        <v>54</v>
      </c>
      <c r="J45" s="33">
        <f t="shared" si="1"/>
        <v>157.5</v>
      </c>
      <c r="O45" s="33"/>
    </row>
    <row r="46" spans="1:15">
      <c r="A46" s="141"/>
      <c r="B46" s="105" t="s">
        <v>475</v>
      </c>
      <c r="C46" s="128">
        <v>0.3</v>
      </c>
      <c r="D46" s="1">
        <f t="shared" si="4"/>
        <v>2.6999999999999997</v>
      </c>
      <c r="F46" s="33">
        <f>D46*12</f>
        <v>32.4</v>
      </c>
      <c r="J46" s="33">
        <f t="shared" si="1"/>
        <v>94.499999999999986</v>
      </c>
      <c r="O46" s="33"/>
    </row>
    <row r="47" spans="1:15">
      <c r="A47" s="140"/>
      <c r="B47" s="105" t="s">
        <v>474</v>
      </c>
      <c r="C47" s="128">
        <v>0.3</v>
      </c>
      <c r="D47" s="1">
        <f t="shared" si="4"/>
        <v>2.6999999999999997</v>
      </c>
      <c r="G47" s="33">
        <f>D47*15</f>
        <v>40.499999999999993</v>
      </c>
      <c r="J47" s="33">
        <f t="shared" si="1"/>
        <v>94.499999999999986</v>
      </c>
      <c r="O47" s="33"/>
    </row>
    <row r="48" spans="1:15">
      <c r="A48" s="140"/>
      <c r="B48" s="105" t="s">
        <v>473</v>
      </c>
      <c r="C48" s="128">
        <v>0.3</v>
      </c>
      <c r="D48" s="1">
        <f t="shared" si="4"/>
        <v>2.6999999999999997</v>
      </c>
      <c r="F48" s="33">
        <f>D48*12</f>
        <v>32.4</v>
      </c>
      <c r="J48" s="33">
        <f t="shared" si="1"/>
        <v>94.499999999999986</v>
      </c>
      <c r="O48" s="33"/>
    </row>
    <row r="49" spans="1:15">
      <c r="A49" s="140"/>
      <c r="B49" s="105" t="s">
        <v>472</v>
      </c>
      <c r="C49" s="128">
        <v>0.3</v>
      </c>
      <c r="D49" s="1">
        <f t="shared" si="4"/>
        <v>2.6999999999999997</v>
      </c>
      <c r="F49" s="33">
        <f t="shared" ref="F49:F50" si="5">D49*12</f>
        <v>32.4</v>
      </c>
      <c r="J49" s="33">
        <f t="shared" si="1"/>
        <v>94.499999999999986</v>
      </c>
      <c r="O49" s="33"/>
    </row>
    <row r="50" spans="1:15">
      <c r="A50" s="140"/>
      <c r="B50" s="105" t="s">
        <v>471</v>
      </c>
      <c r="C50" s="128">
        <v>0.3</v>
      </c>
      <c r="D50" s="1">
        <f t="shared" si="4"/>
        <v>2.6999999999999997</v>
      </c>
      <c r="F50" s="33">
        <f t="shared" si="5"/>
        <v>32.4</v>
      </c>
      <c r="J50" s="33">
        <f t="shared" si="1"/>
        <v>94.499999999999986</v>
      </c>
      <c r="O50" s="33"/>
    </row>
    <row r="51" spans="1:15">
      <c r="A51" s="140"/>
      <c r="B51" s="105" t="s">
        <v>470</v>
      </c>
      <c r="C51" s="128">
        <v>0.3</v>
      </c>
      <c r="D51" s="1">
        <f t="shared" si="4"/>
        <v>2.6999999999999997</v>
      </c>
      <c r="E51" s="33">
        <f>D51*15</f>
        <v>40.499999999999993</v>
      </c>
      <c r="J51" s="33">
        <f t="shared" si="1"/>
        <v>94.499999999999986</v>
      </c>
      <c r="O51" s="33"/>
    </row>
    <row r="52" spans="1:15">
      <c r="A52" s="141"/>
      <c r="B52" s="105" t="s">
        <v>469</v>
      </c>
      <c r="C52" s="128">
        <v>0.3</v>
      </c>
      <c r="D52" s="1">
        <f t="shared" si="4"/>
        <v>2.6999999999999997</v>
      </c>
      <c r="H52" s="33">
        <f>D52*12</f>
        <v>32.4</v>
      </c>
      <c r="J52" s="33">
        <f t="shared" si="1"/>
        <v>94.499999999999986</v>
      </c>
      <c r="O52" s="33"/>
    </row>
    <row r="53" spans="1:15">
      <c r="A53" s="141"/>
      <c r="B53" s="105" t="s">
        <v>420</v>
      </c>
      <c r="C53" s="149">
        <v>0.5</v>
      </c>
      <c r="D53" s="1">
        <f t="shared" si="4"/>
        <v>4.5</v>
      </c>
      <c r="E53" s="33">
        <f>D53*15</f>
        <v>67.5</v>
      </c>
      <c r="J53" s="33">
        <f t="shared" si="1"/>
        <v>157.5</v>
      </c>
      <c r="O53" s="33"/>
    </row>
    <row r="54" spans="1:15">
      <c r="A54" s="140"/>
      <c r="B54" s="105" t="s">
        <v>485</v>
      </c>
      <c r="C54" s="128">
        <v>0.3</v>
      </c>
      <c r="D54" s="1">
        <f t="shared" si="4"/>
        <v>2.6999999999999997</v>
      </c>
      <c r="G54" s="33">
        <f>D54*15</f>
        <v>40.499999999999993</v>
      </c>
      <c r="J54" s="33">
        <f t="shared" si="1"/>
        <v>94.499999999999986</v>
      </c>
      <c r="O54" s="33"/>
    </row>
    <row r="55" spans="1:15">
      <c r="A55" s="140"/>
      <c r="B55" s="105" t="s">
        <v>486</v>
      </c>
      <c r="C55" s="149">
        <v>0.5</v>
      </c>
      <c r="D55" s="1">
        <f t="shared" si="4"/>
        <v>4.5</v>
      </c>
      <c r="E55" s="33">
        <f>D55*15</f>
        <v>67.5</v>
      </c>
      <c r="J55" s="33">
        <f t="shared" si="1"/>
        <v>157.5</v>
      </c>
      <c r="O55" s="33"/>
    </row>
    <row r="56" spans="1:15">
      <c r="A56" s="140"/>
      <c r="B56" s="105" t="s">
        <v>487</v>
      </c>
      <c r="C56" s="149">
        <v>0.5</v>
      </c>
      <c r="D56" s="1">
        <f t="shared" si="4"/>
        <v>4.5</v>
      </c>
      <c r="H56" s="33">
        <f>D56*12</f>
        <v>54</v>
      </c>
      <c r="J56" s="33">
        <f t="shared" si="1"/>
        <v>157.5</v>
      </c>
      <c r="O56" s="33"/>
    </row>
    <row r="57" spans="1:15">
      <c r="A57" s="140"/>
      <c r="B57" s="105" t="s">
        <v>488</v>
      </c>
      <c r="C57" s="149">
        <v>0.5</v>
      </c>
      <c r="D57" s="1">
        <f t="shared" si="4"/>
        <v>4.5</v>
      </c>
      <c r="E57" s="33">
        <f>D57*15</f>
        <v>67.5</v>
      </c>
      <c r="J57" s="33">
        <f t="shared" si="1"/>
        <v>157.5</v>
      </c>
      <c r="O57" s="33"/>
    </row>
    <row r="58" spans="1:15">
      <c r="A58" s="140"/>
      <c r="B58" s="105" t="s">
        <v>489</v>
      </c>
      <c r="C58" s="149">
        <v>0.5</v>
      </c>
      <c r="D58" s="1">
        <f t="shared" si="4"/>
        <v>4.5</v>
      </c>
      <c r="G58" s="33">
        <f>D58*15</f>
        <v>67.5</v>
      </c>
      <c r="J58" s="33">
        <f t="shared" si="1"/>
        <v>157.5</v>
      </c>
      <c r="O58" s="33"/>
    </row>
    <row r="59" spans="1:15">
      <c r="A59" s="140"/>
      <c r="B59" s="105" t="s">
        <v>490</v>
      </c>
      <c r="C59" s="149">
        <v>0.5</v>
      </c>
      <c r="D59" s="1">
        <f t="shared" si="4"/>
        <v>4.5</v>
      </c>
      <c r="H59" s="33">
        <f>D59*12</f>
        <v>54</v>
      </c>
      <c r="J59" s="33">
        <f t="shared" si="1"/>
        <v>157.5</v>
      </c>
      <c r="O59" s="33"/>
    </row>
    <row r="60" spans="1:15">
      <c r="A60" s="140"/>
      <c r="B60" s="105" t="s">
        <v>503</v>
      </c>
      <c r="C60" s="149">
        <v>0.5</v>
      </c>
      <c r="D60" s="1">
        <f t="shared" si="4"/>
        <v>4.5</v>
      </c>
      <c r="H60" s="33"/>
      <c r="J60" s="33">
        <f t="shared" si="1"/>
        <v>157.5</v>
      </c>
      <c r="O60" s="33"/>
    </row>
    <row r="61" spans="1:15">
      <c r="B61" s="105"/>
      <c r="C61" s="149"/>
      <c r="H61" s="33"/>
      <c r="J61" s="33"/>
      <c r="O61" s="33"/>
    </row>
    <row r="62" spans="1:15">
      <c r="B62" s="1"/>
      <c r="C62" s="128"/>
      <c r="J62" s="33"/>
      <c r="O62" s="33"/>
    </row>
    <row r="63" spans="1:15" ht="25" customHeight="1">
      <c r="A63" s="125" t="s">
        <v>81</v>
      </c>
      <c r="B63" s="125" t="s">
        <v>196</v>
      </c>
      <c r="C63" s="23"/>
      <c r="D63" s="23"/>
      <c r="E63" s="23"/>
      <c r="F63" s="23"/>
      <c r="G63" s="23"/>
      <c r="H63" s="23"/>
      <c r="I63" s="23"/>
      <c r="J63" s="23"/>
      <c r="M63" s="33"/>
    </row>
    <row r="64" spans="1:15">
      <c r="A64" s="141"/>
      <c r="B64" s="105" t="s">
        <v>400</v>
      </c>
      <c r="C64" s="128">
        <v>3</v>
      </c>
      <c r="D64" s="1">
        <f t="shared" ref="D64:D81" si="6">C64*9</f>
        <v>27</v>
      </c>
      <c r="E64" s="33"/>
      <c r="F64" s="33"/>
      <c r="G64" s="33">
        <f>D64*15</f>
        <v>405</v>
      </c>
      <c r="H64" s="33"/>
      <c r="J64" s="33">
        <f t="shared" ref="J64:J120" si="7">D64*35</f>
        <v>945</v>
      </c>
    </row>
    <row r="65" spans="1:10">
      <c r="A65" s="141"/>
      <c r="B65" s="144" t="s">
        <v>441</v>
      </c>
      <c r="C65" s="128">
        <v>1.5</v>
      </c>
      <c r="D65" s="1">
        <f t="shared" si="6"/>
        <v>13.5</v>
      </c>
      <c r="E65" s="33"/>
      <c r="F65" s="33"/>
      <c r="G65" s="33"/>
      <c r="H65" s="33">
        <f>D65*12</f>
        <v>162</v>
      </c>
      <c r="J65" s="33">
        <f t="shared" si="7"/>
        <v>472.5</v>
      </c>
    </row>
    <row r="66" spans="1:10">
      <c r="A66" s="141"/>
      <c r="B66" s="144" t="s">
        <v>442</v>
      </c>
      <c r="C66" s="128">
        <v>1</v>
      </c>
      <c r="D66" s="1">
        <f t="shared" si="6"/>
        <v>9</v>
      </c>
      <c r="E66" s="33"/>
      <c r="F66" s="33"/>
      <c r="G66" s="33"/>
      <c r="H66" s="33">
        <f>D66*12</f>
        <v>108</v>
      </c>
      <c r="J66" s="33">
        <f t="shared" si="7"/>
        <v>315</v>
      </c>
    </row>
    <row r="67" spans="1:10">
      <c r="A67" s="141"/>
      <c r="B67" s="144" t="s">
        <v>443</v>
      </c>
      <c r="C67" s="128">
        <v>1</v>
      </c>
      <c r="D67" s="1">
        <f t="shared" si="6"/>
        <v>9</v>
      </c>
      <c r="E67" s="33"/>
      <c r="F67" s="33"/>
      <c r="G67" s="33"/>
      <c r="H67" s="33">
        <f>D67*12</f>
        <v>108</v>
      </c>
      <c r="J67" s="33">
        <f t="shared" si="7"/>
        <v>315</v>
      </c>
    </row>
    <row r="68" spans="1:10">
      <c r="A68" s="141"/>
      <c r="B68" s="144" t="s">
        <v>444</v>
      </c>
      <c r="C68" s="128">
        <v>1</v>
      </c>
      <c r="D68" s="1">
        <f t="shared" si="6"/>
        <v>9</v>
      </c>
      <c r="E68" s="33"/>
      <c r="F68" s="33"/>
      <c r="G68" s="33"/>
      <c r="H68" s="33">
        <f>D68*12</f>
        <v>108</v>
      </c>
      <c r="J68" s="33">
        <f t="shared" si="7"/>
        <v>315</v>
      </c>
    </row>
    <row r="69" spans="1:10">
      <c r="A69" s="141"/>
      <c r="B69" s="105" t="s">
        <v>401</v>
      </c>
      <c r="C69" s="128">
        <v>0.3</v>
      </c>
      <c r="D69" s="1">
        <f t="shared" si="6"/>
        <v>2.6999999999999997</v>
      </c>
      <c r="E69" s="33">
        <f>D69*15</f>
        <v>40.499999999999993</v>
      </c>
      <c r="F69" s="33"/>
      <c r="G69" s="33"/>
      <c r="H69" s="33"/>
      <c r="J69" s="33">
        <f t="shared" si="7"/>
        <v>94.499999999999986</v>
      </c>
    </row>
    <row r="70" spans="1:10">
      <c r="A70" s="141"/>
      <c r="B70" s="105" t="s">
        <v>402</v>
      </c>
      <c r="C70" s="128">
        <v>0.3</v>
      </c>
      <c r="D70" s="1">
        <f t="shared" si="6"/>
        <v>2.6999999999999997</v>
      </c>
      <c r="E70" s="33">
        <f>D70*15</f>
        <v>40.499999999999993</v>
      </c>
      <c r="F70" s="33"/>
      <c r="G70" s="33"/>
      <c r="H70" s="33"/>
      <c r="J70" s="33">
        <f t="shared" si="7"/>
        <v>94.499999999999986</v>
      </c>
    </row>
    <row r="71" spans="1:10">
      <c r="A71" s="141"/>
      <c r="B71" s="105" t="s">
        <v>403</v>
      </c>
      <c r="C71" s="128">
        <v>0.3</v>
      </c>
      <c r="D71" s="1">
        <f t="shared" si="6"/>
        <v>2.6999999999999997</v>
      </c>
      <c r="E71" s="33">
        <f>D71*15</f>
        <v>40.499999999999993</v>
      </c>
      <c r="F71" s="33"/>
      <c r="G71" s="33"/>
      <c r="H71" s="33"/>
      <c r="J71" s="33">
        <f t="shared" si="7"/>
        <v>94.499999999999986</v>
      </c>
    </row>
    <row r="72" spans="1:10">
      <c r="A72" s="141"/>
      <c r="B72" s="105" t="s">
        <v>404</v>
      </c>
      <c r="C72" s="128">
        <v>0.3</v>
      </c>
      <c r="D72" s="1">
        <f t="shared" si="6"/>
        <v>2.6999999999999997</v>
      </c>
      <c r="E72" s="33">
        <f>D72*15</f>
        <v>40.499999999999993</v>
      </c>
      <c r="F72" s="33"/>
      <c r="G72" s="33"/>
      <c r="H72" s="33"/>
      <c r="J72" s="33">
        <f t="shared" si="7"/>
        <v>94.499999999999986</v>
      </c>
    </row>
    <row r="73" spans="1:10">
      <c r="A73" s="141"/>
      <c r="B73" s="105" t="s">
        <v>405</v>
      </c>
      <c r="C73" s="128">
        <v>0.3</v>
      </c>
      <c r="D73" s="1">
        <f t="shared" si="6"/>
        <v>2.6999999999999997</v>
      </c>
      <c r="E73" s="33"/>
      <c r="F73" s="33">
        <f>D73*12</f>
        <v>32.4</v>
      </c>
      <c r="H73" s="33"/>
      <c r="J73" s="33">
        <f t="shared" si="7"/>
        <v>94.499999999999986</v>
      </c>
    </row>
    <row r="74" spans="1:10">
      <c r="A74" s="141"/>
      <c r="B74" s="105" t="s">
        <v>406</v>
      </c>
      <c r="C74" s="128">
        <v>0.3</v>
      </c>
      <c r="D74" s="1">
        <f t="shared" si="6"/>
        <v>2.6999999999999997</v>
      </c>
      <c r="E74" s="33"/>
      <c r="F74" s="33">
        <f>D74*12</f>
        <v>32.4</v>
      </c>
      <c r="H74" s="33"/>
      <c r="J74" s="33">
        <f t="shared" si="7"/>
        <v>94.499999999999986</v>
      </c>
    </row>
    <row r="75" spans="1:10">
      <c r="A75" s="141"/>
      <c r="B75" s="105" t="s">
        <v>416</v>
      </c>
      <c r="C75" s="128">
        <v>0.5</v>
      </c>
      <c r="D75" s="1">
        <f t="shared" si="6"/>
        <v>4.5</v>
      </c>
      <c r="E75" s="33">
        <f>D75*15</f>
        <v>67.5</v>
      </c>
      <c r="F75" s="33"/>
      <c r="H75" s="33"/>
      <c r="J75" s="33">
        <f t="shared" si="7"/>
        <v>157.5</v>
      </c>
    </row>
    <row r="76" spans="1:10">
      <c r="A76" s="150"/>
      <c r="B76" s="105" t="s">
        <v>417</v>
      </c>
      <c r="C76" s="128">
        <v>0.5</v>
      </c>
      <c r="D76" s="1">
        <f t="shared" si="6"/>
        <v>4.5</v>
      </c>
      <c r="E76" s="33"/>
      <c r="F76" s="33"/>
      <c r="H76" s="33">
        <f>D76*12</f>
        <v>54</v>
      </c>
      <c r="J76" s="33">
        <f t="shared" si="7"/>
        <v>157.5</v>
      </c>
    </row>
    <row r="77" spans="1:10">
      <c r="A77" s="141"/>
      <c r="B77" s="105" t="s">
        <v>432</v>
      </c>
      <c r="C77" s="128">
        <v>0.3</v>
      </c>
      <c r="D77" s="1">
        <f t="shared" si="6"/>
        <v>2.6999999999999997</v>
      </c>
      <c r="E77" s="33"/>
      <c r="F77" s="33"/>
      <c r="G77" s="33">
        <f>D77*15</f>
        <v>40.499999999999993</v>
      </c>
      <c r="H77" s="33"/>
      <c r="J77" s="33">
        <f t="shared" si="7"/>
        <v>94.499999999999986</v>
      </c>
    </row>
    <row r="78" spans="1:10">
      <c r="A78" s="140"/>
      <c r="B78" s="105" t="s">
        <v>433</v>
      </c>
      <c r="C78" s="128">
        <v>0.3</v>
      </c>
      <c r="D78" s="1">
        <f t="shared" si="6"/>
        <v>2.6999999999999997</v>
      </c>
      <c r="E78" s="33"/>
      <c r="F78" s="33">
        <f>D78*12</f>
        <v>32.4</v>
      </c>
      <c r="H78" s="33"/>
      <c r="J78" s="33">
        <f t="shared" si="7"/>
        <v>94.499999999999986</v>
      </c>
    </row>
    <row r="79" spans="1:10">
      <c r="A79" s="141"/>
      <c r="B79" s="105" t="s">
        <v>434</v>
      </c>
      <c r="C79" s="128">
        <v>0.3</v>
      </c>
      <c r="D79" s="1">
        <f t="shared" si="6"/>
        <v>2.6999999999999997</v>
      </c>
      <c r="E79" s="33"/>
      <c r="F79" s="33">
        <f>D79*12</f>
        <v>32.4</v>
      </c>
      <c r="H79" s="33"/>
      <c r="J79" s="33">
        <f t="shared" si="7"/>
        <v>94.499999999999986</v>
      </c>
    </row>
    <row r="80" spans="1:10">
      <c r="A80" s="141"/>
      <c r="B80" s="105" t="s">
        <v>438</v>
      </c>
      <c r="C80" s="128">
        <v>0.3</v>
      </c>
      <c r="D80" s="1">
        <f t="shared" si="6"/>
        <v>2.6999999999999997</v>
      </c>
      <c r="E80" s="33"/>
      <c r="F80" s="33">
        <f>D80*12</f>
        <v>32.4</v>
      </c>
      <c r="H80" s="33"/>
      <c r="J80" s="33">
        <f t="shared" si="7"/>
        <v>94.499999999999986</v>
      </c>
    </row>
    <row r="81" spans="1:10">
      <c r="A81" s="141"/>
      <c r="B81" s="105" t="s">
        <v>437</v>
      </c>
      <c r="C81" s="128">
        <v>0.3</v>
      </c>
      <c r="D81" s="1">
        <f t="shared" si="6"/>
        <v>2.6999999999999997</v>
      </c>
      <c r="E81" s="33"/>
      <c r="F81" s="33"/>
      <c r="G81" s="33">
        <f>D81*15</f>
        <v>40.499999999999993</v>
      </c>
      <c r="H81" s="33"/>
      <c r="J81" s="33">
        <f t="shared" si="7"/>
        <v>94.499999999999986</v>
      </c>
    </row>
    <row r="82" spans="1:10">
      <c r="A82" s="141"/>
      <c r="B82" s="105" t="s">
        <v>436</v>
      </c>
      <c r="C82" s="128">
        <v>0.3</v>
      </c>
      <c r="D82" s="1">
        <f>C82*9</f>
        <v>2.6999999999999997</v>
      </c>
      <c r="E82" s="33"/>
      <c r="F82" s="33">
        <f>D82*12</f>
        <v>32.4</v>
      </c>
      <c r="H82" s="33"/>
      <c r="J82" s="33">
        <f t="shared" si="7"/>
        <v>94.499999999999986</v>
      </c>
    </row>
    <row r="83" spans="1:10">
      <c r="A83" s="141"/>
      <c r="B83" s="105" t="s">
        <v>435</v>
      </c>
      <c r="C83" s="128">
        <v>0.3</v>
      </c>
      <c r="D83" s="1">
        <f>C83*9</f>
        <v>2.6999999999999997</v>
      </c>
      <c r="F83" s="33">
        <f>D83*12</f>
        <v>32.4</v>
      </c>
      <c r="J83" s="33">
        <f t="shared" si="7"/>
        <v>94.499999999999986</v>
      </c>
    </row>
    <row r="84" spans="1:10">
      <c r="A84" s="122"/>
      <c r="B84" s="105" t="s">
        <v>448</v>
      </c>
      <c r="C84" s="128">
        <v>0.3</v>
      </c>
      <c r="D84" s="1">
        <f t="shared" ref="D84:D120" si="8">C84*9</f>
        <v>2.6999999999999997</v>
      </c>
      <c r="F84" s="33">
        <f>D84*12</f>
        <v>32.4</v>
      </c>
      <c r="J84" s="33">
        <f t="shared" si="7"/>
        <v>94.499999999999986</v>
      </c>
    </row>
    <row r="85" spans="1:10">
      <c r="A85" s="122"/>
      <c r="B85" s="105" t="s">
        <v>449</v>
      </c>
      <c r="C85" s="128">
        <v>0.3</v>
      </c>
      <c r="D85" s="1">
        <f t="shared" si="8"/>
        <v>2.6999999999999997</v>
      </c>
      <c r="F85" s="33">
        <f>D85*12</f>
        <v>32.4</v>
      </c>
      <c r="J85" s="33">
        <f t="shared" si="7"/>
        <v>94.499999999999986</v>
      </c>
    </row>
    <row r="86" spans="1:10">
      <c r="A86" s="122"/>
      <c r="B86" s="145" t="s">
        <v>450</v>
      </c>
      <c r="C86" s="128">
        <v>0.3</v>
      </c>
      <c r="D86" s="1">
        <f t="shared" si="8"/>
        <v>2.6999999999999997</v>
      </c>
      <c r="F86" s="33">
        <f>D86*12</f>
        <v>32.4</v>
      </c>
      <c r="J86" s="33">
        <f t="shared" si="7"/>
        <v>94.499999999999986</v>
      </c>
    </row>
    <row r="87" spans="1:10">
      <c r="A87" s="122"/>
      <c r="B87" s="105" t="s">
        <v>451</v>
      </c>
      <c r="C87" s="128">
        <v>0.3</v>
      </c>
      <c r="D87" s="1">
        <f t="shared" si="8"/>
        <v>2.6999999999999997</v>
      </c>
      <c r="E87" s="33">
        <f>D87*15</f>
        <v>40.499999999999993</v>
      </c>
      <c r="J87" s="33">
        <f t="shared" si="7"/>
        <v>94.499999999999986</v>
      </c>
    </row>
    <row r="88" spans="1:10">
      <c r="A88" s="122"/>
      <c r="B88" s="105" t="s">
        <v>452</v>
      </c>
      <c r="C88" s="128">
        <v>0.3</v>
      </c>
      <c r="D88" s="1">
        <f t="shared" si="8"/>
        <v>2.6999999999999997</v>
      </c>
      <c r="E88" s="33">
        <f>D88*15</f>
        <v>40.499999999999993</v>
      </c>
      <c r="J88" s="33">
        <f t="shared" si="7"/>
        <v>94.499999999999986</v>
      </c>
    </row>
    <row r="89" spans="1:10">
      <c r="A89" s="122"/>
      <c r="B89" s="145" t="s">
        <v>453</v>
      </c>
      <c r="C89" s="128">
        <v>0.3</v>
      </c>
      <c r="D89" s="1">
        <f t="shared" si="8"/>
        <v>2.6999999999999997</v>
      </c>
      <c r="E89" s="33">
        <f>D89*15</f>
        <v>40.499999999999993</v>
      </c>
      <c r="J89" s="33">
        <f t="shared" si="7"/>
        <v>94.499999999999986</v>
      </c>
    </row>
    <row r="90" spans="1:10">
      <c r="A90" s="146"/>
      <c r="B90" s="145" t="s">
        <v>454</v>
      </c>
      <c r="C90" s="128">
        <v>0.3</v>
      </c>
      <c r="D90" s="1">
        <f t="shared" si="8"/>
        <v>2.6999999999999997</v>
      </c>
      <c r="H90" s="33">
        <f>D90*12</f>
        <v>32.4</v>
      </c>
      <c r="J90" s="33">
        <f t="shared" si="7"/>
        <v>94.499999999999986</v>
      </c>
    </row>
    <row r="91" spans="1:10">
      <c r="A91" s="122"/>
      <c r="B91" s="105" t="s">
        <v>455</v>
      </c>
      <c r="C91" s="128">
        <v>0.3</v>
      </c>
      <c r="D91" s="1">
        <f t="shared" si="8"/>
        <v>2.6999999999999997</v>
      </c>
      <c r="F91" s="33">
        <f t="shared" ref="F91:F98" si="9">D91*12</f>
        <v>32.4</v>
      </c>
      <c r="J91" s="33">
        <f t="shared" si="7"/>
        <v>94.499999999999986</v>
      </c>
    </row>
    <row r="92" spans="1:10">
      <c r="A92" s="122"/>
      <c r="B92" s="145" t="s">
        <v>456</v>
      </c>
      <c r="C92" s="128">
        <v>0.3</v>
      </c>
      <c r="D92" s="1">
        <f t="shared" si="8"/>
        <v>2.6999999999999997</v>
      </c>
      <c r="F92" s="33">
        <f t="shared" si="9"/>
        <v>32.4</v>
      </c>
      <c r="J92" s="33">
        <f t="shared" si="7"/>
        <v>94.499999999999986</v>
      </c>
    </row>
    <row r="93" spans="1:10">
      <c r="A93" s="152"/>
      <c r="B93" s="105" t="s">
        <v>457</v>
      </c>
      <c r="C93" s="128">
        <v>0.3</v>
      </c>
      <c r="D93" s="1">
        <f t="shared" si="8"/>
        <v>2.6999999999999997</v>
      </c>
      <c r="F93" s="33">
        <f t="shared" si="9"/>
        <v>32.4</v>
      </c>
      <c r="J93" s="33">
        <f t="shared" si="7"/>
        <v>94.499999999999986</v>
      </c>
    </row>
    <row r="94" spans="1:10">
      <c r="A94" s="122"/>
      <c r="B94" s="105" t="s">
        <v>458</v>
      </c>
      <c r="C94" s="128">
        <v>0.3</v>
      </c>
      <c r="D94" s="1">
        <f t="shared" si="8"/>
        <v>2.6999999999999997</v>
      </c>
      <c r="F94" s="33">
        <f t="shared" si="9"/>
        <v>32.4</v>
      </c>
      <c r="J94" s="33">
        <f t="shared" si="7"/>
        <v>94.499999999999986</v>
      </c>
    </row>
    <row r="95" spans="1:10">
      <c r="A95" s="122"/>
      <c r="B95" s="145" t="s">
        <v>459</v>
      </c>
      <c r="C95" s="128">
        <v>0.3</v>
      </c>
      <c r="D95" s="1">
        <f t="shared" si="8"/>
        <v>2.6999999999999997</v>
      </c>
      <c r="F95" s="33">
        <f t="shared" si="9"/>
        <v>32.4</v>
      </c>
      <c r="J95" s="33">
        <f t="shared" si="7"/>
        <v>94.499999999999986</v>
      </c>
    </row>
    <row r="96" spans="1:10">
      <c r="A96" s="146"/>
      <c r="B96" s="145" t="s">
        <v>460</v>
      </c>
      <c r="C96" s="128">
        <v>0.3</v>
      </c>
      <c r="D96" s="1">
        <f t="shared" si="8"/>
        <v>2.6999999999999997</v>
      </c>
      <c r="F96" s="33">
        <f t="shared" si="9"/>
        <v>32.4</v>
      </c>
      <c r="J96" s="33">
        <f t="shared" si="7"/>
        <v>94.499999999999986</v>
      </c>
    </row>
    <row r="97" spans="1:12">
      <c r="A97" s="122"/>
      <c r="B97" s="105" t="s">
        <v>461</v>
      </c>
      <c r="C97" s="128">
        <v>0.3</v>
      </c>
      <c r="D97" s="1">
        <f t="shared" si="8"/>
        <v>2.6999999999999997</v>
      </c>
      <c r="F97" s="33">
        <f t="shared" si="9"/>
        <v>32.4</v>
      </c>
      <c r="J97" s="33">
        <f t="shared" si="7"/>
        <v>94.499999999999986</v>
      </c>
    </row>
    <row r="98" spans="1:12">
      <c r="A98" s="122"/>
      <c r="B98" s="105" t="s">
        <v>462</v>
      </c>
      <c r="C98" s="128">
        <v>0.3</v>
      </c>
      <c r="D98" s="1">
        <f t="shared" si="8"/>
        <v>2.6999999999999997</v>
      </c>
      <c r="F98" s="33">
        <f t="shared" si="9"/>
        <v>32.4</v>
      </c>
      <c r="J98" s="33">
        <f t="shared" si="7"/>
        <v>94.499999999999986</v>
      </c>
      <c r="L98" s="33"/>
    </row>
    <row r="99" spans="1:12">
      <c r="A99" s="146"/>
      <c r="B99" s="145" t="s">
        <v>463</v>
      </c>
      <c r="C99" s="128">
        <v>0.3</v>
      </c>
      <c r="D99" s="1">
        <f t="shared" si="8"/>
        <v>2.6999999999999997</v>
      </c>
      <c r="H99" s="33">
        <f>D99*12</f>
        <v>32.4</v>
      </c>
      <c r="J99" s="33">
        <f t="shared" si="7"/>
        <v>94.499999999999986</v>
      </c>
    </row>
    <row r="100" spans="1:12">
      <c r="A100" s="139"/>
      <c r="B100" s="105" t="s">
        <v>476</v>
      </c>
      <c r="C100" s="128">
        <v>0.6</v>
      </c>
      <c r="D100" s="1">
        <f t="shared" si="8"/>
        <v>5.3999999999999995</v>
      </c>
      <c r="E100" s="33">
        <f>D100*15</f>
        <v>80.999999999999986</v>
      </c>
      <c r="J100" s="33">
        <f t="shared" si="7"/>
        <v>188.99999999999997</v>
      </c>
      <c r="K100" s="148"/>
    </row>
    <row r="101" spans="1:12">
      <c r="A101" s="152"/>
      <c r="B101" s="105" t="s">
        <v>477</v>
      </c>
      <c r="C101" s="128">
        <v>0.3</v>
      </c>
      <c r="D101" s="1">
        <f t="shared" si="8"/>
        <v>2.6999999999999997</v>
      </c>
      <c r="F101" s="33">
        <f t="shared" ref="F101:F104" si="10">D101*12</f>
        <v>32.4</v>
      </c>
      <c r="J101" s="33">
        <f t="shared" si="7"/>
        <v>94.499999999999986</v>
      </c>
      <c r="K101" s="148"/>
    </row>
    <row r="102" spans="1:12">
      <c r="A102" s="122"/>
      <c r="B102" s="105" t="s">
        <v>478</v>
      </c>
      <c r="C102" s="128">
        <v>0.3</v>
      </c>
      <c r="D102" s="1">
        <f t="shared" si="8"/>
        <v>2.6999999999999997</v>
      </c>
      <c r="F102" s="33">
        <f t="shared" si="10"/>
        <v>32.4</v>
      </c>
      <c r="J102" s="33">
        <f t="shared" si="7"/>
        <v>94.499999999999986</v>
      </c>
      <c r="K102" s="148"/>
    </row>
    <row r="103" spans="1:12">
      <c r="A103" s="146"/>
      <c r="B103" s="105" t="s">
        <v>479</v>
      </c>
      <c r="C103" s="128">
        <v>0.3</v>
      </c>
      <c r="D103" s="1">
        <f t="shared" si="8"/>
        <v>2.6999999999999997</v>
      </c>
      <c r="F103" s="33">
        <f t="shared" si="10"/>
        <v>32.4</v>
      </c>
      <c r="J103" s="33">
        <f t="shared" si="7"/>
        <v>94.499999999999986</v>
      </c>
      <c r="K103" s="148"/>
    </row>
    <row r="104" spans="1:12">
      <c r="A104" s="139"/>
      <c r="B104" s="105" t="s">
        <v>480</v>
      </c>
      <c r="C104" s="128">
        <v>0.3</v>
      </c>
      <c r="D104" s="1">
        <f t="shared" si="8"/>
        <v>2.6999999999999997</v>
      </c>
      <c r="F104" s="33">
        <f t="shared" si="10"/>
        <v>32.4</v>
      </c>
      <c r="J104" s="33">
        <f t="shared" si="7"/>
        <v>94.499999999999986</v>
      </c>
      <c r="K104" s="148"/>
    </row>
    <row r="105" spans="1:12">
      <c r="A105" s="139"/>
      <c r="B105" s="105" t="s">
        <v>481</v>
      </c>
      <c r="C105" s="128">
        <v>0.3</v>
      </c>
      <c r="D105" s="1">
        <f t="shared" si="8"/>
        <v>2.6999999999999997</v>
      </c>
      <c r="H105" s="33">
        <f t="shared" ref="H105:H106" si="11">D105*12</f>
        <v>32.4</v>
      </c>
      <c r="J105" s="33">
        <f t="shared" si="7"/>
        <v>94.499999999999986</v>
      </c>
      <c r="K105" s="148"/>
    </row>
    <row r="106" spans="1:12">
      <c r="A106" s="139"/>
      <c r="B106" s="105" t="s">
        <v>482</v>
      </c>
      <c r="C106" s="128">
        <v>0.6</v>
      </c>
      <c r="D106" s="1">
        <f t="shared" si="8"/>
        <v>5.3999999999999995</v>
      </c>
      <c r="H106" s="33">
        <f t="shared" si="11"/>
        <v>64.8</v>
      </c>
      <c r="J106" s="33">
        <f t="shared" si="7"/>
        <v>188.99999999999997</v>
      </c>
      <c r="K106" s="148"/>
    </row>
    <row r="107" spans="1:12">
      <c r="A107" s="139"/>
      <c r="B107" s="105" t="s">
        <v>483</v>
      </c>
      <c r="C107" s="128">
        <v>0.3</v>
      </c>
      <c r="D107" s="1">
        <f t="shared" si="8"/>
        <v>2.6999999999999997</v>
      </c>
      <c r="E107" s="33">
        <f>D107*15</f>
        <v>40.499999999999993</v>
      </c>
      <c r="J107" s="33">
        <f t="shared" si="7"/>
        <v>94.499999999999986</v>
      </c>
    </row>
    <row r="108" spans="1:12">
      <c r="A108" s="146"/>
      <c r="B108" s="105" t="s">
        <v>491</v>
      </c>
      <c r="C108" s="128">
        <v>0.3</v>
      </c>
      <c r="D108" s="1">
        <f t="shared" si="8"/>
        <v>2.6999999999999997</v>
      </c>
      <c r="F108" s="33">
        <f t="shared" ref="F108:F111" si="12">D108*12</f>
        <v>32.4</v>
      </c>
      <c r="J108" s="33">
        <f t="shared" si="7"/>
        <v>94.499999999999986</v>
      </c>
    </row>
    <row r="109" spans="1:12">
      <c r="A109" s="146"/>
      <c r="B109" s="105" t="s">
        <v>492</v>
      </c>
      <c r="C109" s="128">
        <v>0.3</v>
      </c>
      <c r="D109" s="1">
        <f t="shared" si="8"/>
        <v>2.6999999999999997</v>
      </c>
      <c r="F109" s="33">
        <f t="shared" si="12"/>
        <v>32.4</v>
      </c>
      <c r="J109" s="33">
        <f t="shared" si="7"/>
        <v>94.499999999999986</v>
      </c>
    </row>
    <row r="110" spans="1:12">
      <c r="A110" s="146"/>
      <c r="B110" s="105" t="s">
        <v>493</v>
      </c>
      <c r="C110" s="128">
        <v>0.3</v>
      </c>
      <c r="D110" s="1">
        <f t="shared" si="8"/>
        <v>2.6999999999999997</v>
      </c>
      <c r="F110" s="33">
        <f t="shared" si="12"/>
        <v>32.4</v>
      </c>
      <c r="J110" s="33">
        <f t="shared" si="7"/>
        <v>94.499999999999986</v>
      </c>
    </row>
    <row r="111" spans="1:12">
      <c r="A111" s="146"/>
      <c r="B111" s="105" t="s">
        <v>494</v>
      </c>
      <c r="C111" s="128">
        <v>0.3</v>
      </c>
      <c r="D111" s="1">
        <f t="shared" si="8"/>
        <v>2.6999999999999997</v>
      </c>
      <c r="F111" s="33">
        <f t="shared" si="12"/>
        <v>32.4</v>
      </c>
      <c r="J111" s="33">
        <f t="shared" si="7"/>
        <v>94.499999999999986</v>
      </c>
    </row>
    <row r="112" spans="1:12">
      <c r="A112" s="146"/>
      <c r="B112" s="105" t="s">
        <v>495</v>
      </c>
      <c r="C112" s="128">
        <v>0.3</v>
      </c>
      <c r="D112" s="1">
        <f t="shared" si="8"/>
        <v>2.6999999999999997</v>
      </c>
      <c r="E112" s="33">
        <f>D112*15</f>
        <v>40.499999999999993</v>
      </c>
      <c r="J112" s="33">
        <f t="shared" si="7"/>
        <v>94.499999999999986</v>
      </c>
    </row>
    <row r="113" spans="1:18">
      <c r="A113" s="146"/>
      <c r="B113" s="105" t="s">
        <v>496</v>
      </c>
      <c r="C113" s="128">
        <v>0.3</v>
      </c>
      <c r="D113" s="1">
        <f t="shared" si="8"/>
        <v>2.6999999999999997</v>
      </c>
      <c r="E113" s="33">
        <f>D113*15</f>
        <v>40.499999999999993</v>
      </c>
      <c r="J113" s="33">
        <f t="shared" si="7"/>
        <v>94.499999999999986</v>
      </c>
    </row>
    <row r="114" spans="1:18">
      <c r="A114" s="146"/>
      <c r="B114" s="105" t="s">
        <v>497</v>
      </c>
      <c r="C114" s="149">
        <v>0.5</v>
      </c>
      <c r="D114" s="1">
        <f t="shared" si="8"/>
        <v>4.5</v>
      </c>
      <c r="G114" s="33">
        <f>D114*15</f>
        <v>67.5</v>
      </c>
      <c r="J114" s="33">
        <f t="shared" si="7"/>
        <v>157.5</v>
      </c>
    </row>
    <row r="115" spans="1:18">
      <c r="A115" s="146"/>
      <c r="B115" s="105" t="s">
        <v>498</v>
      </c>
      <c r="C115" s="128">
        <v>0.3</v>
      </c>
      <c r="D115" s="1">
        <f t="shared" si="8"/>
        <v>2.6999999999999997</v>
      </c>
      <c r="E115" s="33">
        <f>D115*15</f>
        <v>40.499999999999993</v>
      </c>
      <c r="F115" s="33"/>
      <c r="H115" s="33"/>
      <c r="J115" s="33">
        <f t="shared" si="7"/>
        <v>94.499999999999986</v>
      </c>
    </row>
    <row r="116" spans="1:18">
      <c r="A116" s="153"/>
      <c r="B116" s="105" t="s">
        <v>499</v>
      </c>
      <c r="C116" s="128">
        <v>1</v>
      </c>
      <c r="D116" s="1">
        <f t="shared" si="8"/>
        <v>9</v>
      </c>
      <c r="E116" s="33"/>
      <c r="F116" s="33"/>
      <c r="G116" s="33">
        <f>D116*15</f>
        <v>135</v>
      </c>
      <c r="H116" s="33"/>
      <c r="J116" s="33">
        <f t="shared" si="7"/>
        <v>315</v>
      </c>
    </row>
    <row r="117" spans="1:18">
      <c r="A117" s="102"/>
      <c r="B117" s="105" t="s">
        <v>500</v>
      </c>
      <c r="C117" s="149">
        <v>0.5</v>
      </c>
      <c r="D117" s="1">
        <f t="shared" si="8"/>
        <v>4.5</v>
      </c>
      <c r="E117" s="33"/>
      <c r="F117" s="33"/>
      <c r="H117" s="33">
        <f t="shared" ref="H117:H118" si="13">D117*12</f>
        <v>54</v>
      </c>
      <c r="J117" s="33">
        <f t="shared" si="7"/>
        <v>157.5</v>
      </c>
    </row>
    <row r="118" spans="1:18">
      <c r="A118" s="102"/>
      <c r="B118" s="105" t="s">
        <v>501</v>
      </c>
      <c r="C118" s="149">
        <v>0.5</v>
      </c>
      <c r="D118" s="1">
        <f t="shared" si="8"/>
        <v>4.5</v>
      </c>
      <c r="E118" s="33"/>
      <c r="F118" s="33"/>
      <c r="H118" s="33">
        <f t="shared" si="13"/>
        <v>54</v>
      </c>
      <c r="J118" s="33">
        <f t="shared" si="7"/>
        <v>157.5</v>
      </c>
    </row>
    <row r="119" spans="1:18">
      <c r="A119" s="102"/>
      <c r="B119" s="105" t="s">
        <v>502</v>
      </c>
      <c r="C119" s="149">
        <v>0.5</v>
      </c>
      <c r="D119" s="1">
        <f t="shared" si="8"/>
        <v>4.5</v>
      </c>
      <c r="E119" s="33">
        <f>D119*15</f>
        <v>67.5</v>
      </c>
      <c r="F119" s="33"/>
      <c r="H119" s="33"/>
      <c r="J119" s="33">
        <f t="shared" si="7"/>
        <v>157.5</v>
      </c>
      <c r="K119" s="154" t="s">
        <v>82</v>
      </c>
      <c r="L119" s="33">
        <f>SUM(J6:J60)</f>
        <v>6615</v>
      </c>
      <c r="M119" s="1">
        <f>SUM(D6:D60)</f>
        <v>188.99999999999994</v>
      </c>
    </row>
    <row r="120" spans="1:18">
      <c r="A120" s="102"/>
      <c r="B120" s="105" t="s">
        <v>256</v>
      </c>
      <c r="C120" s="149">
        <v>0.5</v>
      </c>
      <c r="D120" s="1">
        <f t="shared" si="8"/>
        <v>4.5</v>
      </c>
      <c r="E120" s="33">
        <f>D120*15</f>
        <v>67.5</v>
      </c>
      <c r="F120" s="33"/>
      <c r="H120" s="33"/>
      <c r="J120" s="33">
        <f t="shared" si="7"/>
        <v>157.5</v>
      </c>
      <c r="K120" s="154" t="s">
        <v>81</v>
      </c>
      <c r="L120" s="33">
        <f>SUM(J64:J120)</f>
        <v>8127</v>
      </c>
      <c r="M120" s="1">
        <f>SUM(D64:D120)</f>
        <v>232.19999999999982</v>
      </c>
    </row>
    <row r="121" spans="1:18">
      <c r="B121" s="105"/>
      <c r="C121" s="128"/>
      <c r="E121" s="33"/>
      <c r="F121" s="33"/>
      <c r="H121" s="33"/>
      <c r="J121" s="33"/>
    </row>
    <row r="122" spans="1:18">
      <c r="B122" s="1"/>
      <c r="P122" s="4"/>
      <c r="Q122" s="4"/>
      <c r="R122" s="4"/>
    </row>
    <row r="123" spans="1:18">
      <c r="A123" s="118" t="s">
        <v>199</v>
      </c>
      <c r="B123" s="57"/>
      <c r="C123" s="11">
        <f t="shared" ref="C123:H123" si="14">SUM(C6:C122)</f>
        <v>46.799999999999926</v>
      </c>
      <c r="D123" s="11">
        <f t="shared" si="14"/>
        <v>421.19999999999942</v>
      </c>
      <c r="E123" s="59">
        <f t="shared" si="14"/>
        <v>1687.5</v>
      </c>
      <c r="F123" s="59">
        <f t="shared" si="14"/>
        <v>1133.9999999999998</v>
      </c>
      <c r="G123" s="59">
        <f t="shared" si="14"/>
        <v>1566</v>
      </c>
      <c r="H123" s="59">
        <f t="shared" si="14"/>
        <v>1263.6000000000001</v>
      </c>
      <c r="I123" s="59">
        <f>SUM(E123:H123)</f>
        <v>5651.1</v>
      </c>
      <c r="J123" s="60">
        <f>SUM(J6:J122)</f>
        <v>14742</v>
      </c>
      <c r="K123" s="39"/>
      <c r="L123" s="29" t="s">
        <v>2</v>
      </c>
      <c r="M123" s="16" t="s">
        <v>1</v>
      </c>
    </row>
    <row r="124" spans="1:18">
      <c r="E124" s="142">
        <f t="shared" ref="E124:J124" si="15">E123*40</f>
        <v>67500</v>
      </c>
      <c r="F124" s="142">
        <f>F123*40</f>
        <v>45359.999999999993</v>
      </c>
      <c r="G124" s="142">
        <f t="shared" si="15"/>
        <v>62640</v>
      </c>
      <c r="H124" s="142">
        <f t="shared" si="15"/>
        <v>50544.000000000007</v>
      </c>
      <c r="I124" s="142">
        <f t="shared" si="15"/>
        <v>226044</v>
      </c>
      <c r="J124" s="142">
        <f t="shared" si="15"/>
        <v>589680</v>
      </c>
      <c r="K124" s="5" t="s">
        <v>4</v>
      </c>
      <c r="L124" s="7">
        <f t="shared" ref="L124:L126" si="16">M124*40</f>
        <v>589680</v>
      </c>
      <c r="M124" s="8">
        <f>J123</f>
        <v>14742</v>
      </c>
      <c r="R124" s="4"/>
    </row>
    <row r="125" spans="1:18">
      <c r="E125" s="7"/>
      <c r="F125" s="7"/>
      <c r="G125" s="7"/>
      <c r="H125" s="7"/>
      <c r="I125" s="7"/>
      <c r="J125" s="7"/>
      <c r="K125" s="5" t="s">
        <v>3</v>
      </c>
      <c r="L125" s="7">
        <f t="shared" si="16"/>
        <v>560196</v>
      </c>
      <c r="M125" s="8">
        <f>M124-M124*0.05</f>
        <v>14004.9</v>
      </c>
    </row>
    <row r="126" spans="1:18">
      <c r="B126" s="1"/>
      <c r="E126" s="21"/>
      <c r="F126" s="21"/>
      <c r="G126" s="21"/>
      <c r="H126" s="21"/>
      <c r="I126" s="21"/>
      <c r="J126" s="21"/>
      <c r="K126" s="5" t="s">
        <v>5</v>
      </c>
      <c r="L126" s="7">
        <f t="shared" si="16"/>
        <v>226044</v>
      </c>
      <c r="M126" s="8">
        <f>I123</f>
        <v>5651.1</v>
      </c>
    </row>
    <row r="127" spans="1:18">
      <c r="B127" s="1"/>
      <c r="E127" s="21"/>
      <c r="F127" s="21"/>
      <c r="G127" s="21"/>
      <c r="H127" s="21"/>
      <c r="I127" s="21"/>
      <c r="J127" s="21"/>
      <c r="K127" s="37" t="s">
        <v>18</v>
      </c>
      <c r="L127" s="7">
        <f>M127*40</f>
        <v>334152</v>
      </c>
      <c r="M127" s="8">
        <f>M125-M126</f>
        <v>8353.7999999999993</v>
      </c>
    </row>
    <row r="128" spans="1:18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9A462-D305-4E45-9BE5-0FC1B5C59E0D}">
  <dimension ref="A1:R86"/>
  <sheetViews>
    <sheetView zoomScaleNormal="100" workbookViewId="0">
      <pane ySplit="2" topLeftCell="A51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21.33203125" style="2" customWidth="1"/>
    <col min="3" max="4" width="10.83203125" style="1" customWidth="1"/>
    <col min="5" max="5" width="10.33203125" style="1" customWidth="1"/>
    <col min="6" max="8" width="10.83203125" style="1"/>
    <col min="9" max="9" width="11.1640625" style="1" customWidth="1"/>
    <col min="10" max="10" width="10.6640625" style="1" customWidth="1"/>
    <col min="11" max="11" width="14.33203125" style="1" customWidth="1"/>
    <col min="12" max="12" width="12.33203125" style="1" customWidth="1"/>
    <col min="13" max="13" width="14" style="1" bestFit="1" customWidth="1"/>
    <col min="14" max="14" width="12.5" style="1" bestFit="1" customWidth="1"/>
    <col min="15" max="15" width="13" style="1" customWidth="1"/>
    <col min="16" max="16384" width="10.83203125" style="1"/>
  </cols>
  <sheetData>
    <row r="1" spans="1:15">
      <c r="A1" s="11"/>
      <c r="B1" s="97"/>
      <c r="C1" s="11"/>
      <c r="D1" s="11"/>
      <c r="E1" s="11"/>
      <c r="F1" s="11"/>
      <c r="G1" s="11"/>
      <c r="H1" s="11"/>
      <c r="I1" s="11"/>
      <c r="J1" s="11"/>
    </row>
    <row r="2" spans="1:15">
      <c r="B2" s="175" t="s">
        <v>671</v>
      </c>
      <c r="E2" s="41" t="s">
        <v>0</v>
      </c>
      <c r="F2" s="119" t="s">
        <v>206</v>
      </c>
      <c r="G2" s="38" t="s">
        <v>7</v>
      </c>
      <c r="H2" s="109" t="s">
        <v>108</v>
      </c>
    </row>
    <row r="3" spans="1:15">
      <c r="E3" s="38"/>
      <c r="F3" s="38"/>
      <c r="G3" s="38"/>
      <c r="H3" s="38"/>
    </row>
    <row r="4" spans="1:15" ht="21">
      <c r="A4" s="116"/>
    </row>
    <row r="5" spans="1:15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98" t="s">
        <v>10</v>
      </c>
      <c r="F5" s="110" t="s">
        <v>13</v>
      </c>
      <c r="G5" s="110" t="s">
        <v>14</v>
      </c>
      <c r="H5" s="98" t="s">
        <v>15</v>
      </c>
      <c r="I5" s="31" t="s">
        <v>16</v>
      </c>
      <c r="J5" s="39" t="s">
        <v>18</v>
      </c>
    </row>
    <row r="6" spans="1:15">
      <c r="A6" s="122"/>
      <c r="B6" s="105" t="s">
        <v>328</v>
      </c>
      <c r="C6" s="128">
        <v>0.3</v>
      </c>
      <c r="D6" s="1">
        <f t="shared" ref="D6:D23" si="0">C6*9</f>
        <v>2.6999999999999997</v>
      </c>
      <c r="E6" s="33"/>
      <c r="F6" s="33">
        <f>D6*12</f>
        <v>32.4</v>
      </c>
      <c r="G6" s="33"/>
      <c r="H6" s="33"/>
      <c r="J6" s="33">
        <f t="shared" ref="J6:J37" si="1">D6*35</f>
        <v>94.499999999999986</v>
      </c>
      <c r="O6" s="33"/>
    </row>
    <row r="7" spans="1:15">
      <c r="A7" s="122"/>
      <c r="B7" s="105" t="s">
        <v>329</v>
      </c>
      <c r="C7" s="128">
        <v>0.3</v>
      </c>
      <c r="D7" s="1">
        <f t="shared" si="0"/>
        <v>2.6999999999999997</v>
      </c>
      <c r="E7" s="33"/>
      <c r="F7" s="33">
        <f>D7*12</f>
        <v>32.4</v>
      </c>
      <c r="G7" s="33"/>
      <c r="H7" s="33"/>
      <c r="J7" s="33">
        <f t="shared" si="1"/>
        <v>94.499999999999986</v>
      </c>
      <c r="O7" s="33"/>
    </row>
    <row r="8" spans="1:15">
      <c r="A8" s="122"/>
      <c r="B8" s="105" t="s">
        <v>330</v>
      </c>
      <c r="C8" s="128">
        <v>0.3</v>
      </c>
      <c r="D8" s="1">
        <f t="shared" si="0"/>
        <v>2.6999999999999997</v>
      </c>
      <c r="F8" s="33">
        <f>D8*12</f>
        <v>32.4</v>
      </c>
      <c r="G8" s="33"/>
      <c r="H8" s="33"/>
      <c r="J8" s="33">
        <f t="shared" si="1"/>
        <v>94.499999999999986</v>
      </c>
      <c r="O8" s="33"/>
    </row>
    <row r="9" spans="1:15">
      <c r="A9" s="122"/>
      <c r="B9" s="105" t="s">
        <v>331</v>
      </c>
      <c r="C9" s="128">
        <v>0.3</v>
      </c>
      <c r="D9" s="1">
        <f t="shared" si="0"/>
        <v>2.6999999999999997</v>
      </c>
      <c r="F9" s="33">
        <f>D9*12</f>
        <v>32.4</v>
      </c>
      <c r="G9" s="33"/>
      <c r="H9" s="33"/>
      <c r="J9" s="33">
        <f t="shared" si="1"/>
        <v>94.499999999999986</v>
      </c>
      <c r="O9" s="33"/>
    </row>
    <row r="10" spans="1:15">
      <c r="A10" s="122"/>
      <c r="B10" s="105" t="s">
        <v>332</v>
      </c>
      <c r="C10" s="128">
        <v>0.3</v>
      </c>
      <c r="D10" s="1">
        <f t="shared" si="0"/>
        <v>2.6999999999999997</v>
      </c>
      <c r="E10" s="33">
        <f>D10*15</f>
        <v>40.499999999999993</v>
      </c>
      <c r="F10" s="33"/>
      <c r="G10" s="33"/>
      <c r="H10" s="33"/>
      <c r="J10" s="33">
        <f t="shared" si="1"/>
        <v>94.499999999999986</v>
      </c>
      <c r="O10" s="33"/>
    </row>
    <row r="11" spans="1:15">
      <c r="A11" s="122"/>
      <c r="B11" s="105" t="s">
        <v>333</v>
      </c>
      <c r="C11" s="128">
        <v>0.3</v>
      </c>
      <c r="D11" s="1">
        <f t="shared" si="0"/>
        <v>2.6999999999999997</v>
      </c>
      <c r="E11" s="33">
        <f>D11*15</f>
        <v>40.499999999999993</v>
      </c>
      <c r="F11" s="33"/>
      <c r="G11" s="33"/>
      <c r="H11" s="33"/>
      <c r="J11" s="33">
        <f t="shared" si="1"/>
        <v>94.499999999999986</v>
      </c>
      <c r="O11" s="33"/>
    </row>
    <row r="12" spans="1:15">
      <c r="A12" s="122"/>
      <c r="B12" s="105" t="s">
        <v>334</v>
      </c>
      <c r="C12" s="128">
        <v>0.3</v>
      </c>
      <c r="D12" s="1">
        <f t="shared" si="0"/>
        <v>2.6999999999999997</v>
      </c>
      <c r="E12" s="33">
        <f>D12*15</f>
        <v>40.499999999999993</v>
      </c>
      <c r="F12" s="33"/>
      <c r="G12" s="33"/>
      <c r="H12" s="33"/>
      <c r="J12" s="33">
        <f t="shared" si="1"/>
        <v>94.499999999999986</v>
      </c>
      <c r="O12" s="33"/>
    </row>
    <row r="13" spans="1:15">
      <c r="A13" s="122"/>
      <c r="B13" s="105" t="s">
        <v>335</v>
      </c>
      <c r="C13" s="128">
        <v>0.3</v>
      </c>
      <c r="D13" s="1">
        <f t="shared" si="0"/>
        <v>2.6999999999999997</v>
      </c>
      <c r="E13" s="33">
        <f>D13*15</f>
        <v>40.499999999999993</v>
      </c>
      <c r="F13" s="33"/>
      <c r="G13" s="33"/>
      <c r="H13" s="33"/>
      <c r="J13" s="33">
        <f t="shared" si="1"/>
        <v>94.499999999999986</v>
      </c>
      <c r="O13" s="33"/>
    </row>
    <row r="14" spans="1:15">
      <c r="A14" s="122"/>
      <c r="B14" s="105" t="s">
        <v>336</v>
      </c>
      <c r="C14" s="128">
        <v>0.3</v>
      </c>
      <c r="D14" s="1">
        <f t="shared" si="0"/>
        <v>2.6999999999999997</v>
      </c>
      <c r="F14" s="33">
        <f>D14*12</f>
        <v>32.4</v>
      </c>
      <c r="G14" s="33"/>
      <c r="H14" s="33"/>
      <c r="J14" s="33">
        <f t="shared" si="1"/>
        <v>94.499999999999986</v>
      </c>
      <c r="O14" s="33"/>
    </row>
    <row r="15" spans="1:15">
      <c r="A15" s="122"/>
      <c r="B15" s="105" t="s">
        <v>337</v>
      </c>
      <c r="C15" s="128">
        <v>0.3</v>
      </c>
      <c r="D15" s="1">
        <f t="shared" si="0"/>
        <v>2.6999999999999997</v>
      </c>
      <c r="E15" s="33">
        <f>D15*15</f>
        <v>40.499999999999993</v>
      </c>
      <c r="G15" s="33"/>
      <c r="H15" s="33"/>
      <c r="J15" s="33">
        <f t="shared" si="1"/>
        <v>94.499999999999986</v>
      </c>
      <c r="O15" s="33"/>
    </row>
    <row r="16" spans="1:15">
      <c r="A16" s="122"/>
      <c r="B16" s="105" t="s">
        <v>360</v>
      </c>
      <c r="C16" s="128">
        <v>0.3</v>
      </c>
      <c r="D16" s="1">
        <f t="shared" si="0"/>
        <v>2.6999999999999997</v>
      </c>
      <c r="E16" s="33"/>
      <c r="G16" s="33">
        <f>D16*15</f>
        <v>40.499999999999993</v>
      </c>
      <c r="H16" s="33"/>
      <c r="J16" s="33">
        <f t="shared" si="1"/>
        <v>94.499999999999986</v>
      </c>
      <c r="M16" s="138"/>
      <c r="O16" s="33"/>
    </row>
    <row r="17" spans="1:15">
      <c r="A17" s="122"/>
      <c r="B17" s="105" t="s">
        <v>361</v>
      </c>
      <c r="C17" s="128">
        <v>0.3</v>
      </c>
      <c r="D17" s="1">
        <f t="shared" si="0"/>
        <v>2.6999999999999997</v>
      </c>
      <c r="E17" s="33"/>
      <c r="F17" s="33">
        <f>D17*12</f>
        <v>32.4</v>
      </c>
      <c r="G17" s="33"/>
      <c r="H17" s="33"/>
      <c r="J17" s="33">
        <f t="shared" si="1"/>
        <v>94.499999999999986</v>
      </c>
      <c r="M17" s="138"/>
      <c r="O17" s="33"/>
    </row>
    <row r="18" spans="1:15">
      <c r="A18" s="139"/>
      <c r="B18" s="105" t="s">
        <v>362</v>
      </c>
      <c r="C18" s="128">
        <v>0.3</v>
      </c>
      <c r="D18" s="1">
        <f t="shared" si="0"/>
        <v>2.6999999999999997</v>
      </c>
      <c r="E18" s="33"/>
      <c r="F18" s="33">
        <f>D18*12</f>
        <v>32.4</v>
      </c>
      <c r="G18" s="33"/>
      <c r="H18" s="33"/>
      <c r="J18" s="33">
        <f t="shared" si="1"/>
        <v>94.499999999999986</v>
      </c>
      <c r="M18" s="138"/>
      <c r="O18" s="33"/>
    </row>
    <row r="19" spans="1:15">
      <c r="A19" s="139"/>
      <c r="B19" s="105" t="s">
        <v>363</v>
      </c>
      <c r="C19" s="128">
        <v>0.3</v>
      </c>
      <c r="D19" s="1">
        <f t="shared" si="0"/>
        <v>2.6999999999999997</v>
      </c>
      <c r="E19" s="33">
        <f>D19*15</f>
        <v>40.499999999999993</v>
      </c>
      <c r="G19" s="33"/>
      <c r="H19" s="33"/>
      <c r="J19" s="33">
        <f t="shared" si="1"/>
        <v>94.499999999999986</v>
      </c>
      <c r="M19" s="138"/>
      <c r="O19" s="33"/>
    </row>
    <row r="20" spans="1:15">
      <c r="A20" s="139"/>
      <c r="B20" s="105" t="s">
        <v>364</v>
      </c>
      <c r="C20" s="128">
        <v>0.3</v>
      </c>
      <c r="D20" s="1">
        <f t="shared" si="0"/>
        <v>2.6999999999999997</v>
      </c>
      <c r="E20" s="33">
        <f>D20*15</f>
        <v>40.499999999999993</v>
      </c>
      <c r="G20" s="33"/>
      <c r="H20" s="33"/>
      <c r="J20" s="33">
        <f t="shared" si="1"/>
        <v>94.499999999999986</v>
      </c>
      <c r="M20" s="138"/>
      <c r="O20" s="33"/>
    </row>
    <row r="21" spans="1:15">
      <c r="A21" s="139"/>
      <c r="B21" s="105" t="s">
        <v>365</v>
      </c>
      <c r="C21" s="128">
        <v>0.3</v>
      </c>
      <c r="D21" s="1">
        <f t="shared" si="0"/>
        <v>2.6999999999999997</v>
      </c>
      <c r="E21" s="33">
        <f>D21*15</f>
        <v>40.499999999999993</v>
      </c>
      <c r="F21" s="33"/>
      <c r="G21" s="33"/>
      <c r="H21" s="33"/>
      <c r="J21" s="33">
        <f t="shared" si="1"/>
        <v>94.499999999999986</v>
      </c>
      <c r="O21" s="33"/>
    </row>
    <row r="22" spans="1:15">
      <c r="A22" s="122"/>
      <c r="B22" s="113" t="s">
        <v>241</v>
      </c>
      <c r="C22" s="128">
        <v>0.5</v>
      </c>
      <c r="D22" s="1">
        <f t="shared" si="0"/>
        <v>4.5</v>
      </c>
      <c r="E22" s="33">
        <f>D22*15</f>
        <v>67.5</v>
      </c>
      <c r="F22" s="33"/>
      <c r="J22" s="33">
        <f t="shared" si="1"/>
        <v>157.5</v>
      </c>
      <c r="O22" s="33"/>
    </row>
    <row r="23" spans="1:15">
      <c r="A23" s="122"/>
      <c r="B23" s="113" t="s">
        <v>369</v>
      </c>
      <c r="C23" s="128">
        <v>0.5</v>
      </c>
      <c r="D23" s="1">
        <f t="shared" si="0"/>
        <v>4.5</v>
      </c>
      <c r="G23" s="33">
        <f>D23*15</f>
        <v>67.5</v>
      </c>
      <c r="J23" s="33">
        <f t="shared" si="1"/>
        <v>157.5</v>
      </c>
      <c r="O23" s="33"/>
    </row>
    <row r="24" spans="1:15">
      <c r="A24" s="122"/>
      <c r="B24" s="105" t="s">
        <v>370</v>
      </c>
      <c r="C24" s="128">
        <v>0.3</v>
      </c>
      <c r="D24" s="1">
        <f t="shared" ref="D24:D37" si="2">C24*9</f>
        <v>2.6999999999999997</v>
      </c>
      <c r="G24" s="33">
        <f>D24*15</f>
        <v>40.499999999999993</v>
      </c>
      <c r="J24" s="33">
        <f t="shared" si="1"/>
        <v>94.499999999999986</v>
      </c>
      <c r="O24" s="33"/>
    </row>
    <row r="25" spans="1:15">
      <c r="A25" s="122"/>
      <c r="B25" s="105" t="s">
        <v>371</v>
      </c>
      <c r="C25" s="128">
        <v>0.3</v>
      </c>
      <c r="D25" s="1">
        <f t="shared" si="2"/>
        <v>2.6999999999999997</v>
      </c>
      <c r="F25" s="33">
        <f>D25*12</f>
        <v>32.4</v>
      </c>
      <c r="J25" s="33">
        <f t="shared" si="1"/>
        <v>94.499999999999986</v>
      </c>
      <c r="O25" s="33"/>
    </row>
    <row r="26" spans="1:15">
      <c r="A26" s="122"/>
      <c r="B26" s="105" t="s">
        <v>372</v>
      </c>
      <c r="C26" s="128">
        <v>0.3</v>
      </c>
      <c r="D26" s="1">
        <f t="shared" si="2"/>
        <v>2.6999999999999997</v>
      </c>
      <c r="F26" s="33">
        <f>D26*12</f>
        <v>32.4</v>
      </c>
      <c r="J26" s="33">
        <f t="shared" si="1"/>
        <v>94.499999999999986</v>
      </c>
      <c r="O26" s="33"/>
    </row>
    <row r="27" spans="1:15">
      <c r="A27" s="122"/>
      <c r="B27" s="105" t="s">
        <v>373</v>
      </c>
      <c r="C27" s="128">
        <v>0.3</v>
      </c>
      <c r="D27" s="1">
        <f t="shared" si="2"/>
        <v>2.6999999999999997</v>
      </c>
      <c r="F27" s="33">
        <f>D27*12</f>
        <v>32.4</v>
      </c>
      <c r="J27" s="33">
        <f t="shared" si="1"/>
        <v>94.499999999999986</v>
      </c>
      <c r="L27" s="105"/>
      <c r="O27" s="33"/>
    </row>
    <row r="28" spans="1:15">
      <c r="A28" s="122"/>
      <c r="B28" s="105" t="s">
        <v>374</v>
      </c>
      <c r="C28" s="128">
        <v>0.3</v>
      </c>
      <c r="D28" s="1">
        <f t="shared" si="2"/>
        <v>2.6999999999999997</v>
      </c>
      <c r="F28" s="33">
        <f>D28*12</f>
        <v>32.4</v>
      </c>
      <c r="J28" s="33">
        <f t="shared" si="1"/>
        <v>94.499999999999986</v>
      </c>
      <c r="L28"/>
      <c r="O28" s="33"/>
    </row>
    <row r="29" spans="1:15">
      <c r="A29" s="122"/>
      <c r="B29" s="105" t="s">
        <v>375</v>
      </c>
      <c r="C29" s="128">
        <v>0.3</v>
      </c>
      <c r="D29" s="1">
        <f t="shared" si="2"/>
        <v>2.6999999999999997</v>
      </c>
      <c r="F29" s="33">
        <f>D29*12</f>
        <v>32.4</v>
      </c>
      <c r="J29" s="33">
        <f t="shared" si="1"/>
        <v>94.499999999999986</v>
      </c>
      <c r="L29" s="105"/>
      <c r="O29" s="33"/>
    </row>
    <row r="30" spans="1:15">
      <c r="A30" s="122"/>
      <c r="B30" s="105" t="s">
        <v>376</v>
      </c>
      <c r="C30" s="128">
        <v>0.3</v>
      </c>
      <c r="D30" s="1">
        <f t="shared" si="2"/>
        <v>2.6999999999999997</v>
      </c>
      <c r="G30" s="33">
        <f>D30*15</f>
        <v>40.499999999999993</v>
      </c>
      <c r="J30" s="33">
        <f t="shared" si="1"/>
        <v>94.499999999999986</v>
      </c>
      <c r="L30"/>
      <c r="O30" s="33"/>
    </row>
    <row r="31" spans="1:15">
      <c r="A31" s="122"/>
      <c r="B31" s="105" t="s">
        <v>377</v>
      </c>
      <c r="C31" s="128">
        <v>0.3</v>
      </c>
      <c r="D31" s="1">
        <f t="shared" si="2"/>
        <v>2.6999999999999997</v>
      </c>
      <c r="G31" s="33">
        <f>D31*15</f>
        <v>40.499999999999993</v>
      </c>
      <c r="J31" s="33">
        <f t="shared" si="1"/>
        <v>94.499999999999986</v>
      </c>
      <c r="L31" s="105"/>
      <c r="O31" s="33"/>
    </row>
    <row r="32" spans="1:15">
      <c r="A32" s="122"/>
      <c r="B32" s="105" t="s">
        <v>378</v>
      </c>
      <c r="C32" s="128">
        <v>0.5</v>
      </c>
      <c r="D32" s="1">
        <f t="shared" si="2"/>
        <v>4.5</v>
      </c>
      <c r="E32" s="33">
        <f>D32*15</f>
        <v>67.5</v>
      </c>
      <c r="J32" s="33">
        <f t="shared" si="1"/>
        <v>157.5</v>
      </c>
      <c r="L32"/>
      <c r="O32" s="33"/>
    </row>
    <row r="33" spans="1:18">
      <c r="A33" s="122"/>
      <c r="B33" s="105" t="s">
        <v>380</v>
      </c>
      <c r="C33" s="128">
        <v>0.5</v>
      </c>
      <c r="D33" s="1">
        <f t="shared" si="2"/>
        <v>4.5</v>
      </c>
      <c r="E33" s="33">
        <f>D33*15</f>
        <v>67.5</v>
      </c>
      <c r="J33" s="33">
        <f t="shared" si="1"/>
        <v>157.5</v>
      </c>
      <c r="L33" s="105"/>
      <c r="O33" s="33"/>
    </row>
    <row r="34" spans="1:18">
      <c r="A34" s="122"/>
      <c r="B34" s="105" t="s">
        <v>259</v>
      </c>
      <c r="C34" s="128">
        <v>0.5</v>
      </c>
      <c r="D34" s="1">
        <f t="shared" si="2"/>
        <v>4.5</v>
      </c>
      <c r="E34" s="33">
        <f>D34*15</f>
        <v>67.5</v>
      </c>
      <c r="J34" s="33">
        <f t="shared" si="1"/>
        <v>157.5</v>
      </c>
      <c r="L34"/>
      <c r="O34" s="33"/>
    </row>
    <row r="35" spans="1:18">
      <c r="A35" s="122"/>
      <c r="B35" s="105" t="s">
        <v>381</v>
      </c>
      <c r="C35" s="128">
        <v>0.3</v>
      </c>
      <c r="D35" s="1">
        <f t="shared" si="2"/>
        <v>2.6999999999999997</v>
      </c>
      <c r="F35" s="33">
        <f>D35*12</f>
        <v>32.4</v>
      </c>
      <c r="J35" s="33">
        <f t="shared" si="1"/>
        <v>94.499999999999986</v>
      </c>
      <c r="L35" s="105"/>
      <c r="O35" s="33"/>
    </row>
    <row r="36" spans="1:18">
      <c r="A36" s="122"/>
      <c r="B36" s="105" t="s">
        <v>382</v>
      </c>
      <c r="C36" s="128">
        <v>0.3</v>
      </c>
      <c r="D36" s="1">
        <f t="shared" si="2"/>
        <v>2.6999999999999997</v>
      </c>
      <c r="F36" s="33">
        <f>D36*12</f>
        <v>32.4</v>
      </c>
      <c r="J36" s="33">
        <f t="shared" si="1"/>
        <v>94.499999999999986</v>
      </c>
      <c r="O36" s="33"/>
    </row>
    <row r="37" spans="1:18">
      <c r="A37" s="134"/>
      <c r="B37" s="105" t="s">
        <v>383</v>
      </c>
      <c r="C37" s="128">
        <v>0.5</v>
      </c>
      <c r="D37" s="1">
        <f t="shared" si="2"/>
        <v>4.5</v>
      </c>
      <c r="E37" s="33">
        <f>D37*15</f>
        <v>67.5</v>
      </c>
      <c r="J37" s="33">
        <f t="shared" si="1"/>
        <v>157.5</v>
      </c>
      <c r="O37" s="33"/>
    </row>
    <row r="38" spans="1:18">
      <c r="B38" s="1"/>
      <c r="C38" s="128"/>
      <c r="J38" s="33"/>
      <c r="O38" s="33"/>
    </row>
    <row r="39" spans="1:18">
      <c r="B39" s="105"/>
      <c r="C39" s="128"/>
      <c r="J39" s="33"/>
      <c r="O39" s="33"/>
    </row>
    <row r="40" spans="1:18">
      <c r="A40" s="126"/>
      <c r="B40" s="105"/>
      <c r="C40" s="76"/>
      <c r="F40" s="33"/>
      <c r="G40" s="33"/>
      <c r="J40" s="33"/>
      <c r="Q40" s="4"/>
      <c r="R40" s="4"/>
    </row>
    <row r="41" spans="1:18" ht="25" customHeight="1">
      <c r="A41" s="125" t="s">
        <v>81</v>
      </c>
      <c r="B41" s="125" t="s">
        <v>196</v>
      </c>
      <c r="C41" s="23"/>
      <c r="D41" s="23"/>
      <c r="E41" s="23"/>
      <c r="F41" s="23"/>
      <c r="G41" s="23"/>
      <c r="H41" s="23"/>
      <c r="I41" s="23"/>
      <c r="J41" s="23"/>
    </row>
    <row r="42" spans="1:18">
      <c r="A42" s="122"/>
      <c r="B42" s="105" t="s">
        <v>343</v>
      </c>
      <c r="C42" s="128">
        <v>0.3</v>
      </c>
      <c r="D42" s="1">
        <f t="shared" ref="D42:D73" si="3">C42*9</f>
        <v>2.6999999999999997</v>
      </c>
      <c r="F42" s="33">
        <f>D42*12</f>
        <v>32.4</v>
      </c>
      <c r="H42" s="33"/>
      <c r="J42" s="33">
        <f t="shared" ref="J42:J73" si="4">D42*35</f>
        <v>94.499999999999986</v>
      </c>
    </row>
    <row r="43" spans="1:18">
      <c r="A43" s="122"/>
      <c r="B43" s="105" t="s">
        <v>339</v>
      </c>
      <c r="C43" s="128">
        <v>0.3</v>
      </c>
      <c r="D43" s="1">
        <f t="shared" si="3"/>
        <v>2.6999999999999997</v>
      </c>
      <c r="E43" s="33">
        <f>D43*15</f>
        <v>40.499999999999993</v>
      </c>
      <c r="H43" s="33"/>
      <c r="J43" s="33">
        <f t="shared" si="4"/>
        <v>94.499999999999986</v>
      </c>
    </row>
    <row r="44" spans="1:18">
      <c r="A44" s="122"/>
      <c r="B44" s="105" t="s">
        <v>342</v>
      </c>
      <c r="C44" s="128">
        <v>0.3</v>
      </c>
      <c r="D44" s="1">
        <f t="shared" si="3"/>
        <v>2.6999999999999997</v>
      </c>
      <c r="E44" s="33"/>
      <c r="F44" s="33">
        <f>D44*12</f>
        <v>32.4</v>
      </c>
      <c r="G44" s="33"/>
      <c r="H44" s="33"/>
      <c r="J44" s="33">
        <f t="shared" si="4"/>
        <v>94.499999999999986</v>
      </c>
    </row>
    <row r="45" spans="1:18">
      <c r="A45" s="122"/>
      <c r="B45" s="105" t="s">
        <v>340</v>
      </c>
      <c r="C45" s="128">
        <v>0.3</v>
      </c>
      <c r="D45" s="1">
        <f t="shared" si="3"/>
        <v>2.6999999999999997</v>
      </c>
      <c r="E45" s="33">
        <f>D45*15</f>
        <v>40.499999999999993</v>
      </c>
      <c r="F45" s="33"/>
      <c r="G45" s="33"/>
      <c r="H45" s="33"/>
      <c r="J45" s="33">
        <f t="shared" si="4"/>
        <v>94.499999999999986</v>
      </c>
    </row>
    <row r="46" spans="1:18">
      <c r="A46" s="122"/>
      <c r="B46" s="105" t="s">
        <v>341</v>
      </c>
      <c r="C46" s="128">
        <v>0.3</v>
      </c>
      <c r="D46" s="1">
        <f t="shared" si="3"/>
        <v>2.6999999999999997</v>
      </c>
      <c r="E46" s="33">
        <f>D46*15</f>
        <v>40.499999999999993</v>
      </c>
      <c r="F46" s="33"/>
      <c r="G46" s="33"/>
      <c r="H46" s="33"/>
      <c r="J46" s="33">
        <f t="shared" si="4"/>
        <v>94.499999999999986</v>
      </c>
    </row>
    <row r="47" spans="1:18">
      <c r="A47" s="122"/>
      <c r="B47" s="105" t="s">
        <v>344</v>
      </c>
      <c r="C47" s="128">
        <v>0.3</v>
      </c>
      <c r="D47" s="1">
        <f t="shared" si="3"/>
        <v>2.6999999999999997</v>
      </c>
      <c r="E47" s="33"/>
      <c r="F47" s="33">
        <f>D47*12</f>
        <v>32.4</v>
      </c>
      <c r="G47" s="33"/>
      <c r="H47" s="33"/>
      <c r="J47" s="33">
        <f t="shared" si="4"/>
        <v>94.499999999999986</v>
      </c>
    </row>
    <row r="48" spans="1:18">
      <c r="A48" s="122"/>
      <c r="B48" s="105" t="s">
        <v>345</v>
      </c>
      <c r="C48" s="128">
        <v>0.3</v>
      </c>
      <c r="D48" s="1">
        <f t="shared" si="3"/>
        <v>2.6999999999999997</v>
      </c>
      <c r="E48" s="33"/>
      <c r="F48" s="33">
        <f>D48*12</f>
        <v>32.4</v>
      </c>
      <c r="G48" s="33"/>
      <c r="H48" s="33"/>
      <c r="J48" s="33">
        <f t="shared" si="4"/>
        <v>94.499999999999986</v>
      </c>
    </row>
    <row r="49" spans="1:10">
      <c r="A49" s="122"/>
      <c r="B49" s="105" t="s">
        <v>346</v>
      </c>
      <c r="C49" s="128">
        <v>0.3</v>
      </c>
      <c r="D49" s="1">
        <f t="shared" si="3"/>
        <v>2.6999999999999997</v>
      </c>
      <c r="E49" s="33"/>
      <c r="F49" s="33">
        <f>D49*12</f>
        <v>32.4</v>
      </c>
      <c r="G49" s="33"/>
      <c r="H49" s="33"/>
      <c r="J49" s="33">
        <f t="shared" si="4"/>
        <v>94.499999999999986</v>
      </c>
    </row>
    <row r="50" spans="1:10">
      <c r="A50" s="122"/>
      <c r="B50" s="105" t="s">
        <v>347</v>
      </c>
      <c r="C50" s="128">
        <v>0.3</v>
      </c>
      <c r="D50" s="1">
        <f t="shared" si="3"/>
        <v>2.6999999999999997</v>
      </c>
      <c r="E50" s="33"/>
      <c r="F50" s="33">
        <f>D50*12</f>
        <v>32.4</v>
      </c>
      <c r="G50" s="33"/>
      <c r="H50" s="33"/>
      <c r="J50" s="33">
        <f t="shared" si="4"/>
        <v>94.499999999999986</v>
      </c>
    </row>
    <row r="51" spans="1:10">
      <c r="A51" s="122"/>
      <c r="B51" s="105" t="s">
        <v>338</v>
      </c>
      <c r="C51" s="128">
        <v>0.3</v>
      </c>
      <c r="D51" s="1">
        <f t="shared" si="3"/>
        <v>2.6999999999999997</v>
      </c>
      <c r="E51" s="33">
        <f>D51*15</f>
        <v>40.499999999999993</v>
      </c>
      <c r="F51" s="33"/>
      <c r="G51" s="33"/>
      <c r="H51" s="33"/>
      <c r="J51" s="33">
        <f t="shared" si="4"/>
        <v>94.499999999999986</v>
      </c>
    </row>
    <row r="52" spans="1:10">
      <c r="A52" s="122"/>
      <c r="B52" s="105" t="s">
        <v>348</v>
      </c>
      <c r="C52" s="128">
        <v>0.3</v>
      </c>
      <c r="D52" s="1">
        <f t="shared" si="3"/>
        <v>2.6999999999999997</v>
      </c>
      <c r="E52" s="33">
        <f>D52*15</f>
        <v>40.499999999999993</v>
      </c>
      <c r="F52" s="33"/>
      <c r="G52" s="33"/>
      <c r="H52" s="33"/>
      <c r="J52" s="33">
        <f t="shared" si="4"/>
        <v>94.499999999999986</v>
      </c>
    </row>
    <row r="53" spans="1:10">
      <c r="A53" s="122"/>
      <c r="B53" s="105" t="s">
        <v>349</v>
      </c>
      <c r="C53" s="128">
        <v>0.3</v>
      </c>
      <c r="D53" s="1">
        <f t="shared" si="3"/>
        <v>2.6999999999999997</v>
      </c>
      <c r="E53" s="33">
        <f>D53*15</f>
        <v>40.499999999999993</v>
      </c>
      <c r="F53" s="33"/>
      <c r="G53" s="33"/>
      <c r="H53" s="33"/>
      <c r="J53" s="33">
        <f t="shared" si="4"/>
        <v>94.499999999999986</v>
      </c>
    </row>
    <row r="54" spans="1:10">
      <c r="A54" s="122"/>
      <c r="B54" s="105" t="s">
        <v>350</v>
      </c>
      <c r="C54" s="128">
        <v>0.3</v>
      </c>
      <c r="D54" s="1">
        <f t="shared" si="3"/>
        <v>2.6999999999999997</v>
      </c>
      <c r="E54" s="33">
        <f>D54*15</f>
        <v>40.499999999999993</v>
      </c>
      <c r="F54" s="33"/>
      <c r="G54" s="33"/>
      <c r="H54" s="33"/>
      <c r="J54" s="33">
        <f t="shared" si="4"/>
        <v>94.499999999999986</v>
      </c>
    </row>
    <row r="55" spans="1:10">
      <c r="A55" s="122"/>
      <c r="B55" s="105" t="s">
        <v>351</v>
      </c>
      <c r="C55" s="128">
        <v>0.3</v>
      </c>
      <c r="D55" s="1">
        <f t="shared" si="3"/>
        <v>2.6999999999999997</v>
      </c>
      <c r="E55" s="33"/>
      <c r="F55" s="33">
        <f>D55*12</f>
        <v>32.4</v>
      </c>
      <c r="G55" s="33"/>
      <c r="H55" s="33"/>
      <c r="J55" s="33">
        <f t="shared" si="4"/>
        <v>94.499999999999986</v>
      </c>
    </row>
    <row r="56" spans="1:10">
      <c r="A56" s="122"/>
      <c r="B56" s="105" t="s">
        <v>352</v>
      </c>
      <c r="C56" s="128">
        <v>0.3</v>
      </c>
      <c r="D56" s="1">
        <f t="shared" si="3"/>
        <v>2.6999999999999997</v>
      </c>
      <c r="E56" s="33">
        <f>D56*15</f>
        <v>40.499999999999993</v>
      </c>
      <c r="F56" s="33"/>
      <c r="G56" s="33"/>
      <c r="H56" s="33"/>
      <c r="J56" s="33">
        <f t="shared" si="4"/>
        <v>94.499999999999986</v>
      </c>
    </row>
    <row r="57" spans="1:10">
      <c r="A57" s="122"/>
      <c r="B57" s="105" t="s">
        <v>353</v>
      </c>
      <c r="C57" s="128">
        <v>0.3</v>
      </c>
      <c r="D57" s="1">
        <f t="shared" si="3"/>
        <v>2.6999999999999997</v>
      </c>
      <c r="E57" s="33">
        <f>D57*15</f>
        <v>40.499999999999993</v>
      </c>
      <c r="F57" s="33"/>
      <c r="G57" s="33"/>
      <c r="H57" s="33"/>
      <c r="J57" s="33">
        <f t="shared" si="4"/>
        <v>94.499999999999986</v>
      </c>
    </row>
    <row r="58" spans="1:10">
      <c r="A58" s="139"/>
      <c r="B58" s="105" t="s">
        <v>354</v>
      </c>
      <c r="C58" s="128">
        <v>0.3</v>
      </c>
      <c r="D58" s="1">
        <f t="shared" si="3"/>
        <v>2.6999999999999997</v>
      </c>
      <c r="E58" s="33"/>
      <c r="F58" s="33">
        <f>D58*12</f>
        <v>32.4</v>
      </c>
      <c r="G58" s="33"/>
      <c r="H58" s="33"/>
      <c r="J58" s="33">
        <f t="shared" si="4"/>
        <v>94.499999999999986</v>
      </c>
    </row>
    <row r="59" spans="1:10">
      <c r="A59" s="122"/>
      <c r="B59" s="105" t="s">
        <v>355</v>
      </c>
      <c r="C59" s="128">
        <v>0.3</v>
      </c>
      <c r="D59" s="1">
        <f t="shared" si="3"/>
        <v>2.6999999999999997</v>
      </c>
      <c r="E59" s="33"/>
      <c r="F59" s="33">
        <f>D59*12</f>
        <v>32.4</v>
      </c>
      <c r="G59" s="33"/>
      <c r="H59" s="33"/>
      <c r="J59" s="33">
        <f t="shared" si="4"/>
        <v>94.499999999999986</v>
      </c>
    </row>
    <row r="60" spans="1:10">
      <c r="A60" s="139"/>
      <c r="B60" s="105" t="s">
        <v>356</v>
      </c>
      <c r="C60" s="128">
        <v>0.3</v>
      </c>
      <c r="D60" s="1">
        <f t="shared" si="3"/>
        <v>2.6999999999999997</v>
      </c>
      <c r="E60" s="33"/>
      <c r="F60" s="33">
        <f>D60*12</f>
        <v>32.4</v>
      </c>
      <c r="G60" s="33"/>
      <c r="H60" s="33"/>
      <c r="J60" s="33">
        <f t="shared" si="4"/>
        <v>94.499999999999986</v>
      </c>
    </row>
    <row r="61" spans="1:10">
      <c r="A61" s="122"/>
      <c r="B61" s="105" t="s">
        <v>357</v>
      </c>
      <c r="C61" s="128">
        <v>0.3</v>
      </c>
      <c r="D61" s="1">
        <f t="shared" si="3"/>
        <v>2.6999999999999997</v>
      </c>
      <c r="E61" s="33">
        <f>D61*15</f>
        <v>40.499999999999993</v>
      </c>
      <c r="F61" s="33"/>
      <c r="G61" s="33"/>
      <c r="H61" s="33"/>
      <c r="J61" s="33">
        <f t="shared" si="4"/>
        <v>94.499999999999986</v>
      </c>
    </row>
    <row r="62" spans="1:10">
      <c r="A62" s="122"/>
      <c r="B62" s="105" t="s">
        <v>358</v>
      </c>
      <c r="C62" s="128">
        <v>0.3</v>
      </c>
      <c r="D62" s="1">
        <f t="shared" si="3"/>
        <v>2.6999999999999997</v>
      </c>
      <c r="E62" s="33">
        <f>D62*15</f>
        <v>40.499999999999993</v>
      </c>
      <c r="F62" s="33"/>
      <c r="G62" s="33"/>
      <c r="H62" s="33"/>
      <c r="J62" s="33">
        <f t="shared" si="4"/>
        <v>94.499999999999986</v>
      </c>
    </row>
    <row r="63" spans="1:10">
      <c r="A63" s="122"/>
      <c r="B63" s="105" t="s">
        <v>359</v>
      </c>
      <c r="C63" s="128">
        <v>0.3</v>
      </c>
      <c r="D63" s="1">
        <f t="shared" si="3"/>
        <v>2.6999999999999997</v>
      </c>
      <c r="E63" s="33"/>
      <c r="F63" s="33">
        <f>D63*12</f>
        <v>32.4</v>
      </c>
      <c r="G63" s="33"/>
      <c r="H63" s="33"/>
      <c r="J63" s="33">
        <f t="shared" si="4"/>
        <v>94.499999999999986</v>
      </c>
    </row>
    <row r="64" spans="1:10">
      <c r="A64" s="139"/>
      <c r="B64" s="105" t="s">
        <v>366</v>
      </c>
      <c r="C64" s="128">
        <v>0.3</v>
      </c>
      <c r="D64" s="1">
        <f t="shared" si="3"/>
        <v>2.6999999999999997</v>
      </c>
      <c r="E64" s="33"/>
      <c r="F64" s="33">
        <f>D64*12</f>
        <v>32.4</v>
      </c>
      <c r="G64" s="33"/>
      <c r="H64" s="33"/>
      <c r="J64" s="33">
        <f t="shared" si="4"/>
        <v>94.499999999999986</v>
      </c>
    </row>
    <row r="65" spans="1:18">
      <c r="A65" s="139"/>
      <c r="B65" s="105" t="s">
        <v>367</v>
      </c>
      <c r="C65" s="128">
        <v>0.5</v>
      </c>
      <c r="D65" s="1">
        <f t="shared" si="3"/>
        <v>4.5</v>
      </c>
      <c r="E65" s="33">
        <f>D65*15</f>
        <v>67.5</v>
      </c>
      <c r="F65" s="33"/>
      <c r="G65" s="33"/>
      <c r="H65" s="33"/>
      <c r="J65" s="33">
        <f t="shared" si="4"/>
        <v>157.5</v>
      </c>
    </row>
    <row r="66" spans="1:18">
      <c r="A66" s="139"/>
      <c r="B66" s="105" t="s">
        <v>368</v>
      </c>
      <c r="C66" s="128">
        <v>0.5</v>
      </c>
      <c r="D66" s="1">
        <f t="shared" si="3"/>
        <v>4.5</v>
      </c>
      <c r="E66" s="33">
        <f>D66*15</f>
        <v>67.5</v>
      </c>
      <c r="F66" s="33"/>
      <c r="G66" s="33"/>
      <c r="H66" s="33"/>
      <c r="J66" s="33">
        <f t="shared" si="4"/>
        <v>157.5</v>
      </c>
    </row>
    <row r="67" spans="1:18">
      <c r="A67" s="139"/>
      <c r="B67" s="105" t="s">
        <v>379</v>
      </c>
      <c r="C67" s="128">
        <v>4.5</v>
      </c>
      <c r="D67" s="1">
        <f t="shared" si="3"/>
        <v>40.5</v>
      </c>
      <c r="E67" s="33">
        <f>D67*15</f>
        <v>607.5</v>
      </c>
      <c r="F67" s="33"/>
      <c r="G67" s="33"/>
      <c r="H67" s="33"/>
      <c r="J67" s="33">
        <f t="shared" si="4"/>
        <v>1417.5</v>
      </c>
    </row>
    <row r="68" spans="1:18">
      <c r="A68" s="139"/>
      <c r="B68" s="105" t="s">
        <v>384</v>
      </c>
      <c r="C68" s="128">
        <v>0.3</v>
      </c>
      <c r="D68" s="1">
        <f t="shared" si="3"/>
        <v>2.6999999999999997</v>
      </c>
      <c r="E68" s="33"/>
      <c r="F68" s="33">
        <f>D68*12</f>
        <v>32.4</v>
      </c>
      <c r="G68" s="33"/>
      <c r="H68" s="33"/>
      <c r="J68" s="33">
        <f t="shared" si="4"/>
        <v>94.499999999999986</v>
      </c>
    </row>
    <row r="69" spans="1:18">
      <c r="A69" s="139"/>
      <c r="B69" s="105" t="s">
        <v>385</v>
      </c>
      <c r="C69" s="128">
        <v>0.3</v>
      </c>
      <c r="D69" s="1">
        <f t="shared" si="3"/>
        <v>2.6999999999999997</v>
      </c>
      <c r="E69" s="33"/>
      <c r="F69" s="33">
        <f>D69*12</f>
        <v>32.4</v>
      </c>
      <c r="G69" s="33"/>
      <c r="H69" s="33"/>
      <c r="J69" s="33">
        <f t="shared" si="4"/>
        <v>94.499999999999986</v>
      </c>
    </row>
    <row r="70" spans="1:18">
      <c r="A70" s="139"/>
      <c r="B70" s="105" t="s">
        <v>386</v>
      </c>
      <c r="C70" s="128">
        <v>0.3</v>
      </c>
      <c r="D70" s="1">
        <f t="shared" si="3"/>
        <v>2.6999999999999997</v>
      </c>
      <c r="E70" s="33"/>
      <c r="F70" s="33">
        <f>D70*12</f>
        <v>32.4</v>
      </c>
      <c r="G70" s="33"/>
      <c r="H70" s="33"/>
      <c r="J70" s="33">
        <f t="shared" si="4"/>
        <v>94.499999999999986</v>
      </c>
    </row>
    <row r="71" spans="1:18">
      <c r="A71" s="139"/>
      <c r="B71" s="105" t="s">
        <v>387</v>
      </c>
      <c r="C71" s="128">
        <v>0.3</v>
      </c>
      <c r="D71" s="1">
        <f t="shared" si="3"/>
        <v>2.6999999999999997</v>
      </c>
      <c r="E71" s="33">
        <f>D71*15</f>
        <v>40.499999999999993</v>
      </c>
      <c r="F71" s="33"/>
      <c r="G71" s="33"/>
      <c r="H71" s="33"/>
      <c r="J71" s="33">
        <f t="shared" si="4"/>
        <v>94.499999999999986</v>
      </c>
    </row>
    <row r="72" spans="1:18">
      <c r="A72" s="139"/>
      <c r="B72" s="105" t="s">
        <v>388</v>
      </c>
      <c r="C72" s="128">
        <v>0.3</v>
      </c>
      <c r="D72" s="1">
        <f t="shared" si="3"/>
        <v>2.6999999999999997</v>
      </c>
      <c r="E72" s="33">
        <f>D72*15</f>
        <v>40.499999999999993</v>
      </c>
      <c r="F72" s="33"/>
      <c r="G72" s="33"/>
      <c r="H72" s="33"/>
      <c r="J72" s="33">
        <f t="shared" si="4"/>
        <v>94.499999999999986</v>
      </c>
    </row>
    <row r="73" spans="1:18">
      <c r="A73" s="139"/>
      <c r="B73" s="105" t="s">
        <v>389</v>
      </c>
      <c r="C73" s="128">
        <v>0.3</v>
      </c>
      <c r="D73" s="1">
        <f t="shared" si="3"/>
        <v>2.6999999999999997</v>
      </c>
      <c r="E73" s="33">
        <f>D73*15</f>
        <v>40.499999999999993</v>
      </c>
      <c r="F73" s="33"/>
      <c r="G73" s="33"/>
      <c r="H73" s="33"/>
      <c r="J73" s="33">
        <f t="shared" si="4"/>
        <v>94.499999999999986</v>
      </c>
    </row>
    <row r="74" spans="1:18">
      <c r="A74" s="126"/>
      <c r="B74" s="105"/>
      <c r="C74" s="76"/>
      <c r="E74" s="33"/>
      <c r="F74" s="33"/>
      <c r="G74" s="33"/>
      <c r="H74" s="33"/>
      <c r="J74" s="33"/>
    </row>
    <row r="75" spans="1:18">
      <c r="P75" s="4"/>
      <c r="Q75" s="4"/>
      <c r="R75" s="4"/>
    </row>
    <row r="76" spans="1:18">
      <c r="A76" s="118" t="s">
        <v>199</v>
      </c>
      <c r="B76" s="57"/>
      <c r="C76" s="11">
        <f>SUM(C6:C74)</f>
        <v>25.000000000000018</v>
      </c>
      <c r="D76" s="11">
        <f>SUM(D6:D74)</f>
        <v>224.99999999999986</v>
      </c>
      <c r="E76" s="59">
        <f>SUM(E6:E74)</f>
        <v>1971</v>
      </c>
      <c r="F76" s="59">
        <f>SUM(F6:F75)</f>
        <v>939.59999999999957</v>
      </c>
      <c r="G76" s="59">
        <f>SUM(G6:G74)</f>
        <v>229.5</v>
      </c>
      <c r="H76" s="59">
        <f>SUM(H6:H74)</f>
        <v>0</v>
      </c>
      <c r="I76" s="59">
        <f>SUM(E76:H76)</f>
        <v>3140.0999999999995</v>
      </c>
      <c r="J76" s="60">
        <f>SUM(J6:J75)</f>
        <v>7874.9999999999991</v>
      </c>
      <c r="K76" s="39"/>
      <c r="L76" s="29" t="s">
        <v>2</v>
      </c>
      <c r="M76" s="16" t="s">
        <v>1</v>
      </c>
    </row>
    <row r="77" spans="1:18">
      <c r="E77" s="142">
        <f t="shared" ref="E77:J77" si="5">E76*40</f>
        <v>78840</v>
      </c>
      <c r="F77" s="112">
        <f>F76*40</f>
        <v>37583.999999999985</v>
      </c>
      <c r="G77" s="112">
        <f t="shared" si="5"/>
        <v>9180</v>
      </c>
      <c r="H77" s="112">
        <f t="shared" si="5"/>
        <v>0</v>
      </c>
      <c r="I77" s="112">
        <f t="shared" si="5"/>
        <v>125603.99999999997</v>
      </c>
      <c r="J77" s="112">
        <f t="shared" si="5"/>
        <v>314999.99999999994</v>
      </c>
      <c r="K77" s="5" t="s">
        <v>4</v>
      </c>
      <c r="L77" s="7">
        <f t="shared" ref="L77:L79" si="6">M77*40</f>
        <v>314999.99999999994</v>
      </c>
      <c r="M77" s="8">
        <f>J76</f>
        <v>7874.9999999999991</v>
      </c>
      <c r="R77" s="4"/>
    </row>
    <row r="78" spans="1:18">
      <c r="F78" s="33"/>
      <c r="G78" s="123"/>
      <c r="H78" s="123"/>
      <c r="K78" s="5" t="s">
        <v>3</v>
      </c>
      <c r="L78" s="7">
        <f t="shared" si="6"/>
        <v>299249.99999999994</v>
      </c>
      <c r="M78" s="8">
        <f>M77-M77*0.05</f>
        <v>7481.2499999999991</v>
      </c>
    </row>
    <row r="79" spans="1:18">
      <c r="F79" s="33"/>
      <c r="K79" s="5" t="s">
        <v>5</v>
      </c>
      <c r="L79" s="7">
        <f t="shared" si="6"/>
        <v>125603.99999999997</v>
      </c>
      <c r="M79" s="8">
        <f>I76</f>
        <v>3140.0999999999995</v>
      </c>
    </row>
    <row r="80" spans="1:18">
      <c r="B80" s="1"/>
      <c r="K80" s="37" t="s">
        <v>18</v>
      </c>
      <c r="L80" s="7">
        <f>M80*40</f>
        <v>173646</v>
      </c>
      <c r="M80" s="8">
        <f>M78-M79</f>
        <v>4341.1499999999996</v>
      </c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5AC44-ED19-9E48-95F2-7683F3D062EC}">
  <dimension ref="A1:S68"/>
  <sheetViews>
    <sheetView zoomScaleNormal="100" workbookViewId="0">
      <pane ySplit="2" topLeftCell="A33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21.33203125" style="2" customWidth="1"/>
    <col min="3" max="4" width="10.83203125" style="1" customWidth="1"/>
    <col min="5" max="5" width="9.83203125" style="1" customWidth="1"/>
    <col min="6" max="6" width="10.33203125" style="1" customWidth="1"/>
    <col min="7" max="9" width="10.83203125" style="1"/>
    <col min="10" max="10" width="11.1640625" style="1" customWidth="1"/>
    <col min="11" max="11" width="10.6640625" style="1" customWidth="1"/>
    <col min="12" max="12" width="14.33203125" style="1" customWidth="1"/>
    <col min="13" max="13" width="12.33203125" style="1" customWidth="1"/>
    <col min="14" max="14" width="14" style="1" bestFit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04" t="s">
        <v>9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25" t="s">
        <v>6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90"/>
      <c r="B6" s="105" t="s">
        <v>233</v>
      </c>
      <c r="C6" s="128">
        <v>1</v>
      </c>
      <c r="D6" s="1">
        <f t="shared" ref="D6:D15" si="0">C6*9</f>
        <v>9</v>
      </c>
      <c r="F6" s="33">
        <f>D6*15</f>
        <v>135</v>
      </c>
      <c r="G6" s="33"/>
      <c r="H6" s="33"/>
      <c r="I6" s="33"/>
      <c r="K6" s="33">
        <f t="shared" ref="K6:K15" si="1">D6*35</f>
        <v>315</v>
      </c>
      <c r="P6" s="33"/>
    </row>
    <row r="7" spans="1:16">
      <c r="A7" s="90"/>
      <c r="B7" s="105" t="s">
        <v>284</v>
      </c>
      <c r="C7" s="128">
        <v>0.6</v>
      </c>
      <c r="D7" s="1">
        <f t="shared" si="0"/>
        <v>5.3999999999999995</v>
      </c>
      <c r="F7" s="33">
        <f>D7*15</f>
        <v>80.999999999999986</v>
      </c>
      <c r="G7" s="33"/>
      <c r="H7" s="33"/>
      <c r="I7" s="33"/>
      <c r="K7" s="33">
        <f t="shared" si="1"/>
        <v>188.99999999999997</v>
      </c>
      <c r="P7" s="33"/>
    </row>
    <row r="8" spans="1:16">
      <c r="A8" s="90"/>
      <c r="B8" s="105" t="s">
        <v>280</v>
      </c>
      <c r="C8" s="128">
        <v>0.3</v>
      </c>
      <c r="D8" s="1">
        <f t="shared" si="0"/>
        <v>2.6999999999999997</v>
      </c>
      <c r="G8" s="33">
        <f t="shared" ref="G8:G10" si="2">D8*12</f>
        <v>32.4</v>
      </c>
      <c r="H8" s="33"/>
      <c r="I8" s="33"/>
      <c r="K8" s="33">
        <f t="shared" si="1"/>
        <v>94.499999999999986</v>
      </c>
      <c r="P8" s="33"/>
    </row>
    <row r="9" spans="1:16">
      <c r="A9" s="90"/>
      <c r="B9" s="105" t="s">
        <v>281</v>
      </c>
      <c r="C9" s="128">
        <v>0.3</v>
      </c>
      <c r="D9" s="1">
        <f t="shared" si="0"/>
        <v>2.6999999999999997</v>
      </c>
      <c r="G9" s="33">
        <f t="shared" si="2"/>
        <v>32.4</v>
      </c>
      <c r="H9" s="33"/>
      <c r="I9" s="33"/>
      <c r="K9" s="33">
        <f t="shared" si="1"/>
        <v>94.499999999999986</v>
      </c>
      <c r="P9" s="33"/>
    </row>
    <row r="10" spans="1:16">
      <c r="A10" s="90"/>
      <c r="B10" s="105" t="s">
        <v>282</v>
      </c>
      <c r="C10" s="128">
        <v>0.3</v>
      </c>
      <c r="D10" s="1">
        <f t="shared" si="0"/>
        <v>2.6999999999999997</v>
      </c>
      <c r="G10" s="33">
        <f t="shared" si="2"/>
        <v>32.4</v>
      </c>
      <c r="H10" s="33"/>
      <c r="I10" s="33"/>
      <c r="K10" s="33">
        <f t="shared" si="1"/>
        <v>94.499999999999986</v>
      </c>
      <c r="P10" s="33"/>
    </row>
    <row r="11" spans="1:16">
      <c r="A11" s="90"/>
      <c r="B11" s="105" t="s">
        <v>283</v>
      </c>
      <c r="C11" s="128">
        <v>0.3</v>
      </c>
      <c r="D11" s="1">
        <f t="shared" si="0"/>
        <v>2.6999999999999997</v>
      </c>
      <c r="G11" s="33">
        <f>D11*12</f>
        <v>32.4</v>
      </c>
      <c r="H11" s="33"/>
      <c r="I11" s="33"/>
      <c r="K11" s="33">
        <f t="shared" si="1"/>
        <v>94.499999999999986</v>
      </c>
      <c r="P11" s="33"/>
    </row>
    <row r="12" spans="1:16">
      <c r="A12" s="90"/>
      <c r="B12" s="105" t="s">
        <v>239</v>
      </c>
      <c r="C12" s="128">
        <v>0.5</v>
      </c>
      <c r="D12" s="1">
        <f t="shared" si="0"/>
        <v>4.5</v>
      </c>
      <c r="F12" s="33">
        <f>D12*15</f>
        <v>67.5</v>
      </c>
      <c r="G12" s="33"/>
      <c r="H12" s="33"/>
      <c r="I12" s="33"/>
      <c r="K12" s="33">
        <f t="shared" si="1"/>
        <v>157.5</v>
      </c>
      <c r="P12" s="33"/>
    </row>
    <row r="13" spans="1:16">
      <c r="A13" s="132"/>
      <c r="B13" s="105" t="s">
        <v>289</v>
      </c>
      <c r="C13" s="128">
        <v>0.3</v>
      </c>
      <c r="D13" s="1">
        <f>C13*9</f>
        <v>2.6999999999999997</v>
      </c>
      <c r="F13" s="33"/>
      <c r="G13" s="33"/>
      <c r="H13" s="33"/>
      <c r="I13" s="33">
        <f>D13*12</f>
        <v>32.4</v>
      </c>
      <c r="K13" s="33">
        <f>D13*35</f>
        <v>94.499999999999986</v>
      </c>
      <c r="P13" s="33"/>
    </row>
    <row r="14" spans="1:16">
      <c r="A14" s="90"/>
      <c r="B14" s="105" t="s">
        <v>288</v>
      </c>
      <c r="C14" s="128">
        <v>1</v>
      </c>
      <c r="D14" s="1">
        <f>C14*9</f>
        <v>9</v>
      </c>
      <c r="H14" s="33"/>
      <c r="I14" s="33">
        <f>D14*12</f>
        <v>108</v>
      </c>
      <c r="K14" s="33">
        <f>D14*35</f>
        <v>315</v>
      </c>
      <c r="P14" s="33"/>
    </row>
    <row r="15" spans="1:16">
      <c r="A15" s="90"/>
      <c r="B15" s="105" t="s">
        <v>290</v>
      </c>
      <c r="C15" s="128">
        <v>0.5</v>
      </c>
      <c r="D15" s="1">
        <f t="shared" si="0"/>
        <v>4.5</v>
      </c>
      <c r="H15" s="33"/>
      <c r="I15" s="33">
        <f>D15*12</f>
        <v>54</v>
      </c>
      <c r="K15" s="33">
        <f t="shared" si="1"/>
        <v>157.5</v>
      </c>
      <c r="P15" s="33"/>
    </row>
    <row r="16" spans="1:16">
      <c r="A16" s="90"/>
      <c r="B16" s="105" t="s">
        <v>233</v>
      </c>
      <c r="C16" s="128">
        <v>0.3</v>
      </c>
      <c r="D16" s="1">
        <f>C16*9</f>
        <v>2.6999999999999997</v>
      </c>
      <c r="F16" s="33">
        <f>D16*15</f>
        <v>40.499999999999993</v>
      </c>
      <c r="G16" s="33"/>
      <c r="H16" s="33"/>
      <c r="I16" s="33"/>
      <c r="K16" s="33">
        <f>D16*35</f>
        <v>94.499999999999986</v>
      </c>
      <c r="P16" s="33"/>
    </row>
    <row r="17" spans="1:16">
      <c r="A17" s="90"/>
      <c r="B17" s="105" t="s">
        <v>292</v>
      </c>
      <c r="C17" s="128">
        <v>0.3</v>
      </c>
      <c r="D17" s="1">
        <f>C17*9</f>
        <v>2.6999999999999997</v>
      </c>
      <c r="G17" s="33"/>
      <c r="H17" s="33"/>
      <c r="I17" s="33">
        <f>D17*12</f>
        <v>32.4</v>
      </c>
      <c r="K17" s="33">
        <f>D17*35</f>
        <v>94.499999999999986</v>
      </c>
      <c r="P17" s="33"/>
    </row>
    <row r="18" spans="1:16">
      <c r="A18" s="90"/>
      <c r="B18" s="105" t="s">
        <v>294</v>
      </c>
      <c r="C18" s="128">
        <v>0.3</v>
      </c>
      <c r="D18" s="1">
        <f t="shared" ref="D18:D40" si="3">C18*9</f>
        <v>2.6999999999999997</v>
      </c>
      <c r="G18" s="33">
        <f>D18*12</f>
        <v>32.4</v>
      </c>
      <c r="K18" s="33">
        <f t="shared" ref="K18:K40" si="4">D18*35</f>
        <v>94.499999999999986</v>
      </c>
      <c r="P18" s="33"/>
    </row>
    <row r="19" spans="1:16">
      <c r="A19" s="90"/>
      <c r="B19" s="105" t="s">
        <v>295</v>
      </c>
      <c r="C19" s="128">
        <v>0.3</v>
      </c>
      <c r="D19" s="1">
        <f t="shared" si="3"/>
        <v>2.6999999999999997</v>
      </c>
      <c r="F19" s="33">
        <f>D19*15</f>
        <v>40.499999999999993</v>
      </c>
      <c r="K19" s="33">
        <f t="shared" si="4"/>
        <v>94.499999999999986</v>
      </c>
      <c r="P19" s="33"/>
    </row>
    <row r="20" spans="1:16">
      <c r="A20" s="90"/>
      <c r="B20" s="105" t="s">
        <v>296</v>
      </c>
      <c r="C20" s="128">
        <v>0.3</v>
      </c>
      <c r="D20" s="1">
        <f t="shared" si="3"/>
        <v>2.6999999999999997</v>
      </c>
      <c r="G20" s="33">
        <f>D20*12</f>
        <v>32.4</v>
      </c>
      <c r="K20" s="33">
        <f t="shared" si="4"/>
        <v>94.499999999999986</v>
      </c>
      <c r="P20" s="33"/>
    </row>
    <row r="21" spans="1:16">
      <c r="A21" s="90"/>
      <c r="B21" s="105" t="s">
        <v>297</v>
      </c>
      <c r="C21" s="128">
        <v>0.3</v>
      </c>
      <c r="D21" s="1">
        <f t="shared" si="3"/>
        <v>2.6999999999999997</v>
      </c>
      <c r="G21" s="33">
        <f t="shared" ref="G21:G24" si="5">D21*12</f>
        <v>32.4</v>
      </c>
      <c r="K21" s="33">
        <f t="shared" si="4"/>
        <v>94.499999999999986</v>
      </c>
      <c r="P21" s="33"/>
    </row>
    <row r="22" spans="1:16">
      <c r="A22" s="90"/>
      <c r="B22" s="105" t="s">
        <v>298</v>
      </c>
      <c r="C22" s="128">
        <v>0.3</v>
      </c>
      <c r="D22" s="1">
        <f t="shared" si="3"/>
        <v>2.6999999999999997</v>
      </c>
      <c r="G22" s="33">
        <f t="shared" si="5"/>
        <v>32.4</v>
      </c>
      <c r="K22" s="33">
        <f t="shared" si="4"/>
        <v>94.499999999999986</v>
      </c>
      <c r="P22" s="33"/>
    </row>
    <row r="23" spans="1:16">
      <c r="A23" s="90"/>
      <c r="B23" s="105" t="s">
        <v>162</v>
      </c>
      <c r="C23" s="128">
        <v>0.3</v>
      </c>
      <c r="D23" s="1">
        <f t="shared" si="3"/>
        <v>2.6999999999999997</v>
      </c>
      <c r="F23" s="33">
        <f>D23*15</f>
        <v>40.499999999999993</v>
      </c>
      <c r="K23" s="33">
        <f t="shared" si="4"/>
        <v>94.499999999999986</v>
      </c>
      <c r="P23" s="33"/>
    </row>
    <row r="24" spans="1:16">
      <c r="A24" s="90"/>
      <c r="B24" s="105" t="s">
        <v>299</v>
      </c>
      <c r="C24" s="128">
        <v>0.3</v>
      </c>
      <c r="D24" s="1">
        <f t="shared" si="3"/>
        <v>2.6999999999999997</v>
      </c>
      <c r="G24" s="33">
        <f t="shared" si="5"/>
        <v>32.4</v>
      </c>
      <c r="K24" s="33">
        <f t="shared" si="4"/>
        <v>94.499999999999986</v>
      </c>
      <c r="P24" s="33"/>
    </row>
    <row r="25" spans="1:16">
      <c r="A25" s="90"/>
      <c r="B25" s="105" t="s">
        <v>300</v>
      </c>
      <c r="C25" s="128">
        <v>0.3</v>
      </c>
      <c r="D25" s="1">
        <f t="shared" si="3"/>
        <v>2.6999999999999997</v>
      </c>
      <c r="F25" s="33">
        <f>D25*15</f>
        <v>40.499999999999993</v>
      </c>
      <c r="K25" s="33">
        <f t="shared" si="4"/>
        <v>94.499999999999986</v>
      </c>
      <c r="P25" s="33"/>
    </row>
    <row r="26" spans="1:16">
      <c r="A26" s="90"/>
      <c r="B26" s="105" t="s">
        <v>301</v>
      </c>
      <c r="C26" s="128">
        <v>0.3</v>
      </c>
      <c r="D26" s="1">
        <f t="shared" si="3"/>
        <v>2.6999999999999997</v>
      </c>
      <c r="F26" s="33">
        <f>D26*15</f>
        <v>40.499999999999993</v>
      </c>
      <c r="K26" s="33">
        <f t="shared" si="4"/>
        <v>94.499999999999986</v>
      </c>
      <c r="P26" s="33"/>
    </row>
    <row r="27" spans="1:16">
      <c r="A27" s="90"/>
      <c r="B27" s="105" t="s">
        <v>302</v>
      </c>
      <c r="C27" s="128">
        <v>0.5</v>
      </c>
      <c r="D27" s="1">
        <f t="shared" si="3"/>
        <v>4.5</v>
      </c>
      <c r="F27" s="33">
        <f>D27*15</f>
        <v>67.5</v>
      </c>
      <c r="K27" s="33">
        <f t="shared" si="4"/>
        <v>157.5</v>
      </c>
      <c r="P27" s="33"/>
    </row>
    <row r="28" spans="1:16">
      <c r="A28" s="90"/>
      <c r="B28" s="105" t="s">
        <v>303</v>
      </c>
      <c r="C28" s="128">
        <v>0.3</v>
      </c>
      <c r="D28" s="1">
        <f t="shared" si="3"/>
        <v>2.6999999999999997</v>
      </c>
      <c r="G28" s="33">
        <f t="shared" ref="G28:G34" si="6">D28*12</f>
        <v>32.4</v>
      </c>
      <c r="K28" s="33">
        <f t="shared" si="4"/>
        <v>94.499999999999986</v>
      </c>
      <c r="P28" s="33"/>
    </row>
    <row r="29" spans="1:16">
      <c r="A29" s="90"/>
      <c r="B29" s="105" t="s">
        <v>316</v>
      </c>
      <c r="C29" s="128">
        <v>0.3</v>
      </c>
      <c r="D29" s="1">
        <f t="shared" si="3"/>
        <v>2.6999999999999997</v>
      </c>
      <c r="G29" s="33">
        <f t="shared" si="6"/>
        <v>32.4</v>
      </c>
      <c r="K29" s="33">
        <f t="shared" si="4"/>
        <v>94.499999999999986</v>
      </c>
      <c r="P29" s="33"/>
    </row>
    <row r="30" spans="1:16">
      <c r="A30" s="90"/>
      <c r="B30" s="105" t="s">
        <v>310</v>
      </c>
      <c r="C30" s="128">
        <v>0.3</v>
      </c>
      <c r="D30" s="1">
        <f t="shared" si="3"/>
        <v>2.6999999999999997</v>
      </c>
      <c r="G30" s="33">
        <f t="shared" si="6"/>
        <v>32.4</v>
      </c>
      <c r="K30" s="33">
        <f t="shared" si="4"/>
        <v>94.499999999999986</v>
      </c>
      <c r="P30" s="33"/>
    </row>
    <row r="31" spans="1:16">
      <c r="A31" s="90"/>
      <c r="B31" s="105" t="s">
        <v>311</v>
      </c>
      <c r="C31" s="128">
        <v>0.3</v>
      </c>
      <c r="D31" s="1">
        <f t="shared" si="3"/>
        <v>2.6999999999999997</v>
      </c>
      <c r="G31" s="33">
        <f t="shared" si="6"/>
        <v>32.4</v>
      </c>
      <c r="K31" s="33">
        <f t="shared" si="4"/>
        <v>94.499999999999986</v>
      </c>
      <c r="P31" s="33"/>
    </row>
    <row r="32" spans="1:16">
      <c r="A32" s="90"/>
      <c r="B32" s="105" t="s">
        <v>312</v>
      </c>
      <c r="C32" s="128">
        <v>0.3</v>
      </c>
      <c r="D32" s="1">
        <f t="shared" si="3"/>
        <v>2.6999999999999997</v>
      </c>
      <c r="G32" s="33">
        <f t="shared" si="6"/>
        <v>32.4</v>
      </c>
      <c r="K32" s="33">
        <f t="shared" si="4"/>
        <v>94.499999999999986</v>
      </c>
      <c r="P32" s="33"/>
    </row>
    <row r="33" spans="1:16">
      <c r="A33" s="90"/>
      <c r="B33" s="105" t="s">
        <v>313</v>
      </c>
      <c r="C33" s="128">
        <v>0.3</v>
      </c>
      <c r="D33" s="1">
        <f t="shared" si="3"/>
        <v>2.6999999999999997</v>
      </c>
      <c r="G33" s="33">
        <f t="shared" si="6"/>
        <v>32.4</v>
      </c>
      <c r="K33" s="33">
        <f t="shared" si="4"/>
        <v>94.499999999999986</v>
      </c>
      <c r="P33" s="33"/>
    </row>
    <row r="34" spans="1:16">
      <c r="A34" s="90"/>
      <c r="B34" s="105" t="s">
        <v>314</v>
      </c>
      <c r="C34" s="128">
        <v>0.3</v>
      </c>
      <c r="D34" s="1">
        <f t="shared" si="3"/>
        <v>2.6999999999999997</v>
      </c>
      <c r="G34" s="33">
        <f t="shared" si="6"/>
        <v>32.4</v>
      </c>
      <c r="K34" s="33">
        <f t="shared" si="4"/>
        <v>94.499999999999986</v>
      </c>
      <c r="P34" s="33"/>
    </row>
    <row r="35" spans="1:16">
      <c r="A35" s="90"/>
      <c r="B35" s="105" t="s">
        <v>317</v>
      </c>
      <c r="C35" s="128">
        <v>0.3</v>
      </c>
      <c r="D35" s="1">
        <f t="shared" si="3"/>
        <v>2.6999999999999997</v>
      </c>
      <c r="F35" s="135" t="s">
        <v>304</v>
      </c>
      <c r="K35" s="33">
        <f t="shared" si="4"/>
        <v>94.499999999999986</v>
      </c>
      <c r="P35" s="33"/>
    </row>
    <row r="36" spans="1:16">
      <c r="A36" s="90"/>
      <c r="B36" s="105" t="s">
        <v>318</v>
      </c>
      <c r="C36" s="128">
        <v>0.3</v>
      </c>
      <c r="D36" s="1">
        <f t="shared" si="3"/>
        <v>2.6999999999999997</v>
      </c>
      <c r="F36" s="135" t="s">
        <v>304</v>
      </c>
      <c r="K36" s="33">
        <f t="shared" si="4"/>
        <v>94.499999999999986</v>
      </c>
      <c r="P36" s="33"/>
    </row>
    <row r="37" spans="1:16">
      <c r="A37" s="90"/>
      <c r="B37" s="105" t="s">
        <v>308</v>
      </c>
      <c r="C37" s="128">
        <v>0.3</v>
      </c>
      <c r="D37" s="1">
        <f t="shared" si="3"/>
        <v>2.6999999999999997</v>
      </c>
      <c r="F37" s="135" t="s">
        <v>304</v>
      </c>
      <c r="K37" s="33">
        <f t="shared" si="4"/>
        <v>94.499999999999986</v>
      </c>
      <c r="P37" s="33"/>
    </row>
    <row r="38" spans="1:16">
      <c r="A38" s="90"/>
      <c r="B38" s="105" t="s">
        <v>315</v>
      </c>
      <c r="C38" s="128">
        <v>0.3</v>
      </c>
      <c r="D38" s="1">
        <f t="shared" si="3"/>
        <v>2.6999999999999997</v>
      </c>
      <c r="F38" s="135" t="s">
        <v>304</v>
      </c>
      <c r="K38" s="33">
        <f t="shared" si="4"/>
        <v>94.499999999999986</v>
      </c>
      <c r="P38" s="33"/>
    </row>
    <row r="39" spans="1:16">
      <c r="A39" s="90"/>
      <c r="B39" s="105" t="s">
        <v>309</v>
      </c>
      <c r="C39" s="128">
        <v>0.3</v>
      </c>
      <c r="D39" s="1">
        <f t="shared" si="3"/>
        <v>2.6999999999999997</v>
      </c>
      <c r="F39" s="135" t="s">
        <v>304</v>
      </c>
      <c r="K39" s="33">
        <f t="shared" si="4"/>
        <v>94.499999999999986</v>
      </c>
      <c r="P39" s="33"/>
    </row>
    <row r="40" spans="1:16">
      <c r="A40" s="90"/>
      <c r="B40" s="105" t="s">
        <v>319</v>
      </c>
      <c r="C40" s="128">
        <v>0.3</v>
      </c>
      <c r="D40" s="1">
        <f t="shared" si="3"/>
        <v>2.6999999999999997</v>
      </c>
      <c r="K40" s="33">
        <f t="shared" si="4"/>
        <v>94.499999999999986</v>
      </c>
      <c r="P40" s="33"/>
    </row>
    <row r="41" spans="1:16">
      <c r="L41" s="105"/>
      <c r="P41" s="33"/>
    </row>
    <row r="42" spans="1:16" ht="25" customHeight="1">
      <c r="A42" s="125" t="s">
        <v>81</v>
      </c>
      <c r="B42" s="125" t="s">
        <v>196</v>
      </c>
      <c r="C42" s="23"/>
      <c r="D42" s="23"/>
      <c r="E42" s="23"/>
      <c r="F42" s="23"/>
      <c r="G42" s="23"/>
      <c r="H42" s="23"/>
      <c r="I42" s="23"/>
      <c r="J42" s="23"/>
      <c r="K42" s="23"/>
    </row>
    <row r="43" spans="1:16">
      <c r="A43" s="132"/>
      <c r="B43" s="105" t="s">
        <v>285</v>
      </c>
      <c r="C43" s="128">
        <v>0.3</v>
      </c>
      <c r="D43" s="1">
        <f t="shared" ref="D43:D55" si="7">C43*9</f>
        <v>2.6999999999999997</v>
      </c>
      <c r="F43" s="33"/>
      <c r="G43" s="33">
        <f>D44*12</f>
        <v>32.4</v>
      </c>
      <c r="H43" s="33"/>
      <c r="I43" s="33"/>
      <c r="K43" s="33">
        <f t="shared" ref="K43:K55" si="8">D43*35</f>
        <v>94.499999999999986</v>
      </c>
      <c r="M43" s="105"/>
    </row>
    <row r="44" spans="1:16">
      <c r="A44" s="132"/>
      <c r="B44" s="105" t="s">
        <v>291</v>
      </c>
      <c r="C44" s="128">
        <v>0.3</v>
      </c>
      <c r="D44" s="1">
        <f t="shared" si="7"/>
        <v>2.6999999999999997</v>
      </c>
      <c r="F44" s="33"/>
      <c r="G44" s="33">
        <f>D44*12</f>
        <v>32.4</v>
      </c>
      <c r="H44" s="33"/>
      <c r="I44" s="33"/>
      <c r="K44" s="33">
        <f t="shared" si="8"/>
        <v>94.499999999999986</v>
      </c>
      <c r="M44" s="105"/>
    </row>
    <row r="45" spans="1:16">
      <c r="A45" s="132"/>
      <c r="B45" s="105" t="s">
        <v>286</v>
      </c>
      <c r="C45" s="128">
        <v>0.3</v>
      </c>
      <c r="D45" s="1">
        <f t="shared" si="7"/>
        <v>2.6999999999999997</v>
      </c>
      <c r="F45" s="33">
        <f>D45*15</f>
        <v>40.499999999999993</v>
      </c>
      <c r="H45" s="33"/>
      <c r="I45" s="33"/>
      <c r="K45" s="33">
        <f t="shared" si="8"/>
        <v>94.499999999999986</v>
      </c>
      <c r="M45" s="105"/>
    </row>
    <row r="46" spans="1:16">
      <c r="A46" s="132"/>
      <c r="B46" s="105" t="s">
        <v>293</v>
      </c>
      <c r="C46" s="128">
        <v>0.3</v>
      </c>
      <c r="D46" s="1">
        <f t="shared" si="7"/>
        <v>2.6999999999999997</v>
      </c>
      <c r="F46" s="33">
        <f t="shared" ref="F46:F51" si="9">D46*15</f>
        <v>40.499999999999993</v>
      </c>
      <c r="G46" s="33"/>
      <c r="H46" s="33"/>
      <c r="I46" s="33"/>
      <c r="K46" s="33">
        <f t="shared" si="8"/>
        <v>94.499999999999986</v>
      </c>
      <c r="M46" s="105"/>
    </row>
    <row r="47" spans="1:16">
      <c r="A47" s="132"/>
      <c r="B47" s="105" t="s">
        <v>287</v>
      </c>
      <c r="C47" s="128">
        <v>0.3</v>
      </c>
      <c r="D47" s="1">
        <f t="shared" si="7"/>
        <v>2.6999999999999997</v>
      </c>
      <c r="F47" s="33">
        <f t="shared" si="9"/>
        <v>40.499999999999993</v>
      </c>
      <c r="G47" s="33"/>
      <c r="H47" s="33"/>
      <c r="I47" s="33"/>
      <c r="K47" s="33">
        <f t="shared" si="8"/>
        <v>94.499999999999986</v>
      </c>
      <c r="M47" s="105"/>
    </row>
    <row r="48" spans="1:16">
      <c r="A48" s="132"/>
      <c r="B48" s="105" t="s">
        <v>320</v>
      </c>
      <c r="C48" s="128">
        <v>0.3</v>
      </c>
      <c r="D48" s="1">
        <f t="shared" si="7"/>
        <v>2.6999999999999997</v>
      </c>
      <c r="F48" s="33">
        <f t="shared" si="9"/>
        <v>40.499999999999993</v>
      </c>
      <c r="G48" s="33"/>
      <c r="H48" s="33"/>
      <c r="I48" s="33"/>
      <c r="K48" s="33">
        <f t="shared" si="8"/>
        <v>94.499999999999986</v>
      </c>
    </row>
    <row r="49" spans="1:19">
      <c r="A49" s="132"/>
      <c r="B49" s="105" t="s">
        <v>321</v>
      </c>
      <c r="C49" s="128">
        <v>0.3</v>
      </c>
      <c r="D49" s="1">
        <f t="shared" si="7"/>
        <v>2.6999999999999997</v>
      </c>
      <c r="F49" s="33">
        <f t="shared" si="9"/>
        <v>40.499999999999993</v>
      </c>
      <c r="G49" s="33"/>
      <c r="H49" s="33"/>
      <c r="I49" s="33"/>
      <c r="K49" s="33">
        <f t="shared" si="8"/>
        <v>94.499999999999986</v>
      </c>
    </row>
    <row r="50" spans="1:19">
      <c r="A50" s="132"/>
      <c r="B50" s="105" t="s">
        <v>322</v>
      </c>
      <c r="C50" s="128">
        <v>0.3</v>
      </c>
      <c r="D50" s="1">
        <f t="shared" si="7"/>
        <v>2.6999999999999997</v>
      </c>
      <c r="F50" s="33">
        <f t="shared" si="9"/>
        <v>40.499999999999993</v>
      </c>
      <c r="G50" s="33"/>
      <c r="H50" s="33"/>
      <c r="I50" s="33"/>
      <c r="K50" s="33">
        <f t="shared" si="8"/>
        <v>94.499999999999986</v>
      </c>
    </row>
    <row r="51" spans="1:19">
      <c r="A51" s="132"/>
      <c r="B51" s="105" t="s">
        <v>323</v>
      </c>
      <c r="C51" s="128">
        <v>0.3</v>
      </c>
      <c r="D51" s="1">
        <f t="shared" si="7"/>
        <v>2.6999999999999997</v>
      </c>
      <c r="F51" s="33">
        <f t="shared" si="9"/>
        <v>40.499999999999993</v>
      </c>
      <c r="G51" s="33"/>
      <c r="H51" s="33"/>
      <c r="I51" s="33"/>
      <c r="K51" s="33">
        <f t="shared" si="8"/>
        <v>94.499999999999986</v>
      </c>
    </row>
    <row r="52" spans="1:19">
      <c r="A52" s="132"/>
      <c r="B52" s="105" t="s">
        <v>324</v>
      </c>
      <c r="C52" s="128">
        <v>0.3</v>
      </c>
      <c r="D52" s="1">
        <f t="shared" si="7"/>
        <v>2.6999999999999997</v>
      </c>
      <c r="F52" s="33"/>
      <c r="G52" s="33">
        <f>D52*12</f>
        <v>32.4</v>
      </c>
      <c r="H52" s="33"/>
      <c r="I52" s="33"/>
      <c r="K52" s="33">
        <f t="shared" si="8"/>
        <v>94.499999999999986</v>
      </c>
    </row>
    <row r="53" spans="1:19">
      <c r="A53" s="132"/>
      <c r="B53" s="105" t="s">
        <v>325</v>
      </c>
      <c r="C53" s="128">
        <v>0.3</v>
      </c>
      <c r="D53" s="1">
        <f t="shared" si="7"/>
        <v>2.6999999999999997</v>
      </c>
      <c r="F53" s="33"/>
      <c r="G53" s="33">
        <f t="shared" ref="G53:G55" si="10">D53*12</f>
        <v>32.4</v>
      </c>
      <c r="H53" s="33"/>
      <c r="I53" s="33"/>
      <c r="K53" s="33">
        <f t="shared" si="8"/>
        <v>94.499999999999986</v>
      </c>
    </row>
    <row r="54" spans="1:19">
      <c r="A54" s="132"/>
      <c r="B54" s="105" t="s">
        <v>326</v>
      </c>
      <c r="C54" s="128">
        <v>0.3</v>
      </c>
      <c r="D54" s="1">
        <f t="shared" si="7"/>
        <v>2.6999999999999997</v>
      </c>
      <c r="F54" s="33"/>
      <c r="G54" s="33">
        <f t="shared" si="10"/>
        <v>32.4</v>
      </c>
      <c r="H54" s="33"/>
      <c r="I54" s="33"/>
      <c r="K54" s="33">
        <f t="shared" si="8"/>
        <v>94.499999999999986</v>
      </c>
    </row>
    <row r="55" spans="1:19">
      <c r="A55" s="132"/>
      <c r="B55" s="105" t="s">
        <v>327</v>
      </c>
      <c r="C55" s="128">
        <v>0.3</v>
      </c>
      <c r="D55" s="1">
        <f t="shared" si="7"/>
        <v>2.6999999999999997</v>
      </c>
      <c r="F55" s="33"/>
      <c r="G55" s="33">
        <f t="shared" si="10"/>
        <v>32.4</v>
      </c>
      <c r="H55" s="33"/>
      <c r="I55" s="33"/>
      <c r="K55" s="33">
        <f t="shared" si="8"/>
        <v>94.499999999999986</v>
      </c>
    </row>
    <row r="56" spans="1:19">
      <c r="B56" s="114"/>
      <c r="C56" s="76"/>
      <c r="F56" s="33"/>
      <c r="G56" s="33"/>
      <c r="K56" s="33"/>
      <c r="Q56" s="4"/>
      <c r="R56" s="4"/>
      <c r="S56" s="4"/>
    </row>
    <row r="57" spans="1:19">
      <c r="Q57" s="4"/>
      <c r="R57" s="4"/>
      <c r="S57" s="4"/>
    </row>
    <row r="58" spans="1:19">
      <c r="A58" s="118" t="s">
        <v>199</v>
      </c>
      <c r="B58" s="57"/>
      <c r="C58" s="11">
        <f>SUM(C6:C55)</f>
        <v>16.700000000000017</v>
      </c>
      <c r="D58" s="11">
        <f>SUM(D6:D55)</f>
        <v>150.29999999999998</v>
      </c>
      <c r="E58" s="58"/>
      <c r="F58" s="59">
        <f>SUM(F6:F55)</f>
        <v>837</v>
      </c>
      <c r="G58" s="59">
        <f>SUM(G6:G57)</f>
        <v>712.79999999999973</v>
      </c>
      <c r="H58" s="59">
        <f>SUM(H6:H55)</f>
        <v>0</v>
      </c>
      <c r="I58" s="59">
        <f>SUM(I6:I55)</f>
        <v>226.8</v>
      </c>
      <c r="J58" s="59">
        <f>SUM(F58:I58)</f>
        <v>1776.5999999999997</v>
      </c>
      <c r="K58" s="60">
        <f>SUM(K6:K57)</f>
        <v>5260.5</v>
      </c>
      <c r="L58" s="39"/>
      <c r="M58" s="29" t="s">
        <v>2</v>
      </c>
      <c r="N58" s="16" t="s">
        <v>1</v>
      </c>
    </row>
    <row r="59" spans="1:19">
      <c r="F59" s="142">
        <f t="shared" ref="F59:K59" si="11">F58*40</f>
        <v>33480</v>
      </c>
      <c r="G59" s="142">
        <f>G58*40</f>
        <v>28511.999999999989</v>
      </c>
      <c r="H59" s="142">
        <f t="shared" si="11"/>
        <v>0</v>
      </c>
      <c r="I59" s="142">
        <f t="shared" si="11"/>
        <v>9072</v>
      </c>
      <c r="J59" s="142">
        <f t="shared" si="11"/>
        <v>71063.999999999985</v>
      </c>
      <c r="K59" s="142">
        <f t="shared" si="11"/>
        <v>210420</v>
      </c>
      <c r="L59" s="5" t="s">
        <v>4</v>
      </c>
      <c r="M59" s="7">
        <f t="shared" ref="M59:M61" si="12">N59*40</f>
        <v>210420</v>
      </c>
      <c r="N59" s="8">
        <f>K58</f>
        <v>5260.5</v>
      </c>
      <c r="S59" s="4"/>
    </row>
    <row r="60" spans="1:19">
      <c r="G60" s="33"/>
      <c r="H60" s="123"/>
      <c r="I60" s="123"/>
      <c r="L60" s="5" t="s">
        <v>3</v>
      </c>
      <c r="M60" s="7">
        <f t="shared" si="12"/>
        <v>199899</v>
      </c>
      <c r="N60" s="8">
        <f>N59-N59*0.05</f>
        <v>4997.4750000000004</v>
      </c>
    </row>
    <row r="61" spans="1:19">
      <c r="G61" s="33"/>
      <c r="L61" s="5" t="s">
        <v>5</v>
      </c>
      <c r="M61" s="7">
        <f t="shared" si="12"/>
        <v>71063.999999999985</v>
      </c>
      <c r="N61" s="8">
        <f>J58</f>
        <v>1776.5999999999997</v>
      </c>
    </row>
    <row r="62" spans="1:19">
      <c r="B62" s="1"/>
      <c r="L62" s="37" t="s">
        <v>18</v>
      </c>
      <c r="M62" s="7">
        <f>N62*40</f>
        <v>128835.00000000003</v>
      </c>
      <c r="N62" s="8">
        <f>N60-N61</f>
        <v>3220.8750000000009</v>
      </c>
    </row>
    <row r="63" spans="1:19">
      <c r="B63" s="1"/>
    </row>
    <row r="64" spans="1:19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FB25-ED39-D645-B1A0-1D01B4E97D49}">
  <dimension ref="A1:S70"/>
  <sheetViews>
    <sheetView zoomScaleNormal="100" workbookViewId="0">
      <pane ySplit="2" topLeftCell="A32" activePane="bottomLeft" state="frozen"/>
      <selection pane="bottomLeft" activeCell="B2" sqref="B2"/>
    </sheetView>
  </sheetViews>
  <sheetFormatPr baseColWidth="10" defaultRowHeight="16"/>
  <cols>
    <col min="1" max="1" width="9.33203125" style="1" customWidth="1"/>
    <col min="2" max="2" width="21.33203125" style="2" customWidth="1"/>
    <col min="3" max="4" width="10.83203125" style="1" customWidth="1"/>
    <col min="5" max="5" width="9.83203125" style="1" customWidth="1"/>
    <col min="6" max="6" width="10.33203125" style="1" customWidth="1"/>
    <col min="7" max="9" width="10.83203125" style="1"/>
    <col min="10" max="10" width="11.1640625" style="1" customWidth="1"/>
    <col min="11" max="11" width="10.6640625" style="1" customWidth="1"/>
    <col min="12" max="12" width="14.33203125" style="1" customWidth="1"/>
    <col min="13" max="13" width="12.33203125" style="1" customWidth="1"/>
    <col min="14" max="14" width="14" style="1" bestFit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6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</row>
    <row r="2" spans="1:16">
      <c r="B2" s="104" t="s">
        <v>9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6">
      <c r="F3" s="38"/>
      <c r="G3" s="38"/>
      <c r="H3" s="38"/>
      <c r="I3" s="38"/>
    </row>
    <row r="4" spans="1:16" ht="21">
      <c r="A4" s="116"/>
    </row>
    <row r="5" spans="1:16" ht="25" customHeight="1">
      <c r="A5" s="125" t="s">
        <v>82</v>
      </c>
      <c r="B5" s="125" t="s">
        <v>196</v>
      </c>
      <c r="C5" s="127" t="s">
        <v>44</v>
      </c>
      <c r="D5" s="25" t="s">
        <v>8</v>
      </c>
      <c r="E5" s="25" t="s">
        <v>6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6">
      <c r="A6" s="90"/>
      <c r="B6" s="105" t="s">
        <v>239</v>
      </c>
      <c r="C6" s="128">
        <v>0.3</v>
      </c>
      <c r="D6" s="1">
        <f t="shared" ref="D6:D11" si="0">C6*9</f>
        <v>2.6999999999999997</v>
      </c>
      <c r="F6" s="33">
        <f>D6*15</f>
        <v>40.499999999999993</v>
      </c>
      <c r="G6" s="33"/>
      <c r="H6" s="33"/>
      <c r="I6" s="33"/>
      <c r="K6" s="33">
        <f>D6*35</f>
        <v>94.499999999999986</v>
      </c>
      <c r="P6" s="33"/>
    </row>
    <row r="7" spans="1:16">
      <c r="A7" s="90"/>
      <c r="B7" s="105" t="s">
        <v>240</v>
      </c>
      <c r="C7" s="76">
        <v>1</v>
      </c>
      <c r="D7" s="1">
        <f t="shared" si="0"/>
        <v>9</v>
      </c>
      <c r="G7" s="33"/>
      <c r="H7" s="33"/>
      <c r="I7" s="33">
        <f>D7*12</f>
        <v>108</v>
      </c>
      <c r="K7" s="33">
        <f>D7*35</f>
        <v>315</v>
      </c>
      <c r="P7" s="33"/>
    </row>
    <row r="8" spans="1:16">
      <c r="A8" s="90"/>
      <c r="B8" s="105" t="s">
        <v>241</v>
      </c>
      <c r="C8" s="128">
        <v>0.5</v>
      </c>
      <c r="D8" s="1">
        <f t="shared" si="0"/>
        <v>4.5</v>
      </c>
      <c r="G8" s="33"/>
      <c r="H8" s="33"/>
      <c r="I8" s="33">
        <f>D8*12</f>
        <v>54</v>
      </c>
      <c r="K8" s="33">
        <f t="shared" ref="K8:K42" si="1">D8*35</f>
        <v>157.5</v>
      </c>
      <c r="P8" s="33"/>
    </row>
    <row r="9" spans="1:16">
      <c r="A9" s="90"/>
      <c r="B9" s="105" t="s">
        <v>165</v>
      </c>
      <c r="C9" s="128">
        <v>0.5</v>
      </c>
      <c r="D9" s="1">
        <f t="shared" si="0"/>
        <v>4.5</v>
      </c>
      <c r="G9" s="33"/>
      <c r="H9" s="33">
        <f>D9*15</f>
        <v>67.5</v>
      </c>
      <c r="I9" s="33"/>
      <c r="K9" s="33">
        <f t="shared" si="1"/>
        <v>157.5</v>
      </c>
      <c r="P9" s="33"/>
    </row>
    <row r="10" spans="1:16">
      <c r="A10" s="90"/>
      <c r="B10" s="105" t="s">
        <v>242</v>
      </c>
      <c r="C10" s="128">
        <v>0.5</v>
      </c>
      <c r="D10" s="1">
        <f t="shared" si="0"/>
        <v>4.5</v>
      </c>
      <c r="F10" s="33">
        <f>D10*15</f>
        <v>67.5</v>
      </c>
      <c r="G10" s="33"/>
      <c r="H10" s="33"/>
      <c r="I10" s="33"/>
      <c r="K10" s="33">
        <f t="shared" si="1"/>
        <v>157.5</v>
      </c>
      <c r="P10" s="33"/>
    </row>
    <row r="11" spans="1:16">
      <c r="A11" s="90"/>
      <c r="B11" s="105" t="s">
        <v>243</v>
      </c>
      <c r="C11" s="128">
        <v>0.5</v>
      </c>
      <c r="D11" s="1">
        <f t="shared" si="0"/>
        <v>4.5</v>
      </c>
      <c r="G11" s="33"/>
      <c r="H11" s="33">
        <f>D11*15</f>
        <v>67.5</v>
      </c>
      <c r="I11" s="33"/>
      <c r="K11" s="33">
        <f t="shared" si="1"/>
        <v>157.5</v>
      </c>
      <c r="P11" s="33"/>
    </row>
    <row r="12" spans="1:16">
      <c r="A12" s="90"/>
      <c r="B12" s="105" t="s">
        <v>244</v>
      </c>
      <c r="C12" s="128">
        <v>0.3</v>
      </c>
      <c r="D12" s="1">
        <f t="shared" ref="D12:D13" si="2">C12*9</f>
        <v>2.6999999999999997</v>
      </c>
      <c r="G12" s="33"/>
      <c r="H12" s="33">
        <f>D12*15</f>
        <v>40.499999999999993</v>
      </c>
      <c r="I12" s="33"/>
      <c r="K12" s="33">
        <f t="shared" si="1"/>
        <v>94.499999999999986</v>
      </c>
      <c r="P12" s="33"/>
    </row>
    <row r="13" spans="1:16">
      <c r="A13" s="90"/>
      <c r="B13" s="105" t="s">
        <v>245</v>
      </c>
      <c r="C13" s="128">
        <v>0.3</v>
      </c>
      <c r="D13" s="1">
        <f t="shared" si="2"/>
        <v>2.6999999999999997</v>
      </c>
      <c r="F13" s="33"/>
      <c r="G13" s="33"/>
      <c r="H13" s="33"/>
      <c r="I13" s="33">
        <f>D13*12</f>
        <v>32.4</v>
      </c>
      <c r="K13" s="33">
        <f t="shared" si="1"/>
        <v>94.499999999999986</v>
      </c>
      <c r="P13" s="33"/>
    </row>
    <row r="14" spans="1:16">
      <c r="A14" s="90"/>
      <c r="B14" s="105" t="s">
        <v>246</v>
      </c>
      <c r="C14" s="128">
        <v>0.3</v>
      </c>
      <c r="D14" s="1">
        <f t="shared" ref="D14:D18" si="3">C14*9</f>
        <v>2.6999999999999997</v>
      </c>
      <c r="F14" s="33">
        <f>D14*15</f>
        <v>40.499999999999993</v>
      </c>
      <c r="G14" s="33"/>
      <c r="H14" s="33"/>
      <c r="I14" s="33"/>
      <c r="K14" s="33">
        <f t="shared" si="1"/>
        <v>94.499999999999986</v>
      </c>
      <c r="P14" s="33"/>
    </row>
    <row r="15" spans="1:16">
      <c r="A15" s="90"/>
      <c r="B15" s="105" t="s">
        <v>247</v>
      </c>
      <c r="C15" s="128">
        <v>0.3</v>
      </c>
      <c r="D15" s="1">
        <f t="shared" si="3"/>
        <v>2.6999999999999997</v>
      </c>
      <c r="F15" s="33"/>
      <c r="G15" s="33"/>
      <c r="H15" s="33"/>
      <c r="I15" s="33">
        <f>D15*12</f>
        <v>32.4</v>
      </c>
      <c r="K15" s="33">
        <f t="shared" si="1"/>
        <v>94.499999999999986</v>
      </c>
      <c r="P15" s="33"/>
    </row>
    <row r="16" spans="1:16">
      <c r="A16" s="90"/>
      <c r="B16" s="105" t="s">
        <v>248</v>
      </c>
      <c r="C16" s="128">
        <v>0.3</v>
      </c>
      <c r="D16" s="1">
        <f t="shared" si="3"/>
        <v>2.6999999999999997</v>
      </c>
      <c r="F16" s="33">
        <f>D16*15</f>
        <v>40.499999999999993</v>
      </c>
      <c r="G16" s="33"/>
      <c r="H16" s="33"/>
      <c r="I16" s="33"/>
      <c r="K16" s="33">
        <f t="shared" si="1"/>
        <v>94.499999999999986</v>
      </c>
      <c r="P16" s="33"/>
    </row>
    <row r="17" spans="1:16">
      <c r="A17" s="90"/>
      <c r="B17" s="105" t="s">
        <v>249</v>
      </c>
      <c r="C17" s="128">
        <v>0.3</v>
      </c>
      <c r="D17" s="1">
        <f t="shared" si="3"/>
        <v>2.6999999999999997</v>
      </c>
      <c r="F17" s="33"/>
      <c r="G17" s="33"/>
      <c r="H17" s="33"/>
      <c r="I17" s="33">
        <f>D17*12</f>
        <v>32.4</v>
      </c>
      <c r="K17" s="33">
        <f t="shared" si="1"/>
        <v>94.499999999999986</v>
      </c>
      <c r="P17" s="33"/>
    </row>
    <row r="18" spans="1:16">
      <c r="A18" s="90"/>
      <c r="B18" s="105" t="s">
        <v>250</v>
      </c>
      <c r="C18" s="128">
        <v>0.5</v>
      </c>
      <c r="D18" s="1">
        <f t="shared" si="3"/>
        <v>4.5</v>
      </c>
      <c r="F18" s="33"/>
      <c r="G18" s="33"/>
      <c r="H18" s="33">
        <f>D18*15</f>
        <v>67.5</v>
      </c>
      <c r="I18" s="33"/>
      <c r="K18" s="33">
        <f t="shared" si="1"/>
        <v>157.5</v>
      </c>
      <c r="P18" s="33"/>
    </row>
    <row r="19" spans="1:16">
      <c r="A19" s="90"/>
      <c r="B19" s="105" t="s">
        <v>251</v>
      </c>
      <c r="C19" s="128">
        <v>0.5</v>
      </c>
      <c r="D19" s="1">
        <f t="shared" ref="D19:D24" si="4">C19*9</f>
        <v>4.5</v>
      </c>
      <c r="G19" s="33"/>
      <c r="H19" s="33">
        <f>D19*15</f>
        <v>67.5</v>
      </c>
      <c r="I19" s="33"/>
      <c r="K19" s="33">
        <f t="shared" si="1"/>
        <v>157.5</v>
      </c>
      <c r="P19" s="33"/>
    </row>
    <row r="20" spans="1:16">
      <c r="A20" s="90"/>
      <c r="B20" s="105" t="s">
        <v>252</v>
      </c>
      <c r="C20" s="128">
        <v>0.3</v>
      </c>
      <c r="D20" s="1">
        <f t="shared" si="4"/>
        <v>2.6999999999999997</v>
      </c>
      <c r="F20" s="33">
        <f>D20*15</f>
        <v>40.499999999999993</v>
      </c>
      <c r="G20" s="33"/>
      <c r="H20" s="33"/>
      <c r="I20" s="33"/>
      <c r="K20" s="33">
        <f t="shared" si="1"/>
        <v>94.499999999999986</v>
      </c>
      <c r="P20" s="33"/>
    </row>
    <row r="21" spans="1:16">
      <c r="A21" s="90"/>
      <c r="B21" s="105" t="s">
        <v>255</v>
      </c>
      <c r="C21" s="128">
        <v>0.5</v>
      </c>
      <c r="D21" s="1">
        <f t="shared" si="4"/>
        <v>4.5</v>
      </c>
      <c r="G21" s="33"/>
      <c r="H21" s="33"/>
      <c r="I21" s="33">
        <f>D21*12</f>
        <v>54</v>
      </c>
      <c r="K21" s="33">
        <f t="shared" si="1"/>
        <v>157.5</v>
      </c>
      <c r="P21" s="33"/>
    </row>
    <row r="22" spans="1:16">
      <c r="A22" s="90"/>
      <c r="B22" s="105" t="s">
        <v>193</v>
      </c>
      <c r="C22" s="128">
        <v>0.5</v>
      </c>
      <c r="D22" s="1">
        <f t="shared" si="4"/>
        <v>4.5</v>
      </c>
      <c r="G22" s="33"/>
      <c r="H22" s="33">
        <f>D22*15</f>
        <v>67.5</v>
      </c>
      <c r="I22" s="33"/>
      <c r="K22" s="33">
        <f t="shared" si="1"/>
        <v>157.5</v>
      </c>
      <c r="P22" s="33"/>
    </row>
    <row r="23" spans="1:16">
      <c r="A23" s="90"/>
      <c r="B23" s="105" t="s">
        <v>257</v>
      </c>
      <c r="C23" s="128">
        <v>0.3</v>
      </c>
      <c r="D23" s="1">
        <f t="shared" si="4"/>
        <v>2.6999999999999997</v>
      </c>
      <c r="G23" s="33"/>
      <c r="H23" s="33"/>
      <c r="I23" s="33">
        <f>D23*12</f>
        <v>32.4</v>
      </c>
      <c r="K23" s="33">
        <f t="shared" si="1"/>
        <v>94.499999999999986</v>
      </c>
      <c r="P23" s="33"/>
    </row>
    <row r="24" spans="1:16">
      <c r="A24" s="90"/>
      <c r="B24" s="105" t="s">
        <v>258</v>
      </c>
      <c r="C24" s="128">
        <v>0.3</v>
      </c>
      <c r="D24" s="1">
        <f t="shared" si="4"/>
        <v>2.6999999999999997</v>
      </c>
      <c r="F24" s="33">
        <f>D24*15</f>
        <v>40.499999999999993</v>
      </c>
      <c r="G24" s="33"/>
      <c r="H24" s="33"/>
      <c r="I24" s="33"/>
      <c r="K24" s="33">
        <f t="shared" si="1"/>
        <v>94.499999999999986</v>
      </c>
      <c r="P24" s="33"/>
    </row>
    <row r="25" spans="1:16">
      <c r="A25" s="90"/>
      <c r="B25" s="105" t="s">
        <v>259</v>
      </c>
      <c r="C25" s="128">
        <v>0.5</v>
      </c>
      <c r="D25" s="1">
        <f t="shared" ref="D25:D26" si="5">C25*9</f>
        <v>4.5</v>
      </c>
      <c r="G25" s="33"/>
      <c r="H25" s="33">
        <f>D25*15</f>
        <v>67.5</v>
      </c>
      <c r="I25" s="33"/>
      <c r="K25" s="33">
        <f t="shared" si="1"/>
        <v>157.5</v>
      </c>
      <c r="P25" s="33"/>
    </row>
    <row r="26" spans="1:16">
      <c r="A26" s="90"/>
      <c r="B26" s="105" t="s">
        <v>265</v>
      </c>
      <c r="C26" s="128">
        <v>0.3</v>
      </c>
      <c r="D26" s="1">
        <f t="shared" si="5"/>
        <v>2.6999999999999997</v>
      </c>
      <c r="F26" s="134"/>
      <c r="G26" s="134"/>
      <c r="H26" s="33">
        <f>D26*15</f>
        <v>40.499999999999993</v>
      </c>
      <c r="I26" s="33"/>
      <c r="K26" s="33">
        <f t="shared" si="1"/>
        <v>94.499999999999986</v>
      </c>
      <c r="P26" s="33"/>
    </row>
    <row r="27" spans="1:16">
      <c r="A27" s="90"/>
      <c r="B27" s="105" t="s">
        <v>233</v>
      </c>
      <c r="C27" s="128">
        <v>0.5</v>
      </c>
      <c r="D27" s="1">
        <f t="shared" ref="D27:D30" si="6">C27*9</f>
        <v>4.5</v>
      </c>
      <c r="F27" s="33">
        <f>D27*15</f>
        <v>67.5</v>
      </c>
      <c r="G27" s="134"/>
      <c r="H27" s="134"/>
      <c r="I27" s="33"/>
      <c r="K27" s="33">
        <f t="shared" si="1"/>
        <v>157.5</v>
      </c>
      <c r="P27" s="33"/>
    </row>
    <row r="28" spans="1:16">
      <c r="A28" s="122"/>
      <c r="B28" s="105" t="s">
        <v>266</v>
      </c>
      <c r="C28" s="128">
        <v>0.5</v>
      </c>
      <c r="D28" s="1">
        <f t="shared" si="6"/>
        <v>4.5</v>
      </c>
      <c r="F28" s="33">
        <f>D28*15</f>
        <v>67.5</v>
      </c>
      <c r="G28" s="134"/>
      <c r="H28" s="134"/>
      <c r="I28" s="33"/>
      <c r="K28" s="33">
        <f t="shared" si="1"/>
        <v>157.5</v>
      </c>
      <c r="P28" s="33"/>
    </row>
    <row r="29" spans="1:16">
      <c r="A29" s="122"/>
      <c r="B29" s="105" t="s">
        <v>267</v>
      </c>
      <c r="C29" s="128">
        <v>0.3</v>
      </c>
      <c r="D29" s="1">
        <f t="shared" si="6"/>
        <v>2.6999999999999997</v>
      </c>
      <c r="F29" s="134"/>
      <c r="G29" s="134"/>
      <c r="H29" s="33">
        <f>D29*15</f>
        <v>40.499999999999993</v>
      </c>
      <c r="I29" s="33"/>
      <c r="K29" s="33">
        <f t="shared" si="1"/>
        <v>94.499999999999986</v>
      </c>
      <c r="P29" s="33"/>
    </row>
    <row r="30" spans="1:16">
      <c r="A30" s="122"/>
      <c r="B30" s="105" t="s">
        <v>268</v>
      </c>
      <c r="C30" s="76">
        <v>1</v>
      </c>
      <c r="D30" s="1">
        <f t="shared" si="6"/>
        <v>9</v>
      </c>
      <c r="F30" s="134"/>
      <c r="G30" s="134"/>
      <c r="H30" s="33">
        <f t="shared" ref="H30:H34" si="7">D30*15</f>
        <v>135</v>
      </c>
      <c r="I30" s="33"/>
      <c r="K30" s="33">
        <f t="shared" si="1"/>
        <v>315</v>
      </c>
      <c r="P30" s="33"/>
    </row>
    <row r="31" spans="1:16">
      <c r="A31" s="122"/>
      <c r="B31" s="105" t="s">
        <v>162</v>
      </c>
      <c r="C31" s="128">
        <v>0.5</v>
      </c>
      <c r="D31" s="1">
        <f t="shared" ref="D31:D42" si="8">C31*9</f>
        <v>4.5</v>
      </c>
      <c r="F31" s="134"/>
      <c r="G31" s="134"/>
      <c r="H31" s="33">
        <f t="shared" si="7"/>
        <v>67.5</v>
      </c>
      <c r="I31" s="33"/>
      <c r="K31" s="33">
        <f t="shared" si="1"/>
        <v>157.5</v>
      </c>
      <c r="P31" s="33"/>
    </row>
    <row r="32" spans="1:16">
      <c r="A32" s="130"/>
      <c r="B32" s="105" t="s">
        <v>269</v>
      </c>
      <c r="C32" s="128">
        <v>0.3</v>
      </c>
      <c r="D32" s="1">
        <f t="shared" si="8"/>
        <v>2.6999999999999997</v>
      </c>
      <c r="G32" s="33"/>
      <c r="H32" s="33">
        <f t="shared" si="7"/>
        <v>40.499999999999993</v>
      </c>
      <c r="I32" s="33"/>
      <c r="K32" s="33">
        <f t="shared" si="1"/>
        <v>94.499999999999986</v>
      </c>
      <c r="P32" s="33"/>
    </row>
    <row r="33" spans="1:19">
      <c r="A33" s="130"/>
      <c r="B33" s="105" t="s">
        <v>270</v>
      </c>
      <c r="C33" s="128">
        <v>0.3</v>
      </c>
      <c r="D33" s="1">
        <f t="shared" si="8"/>
        <v>2.6999999999999997</v>
      </c>
      <c r="G33" s="33"/>
      <c r="H33" s="33">
        <f t="shared" si="7"/>
        <v>40.499999999999993</v>
      </c>
      <c r="I33" s="33"/>
      <c r="K33" s="33">
        <f t="shared" si="1"/>
        <v>94.499999999999986</v>
      </c>
      <c r="P33" s="33"/>
    </row>
    <row r="34" spans="1:19">
      <c r="A34" s="130"/>
      <c r="B34" s="105" t="s">
        <v>271</v>
      </c>
      <c r="C34" s="128">
        <v>0.3</v>
      </c>
      <c r="D34" s="1">
        <f t="shared" si="8"/>
        <v>2.6999999999999997</v>
      </c>
      <c r="G34" s="33"/>
      <c r="H34" s="33">
        <f t="shared" si="7"/>
        <v>40.499999999999993</v>
      </c>
      <c r="I34" s="33"/>
      <c r="K34" s="33">
        <f t="shared" si="1"/>
        <v>94.499999999999986</v>
      </c>
      <c r="P34" s="33"/>
    </row>
    <row r="35" spans="1:19">
      <c r="A35" s="130"/>
      <c r="B35" s="105" t="s">
        <v>272</v>
      </c>
      <c r="C35" s="128">
        <v>0.3</v>
      </c>
      <c r="D35" s="1">
        <f t="shared" si="8"/>
        <v>2.6999999999999997</v>
      </c>
      <c r="F35" s="33">
        <f>D35*15</f>
        <v>40.499999999999993</v>
      </c>
      <c r="G35" s="33"/>
      <c r="H35" s="33"/>
      <c r="I35" s="33"/>
      <c r="K35" s="33">
        <f t="shared" si="1"/>
        <v>94.499999999999986</v>
      </c>
      <c r="P35" s="33"/>
    </row>
    <row r="36" spans="1:19">
      <c r="A36" s="130"/>
      <c r="B36" s="105" t="s">
        <v>273</v>
      </c>
      <c r="C36" s="128">
        <v>0.3</v>
      </c>
      <c r="D36" s="1">
        <f t="shared" si="8"/>
        <v>2.6999999999999997</v>
      </c>
      <c r="F36" s="33">
        <f t="shared" ref="F36:F37" si="9">D36*15</f>
        <v>40.499999999999993</v>
      </c>
      <c r="G36" s="33"/>
      <c r="H36" s="33"/>
      <c r="I36" s="33"/>
      <c r="K36" s="33">
        <f t="shared" si="1"/>
        <v>94.499999999999986</v>
      </c>
      <c r="P36" s="33"/>
    </row>
    <row r="37" spans="1:19">
      <c r="A37" s="130"/>
      <c r="B37" s="105" t="s">
        <v>274</v>
      </c>
      <c r="C37" s="128">
        <v>0.3</v>
      </c>
      <c r="D37" s="1">
        <f t="shared" si="8"/>
        <v>2.6999999999999997</v>
      </c>
      <c r="F37" s="33">
        <f t="shared" si="9"/>
        <v>40.499999999999993</v>
      </c>
      <c r="G37" s="33"/>
      <c r="H37" s="33"/>
      <c r="I37" s="33"/>
      <c r="K37" s="33">
        <f t="shared" si="1"/>
        <v>94.499999999999986</v>
      </c>
      <c r="P37" s="33"/>
    </row>
    <row r="38" spans="1:19">
      <c r="A38" s="130"/>
      <c r="B38" s="105" t="s">
        <v>275</v>
      </c>
      <c r="C38" s="128">
        <v>0.3</v>
      </c>
      <c r="D38" s="1">
        <f t="shared" si="8"/>
        <v>2.6999999999999997</v>
      </c>
      <c r="G38" s="33"/>
      <c r="H38" s="33"/>
      <c r="I38" s="33">
        <f>D38*12</f>
        <v>32.4</v>
      </c>
      <c r="K38" s="33">
        <f t="shared" si="1"/>
        <v>94.499999999999986</v>
      </c>
      <c r="P38" s="33"/>
    </row>
    <row r="39" spans="1:19">
      <c r="A39" s="130"/>
      <c r="B39" s="105" t="s">
        <v>276</v>
      </c>
      <c r="C39" s="128">
        <v>0.3</v>
      </c>
      <c r="D39" s="1">
        <f t="shared" si="8"/>
        <v>2.6999999999999997</v>
      </c>
      <c r="G39" s="33"/>
      <c r="H39" s="33"/>
      <c r="I39" s="33">
        <f t="shared" ref="I39:I41" si="10">D39*12</f>
        <v>32.4</v>
      </c>
      <c r="K39" s="33">
        <f t="shared" si="1"/>
        <v>94.499999999999986</v>
      </c>
      <c r="P39" s="33"/>
    </row>
    <row r="40" spans="1:19">
      <c r="A40" s="130"/>
      <c r="B40" s="105" t="s">
        <v>277</v>
      </c>
      <c r="C40" s="128">
        <v>0.3</v>
      </c>
      <c r="D40" s="1">
        <f t="shared" si="8"/>
        <v>2.6999999999999997</v>
      </c>
      <c r="G40" s="33"/>
      <c r="H40" s="33"/>
      <c r="I40" s="33">
        <f t="shared" si="10"/>
        <v>32.4</v>
      </c>
      <c r="K40" s="33">
        <f t="shared" si="1"/>
        <v>94.499999999999986</v>
      </c>
      <c r="P40" s="33"/>
    </row>
    <row r="41" spans="1:19">
      <c r="A41" s="130"/>
      <c r="B41" s="105" t="s">
        <v>278</v>
      </c>
      <c r="C41" s="128">
        <v>0.3</v>
      </c>
      <c r="D41" s="1">
        <f t="shared" si="8"/>
        <v>2.6999999999999997</v>
      </c>
      <c r="G41" s="33"/>
      <c r="H41" s="33"/>
      <c r="I41" s="33">
        <f t="shared" si="10"/>
        <v>32.4</v>
      </c>
      <c r="K41" s="33">
        <f t="shared" si="1"/>
        <v>94.499999999999986</v>
      </c>
      <c r="P41" s="33"/>
    </row>
    <row r="42" spans="1:19">
      <c r="A42" s="130"/>
      <c r="B42" s="105" t="s">
        <v>279</v>
      </c>
      <c r="C42" s="128">
        <v>0.3</v>
      </c>
      <c r="D42" s="1">
        <f t="shared" si="8"/>
        <v>2.6999999999999997</v>
      </c>
      <c r="G42" s="33"/>
      <c r="H42" s="33">
        <f t="shared" ref="H42" si="11">D42*15</f>
        <v>40.499999999999993</v>
      </c>
      <c r="I42" s="33"/>
      <c r="K42" s="33">
        <f t="shared" si="1"/>
        <v>94.499999999999986</v>
      </c>
      <c r="P42" s="33"/>
    </row>
    <row r="43" spans="1:19">
      <c r="B43" s="105"/>
      <c r="C43" s="76"/>
      <c r="F43" s="33"/>
      <c r="I43" s="33"/>
      <c r="K43" s="33"/>
    </row>
    <row r="44" spans="1:19" ht="25" customHeight="1">
      <c r="A44" s="111"/>
      <c r="B44" s="125" t="s">
        <v>197</v>
      </c>
      <c r="C44" s="23"/>
      <c r="D44" s="23"/>
      <c r="E44" s="23"/>
      <c r="F44" s="23"/>
      <c r="G44" s="23"/>
      <c r="H44" s="23"/>
      <c r="I44" s="23"/>
      <c r="J44" s="23"/>
      <c r="K44" s="23"/>
    </row>
    <row r="45" spans="1:19">
      <c r="A45" s="126"/>
      <c r="B45" s="105"/>
      <c r="C45" s="76">
        <v>0</v>
      </c>
      <c r="D45" s="1">
        <f t="shared" ref="D45" si="12">C45*9</f>
        <v>0</v>
      </c>
      <c r="F45" s="33"/>
      <c r="G45" s="33"/>
      <c r="H45" s="33"/>
      <c r="I45" s="33"/>
      <c r="K45" s="33">
        <f t="shared" ref="K45" si="13">D45*35</f>
        <v>0</v>
      </c>
    </row>
    <row r="46" spans="1:19">
      <c r="A46" s="126"/>
      <c r="B46" s="105"/>
      <c r="C46" s="76"/>
      <c r="G46" s="33"/>
      <c r="H46" s="33"/>
      <c r="K46" s="33"/>
      <c r="R46" s="4"/>
      <c r="S46" s="4"/>
    </row>
    <row r="47" spans="1:19" ht="21">
      <c r="A47" s="116"/>
      <c r="B47" s="105"/>
      <c r="C47" s="76"/>
      <c r="E47" s="131" t="s">
        <v>260</v>
      </c>
      <c r="G47" s="33"/>
      <c r="H47" s="33"/>
      <c r="I47" s="33"/>
      <c r="K47" s="33"/>
      <c r="R47" s="4"/>
      <c r="S47" s="4"/>
    </row>
    <row r="48" spans="1:19" ht="25" customHeight="1">
      <c r="A48" s="125" t="s">
        <v>81</v>
      </c>
      <c r="B48" s="125" t="s">
        <v>196</v>
      </c>
      <c r="C48" s="23"/>
      <c r="D48" s="23"/>
      <c r="E48" s="23"/>
      <c r="F48" s="23"/>
      <c r="G48" s="23"/>
      <c r="H48" s="23"/>
      <c r="I48" s="23"/>
      <c r="J48" s="23"/>
      <c r="K48" s="23"/>
    </row>
    <row r="49" spans="1:19">
      <c r="A49" s="132"/>
      <c r="B49" s="105" t="s">
        <v>253</v>
      </c>
      <c r="C49" s="128">
        <v>0.5</v>
      </c>
      <c r="D49" s="1">
        <f t="shared" ref="D49" si="14">C49*9</f>
        <v>4.5</v>
      </c>
      <c r="F49" s="33">
        <f>D49*15</f>
        <v>67.5</v>
      </c>
      <c r="G49" s="33"/>
      <c r="H49" s="33"/>
      <c r="I49" s="33"/>
      <c r="K49" s="33">
        <f t="shared" ref="K49:K52" si="15">D49*35</f>
        <v>157.5</v>
      </c>
    </row>
    <row r="50" spans="1:19">
      <c r="A50" s="132"/>
      <c r="B50" s="105" t="s">
        <v>254</v>
      </c>
      <c r="C50" s="128">
        <v>0.5</v>
      </c>
      <c r="D50" s="1">
        <f t="shared" ref="D50:D52" si="16">C50*9</f>
        <v>4.5</v>
      </c>
      <c r="F50" s="33">
        <f>D50*15</f>
        <v>67.5</v>
      </c>
      <c r="G50" s="33"/>
      <c r="H50" s="33"/>
      <c r="I50" s="33"/>
      <c r="K50" s="33">
        <f t="shared" si="15"/>
        <v>157.5</v>
      </c>
    </row>
    <row r="51" spans="1:19">
      <c r="A51" s="132"/>
      <c r="B51" s="105" t="s">
        <v>226</v>
      </c>
      <c r="C51" s="128">
        <v>0.5</v>
      </c>
      <c r="D51" s="1">
        <f t="shared" si="16"/>
        <v>4.5</v>
      </c>
      <c r="F51" s="33"/>
      <c r="G51" s="33"/>
      <c r="H51" s="33"/>
      <c r="I51" s="33">
        <f>D51*12</f>
        <v>54</v>
      </c>
      <c r="K51" s="33">
        <f t="shared" si="15"/>
        <v>157.5</v>
      </c>
    </row>
    <row r="52" spans="1:19">
      <c r="A52" s="132"/>
      <c r="B52" s="105" t="s">
        <v>256</v>
      </c>
      <c r="C52" s="128">
        <v>0.5</v>
      </c>
      <c r="D52" s="1">
        <f t="shared" si="16"/>
        <v>4.5</v>
      </c>
      <c r="F52" s="33"/>
      <c r="G52" s="33"/>
      <c r="H52" s="33">
        <f>D52*15</f>
        <v>67.5</v>
      </c>
      <c r="I52" s="33"/>
      <c r="K52" s="33">
        <f t="shared" si="15"/>
        <v>157.5</v>
      </c>
    </row>
    <row r="53" spans="1:19">
      <c r="A53" s="126"/>
      <c r="B53" s="105"/>
      <c r="C53" s="76"/>
      <c r="F53" s="33"/>
      <c r="G53" s="33"/>
      <c r="H53" s="33"/>
      <c r="I53" s="33"/>
      <c r="K53" s="33"/>
    </row>
    <row r="54" spans="1:19">
      <c r="A54" s="126"/>
      <c r="B54" s="105"/>
      <c r="C54" s="76"/>
      <c r="F54" s="33"/>
      <c r="G54" s="33"/>
      <c r="H54" s="33"/>
      <c r="I54" s="33"/>
      <c r="K54" s="33"/>
    </row>
    <row r="55" spans="1:19" ht="25" customHeight="1">
      <c r="A55" s="111"/>
      <c r="B55" s="125" t="s">
        <v>197</v>
      </c>
      <c r="C55" s="23"/>
      <c r="D55" s="23"/>
      <c r="E55" s="23"/>
      <c r="F55" s="23"/>
      <c r="G55" s="23"/>
      <c r="H55" s="23"/>
      <c r="I55" s="23"/>
      <c r="J55" s="23"/>
      <c r="K55" s="23"/>
    </row>
    <row r="56" spans="1:19">
      <c r="B56" s="105"/>
      <c r="C56" s="76">
        <v>0</v>
      </c>
      <c r="D56" s="1">
        <f t="shared" ref="D56" si="17">C56*9</f>
        <v>0</v>
      </c>
      <c r="F56" s="33"/>
      <c r="G56" s="33"/>
      <c r="K56" s="33">
        <f>D56*35</f>
        <v>0</v>
      </c>
      <c r="Q56" s="4"/>
      <c r="R56" s="4"/>
      <c r="S56" s="4"/>
    </row>
    <row r="57" spans="1:19">
      <c r="B57" s="105"/>
      <c r="C57" s="76"/>
      <c r="F57" s="33"/>
      <c r="G57" s="33"/>
      <c r="K57" s="33"/>
      <c r="Q57" s="4"/>
      <c r="R57" s="4"/>
      <c r="S57" s="4"/>
    </row>
    <row r="58" spans="1:19">
      <c r="B58" s="114"/>
      <c r="C58" s="76"/>
      <c r="F58" s="33"/>
      <c r="G58" s="33"/>
      <c r="K58" s="33"/>
      <c r="Q58" s="4"/>
      <c r="R58" s="4"/>
      <c r="S58" s="4"/>
    </row>
    <row r="59" spans="1:19">
      <c r="Q59" s="4"/>
      <c r="R59" s="4"/>
      <c r="S59" s="4"/>
    </row>
    <row r="60" spans="1:19">
      <c r="A60" s="118" t="s">
        <v>199</v>
      </c>
      <c r="B60" s="57"/>
      <c r="C60" s="11">
        <f>SUM(C6:C56)</f>
        <v>16.900000000000006</v>
      </c>
      <c r="D60" s="11">
        <f>SUM(D6:D57)</f>
        <v>152.10000000000002</v>
      </c>
      <c r="E60" s="58"/>
      <c r="F60" s="59">
        <f>SUM(F6:F54)</f>
        <v>661.5</v>
      </c>
      <c r="G60" s="59">
        <f>SUM(G6:G59)</f>
        <v>0</v>
      </c>
      <c r="H60" s="59">
        <f>SUM(H6:H54)</f>
        <v>958.5</v>
      </c>
      <c r="I60" s="59">
        <f>SUM(I6:I54)</f>
        <v>529.19999999999982</v>
      </c>
      <c r="J60" s="59">
        <f>SUM(F60:I60)</f>
        <v>2149.1999999999998</v>
      </c>
      <c r="K60" s="60">
        <f>SUM(K6:K59)</f>
        <v>5323.5</v>
      </c>
      <c r="L60" s="39"/>
      <c r="M60" s="29" t="s">
        <v>2</v>
      </c>
      <c r="N60" s="16" t="s">
        <v>1</v>
      </c>
    </row>
    <row r="61" spans="1:19">
      <c r="F61" s="112">
        <f t="shared" ref="F61:J61" si="18">F60*40</f>
        <v>26460</v>
      </c>
      <c r="G61" s="112">
        <f>G60*40</f>
        <v>0</v>
      </c>
      <c r="H61" s="112">
        <f t="shared" si="18"/>
        <v>38340</v>
      </c>
      <c r="I61" s="112">
        <f t="shared" si="18"/>
        <v>21167.999999999993</v>
      </c>
      <c r="J61" s="112">
        <f t="shared" si="18"/>
        <v>85968</v>
      </c>
      <c r="K61" s="112">
        <f>K60*40</f>
        <v>212940</v>
      </c>
      <c r="L61" s="5" t="s">
        <v>4</v>
      </c>
      <c r="M61" s="7">
        <f t="shared" ref="M61:M63" si="19">N61*40</f>
        <v>212940</v>
      </c>
      <c r="N61" s="8">
        <f>K60</f>
        <v>5323.5</v>
      </c>
      <c r="S61" s="4"/>
    </row>
    <row r="62" spans="1:19">
      <c r="G62" s="33"/>
      <c r="H62" s="123"/>
      <c r="I62" s="123"/>
      <c r="L62" s="5" t="s">
        <v>3</v>
      </c>
      <c r="M62" s="7">
        <f t="shared" si="19"/>
        <v>202293</v>
      </c>
      <c r="N62" s="8">
        <f>N61-N61*0.05</f>
        <v>5057.3249999999998</v>
      </c>
    </row>
    <row r="63" spans="1:19">
      <c r="G63" s="33"/>
      <c r="J63" s="33"/>
      <c r="L63" s="5" t="s">
        <v>5</v>
      </c>
      <c r="M63" s="7">
        <f t="shared" si="19"/>
        <v>85968</v>
      </c>
      <c r="N63" s="8">
        <f>J60</f>
        <v>2149.1999999999998</v>
      </c>
    </row>
    <row r="64" spans="1:19">
      <c r="B64" s="1"/>
      <c r="L64" s="37" t="s">
        <v>18</v>
      </c>
      <c r="M64" s="7">
        <f>N64*40</f>
        <v>116325</v>
      </c>
      <c r="N64" s="8">
        <f>N62-N63</f>
        <v>2908.125</v>
      </c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A7365-C3AE-574A-AFE6-428E1194B539}">
  <dimension ref="A1:S63"/>
  <sheetViews>
    <sheetView zoomScaleNormal="100" workbookViewId="0">
      <pane ySplit="2" topLeftCell="A16" activePane="bottomLeft" state="frozen"/>
      <selection pane="bottomLeft" activeCell="B2" sqref="B2"/>
    </sheetView>
  </sheetViews>
  <sheetFormatPr baseColWidth="10" defaultRowHeight="16"/>
  <cols>
    <col min="1" max="1" width="12.1640625" style="1" customWidth="1"/>
    <col min="2" max="2" width="25.1640625" style="2" customWidth="1"/>
    <col min="3" max="4" width="10.83203125" style="1" customWidth="1"/>
    <col min="5" max="5" width="9.83203125" style="1" customWidth="1"/>
    <col min="6" max="6" width="10.33203125" style="1" customWidth="1"/>
    <col min="7" max="9" width="10.83203125" style="1"/>
    <col min="10" max="10" width="11.1640625" style="1" customWidth="1"/>
    <col min="11" max="11" width="10.6640625" style="1" customWidth="1"/>
    <col min="12" max="12" width="19.5" style="1" customWidth="1"/>
    <col min="13" max="13" width="12.33203125" style="1" customWidth="1"/>
    <col min="14" max="14" width="14" style="1" bestFit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9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9">
      <c r="B2" s="104" t="s">
        <v>9</v>
      </c>
      <c r="F2" s="41" t="s">
        <v>0</v>
      </c>
      <c r="G2" s="119" t="s">
        <v>206</v>
      </c>
      <c r="H2" s="38" t="s">
        <v>7</v>
      </c>
      <c r="I2" s="109" t="s">
        <v>108</v>
      </c>
    </row>
    <row r="3" spans="1:19">
      <c r="F3" s="38"/>
      <c r="G3" s="38"/>
      <c r="H3" s="38"/>
      <c r="I3" s="38"/>
    </row>
    <row r="4" spans="1:19" ht="21">
      <c r="A4" s="116" t="s">
        <v>82</v>
      </c>
    </row>
    <row r="5" spans="1:19">
      <c r="A5" s="117" t="s">
        <v>196</v>
      </c>
      <c r="B5" s="23" t="s">
        <v>198</v>
      </c>
      <c r="C5" s="56" t="s">
        <v>44</v>
      </c>
      <c r="D5" s="24" t="s">
        <v>8</v>
      </c>
      <c r="E5" s="25" t="s">
        <v>6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</row>
    <row r="6" spans="1:19">
      <c r="A6" s="90"/>
      <c r="B6" s="105" t="s">
        <v>200</v>
      </c>
      <c r="C6" s="76">
        <v>0.3</v>
      </c>
      <c r="D6" s="1">
        <f>C6*9</f>
        <v>2.6999999999999997</v>
      </c>
      <c r="G6" s="33"/>
      <c r="H6" s="33"/>
      <c r="I6" s="33">
        <f>D6*12</f>
        <v>32.4</v>
      </c>
      <c r="K6" s="8">
        <f>D6*35</f>
        <v>94.499999999999986</v>
      </c>
      <c r="P6" s="33"/>
    </row>
    <row r="7" spans="1:19">
      <c r="A7" s="90"/>
      <c r="B7" s="105" t="s">
        <v>201</v>
      </c>
      <c r="C7" s="76">
        <v>0.3</v>
      </c>
      <c r="D7" s="1">
        <f>C7*9</f>
        <v>2.6999999999999997</v>
      </c>
      <c r="G7" s="33"/>
      <c r="H7" s="33"/>
      <c r="I7" s="33">
        <f>D7*12</f>
        <v>32.4</v>
      </c>
      <c r="K7" s="8">
        <f>D7*35</f>
        <v>94.499999999999986</v>
      </c>
      <c r="P7" s="33"/>
    </row>
    <row r="8" spans="1:19">
      <c r="A8" s="90"/>
      <c r="B8" s="105" t="s">
        <v>202</v>
      </c>
      <c r="C8" s="76">
        <v>0.3</v>
      </c>
      <c r="D8" s="1">
        <f>C8*9</f>
        <v>2.6999999999999997</v>
      </c>
      <c r="G8" s="33"/>
      <c r="H8" s="33">
        <f>D8*15</f>
        <v>40.499999999999993</v>
      </c>
      <c r="I8" s="33"/>
      <c r="K8" s="8">
        <f>D8*35</f>
        <v>94.499999999999986</v>
      </c>
    </row>
    <row r="9" spans="1:19">
      <c r="A9" s="90"/>
      <c r="B9" s="105" t="s">
        <v>207</v>
      </c>
      <c r="C9" s="76">
        <v>0.3</v>
      </c>
      <c r="D9" s="1">
        <f t="shared" ref="D9:D21" si="0">C9*9</f>
        <v>2.6999999999999997</v>
      </c>
      <c r="H9" s="33">
        <f>D9*15</f>
        <v>40.499999999999993</v>
      </c>
      <c r="K9" s="8">
        <f t="shared" ref="K9:K21" si="1">D9*35</f>
        <v>94.499999999999986</v>
      </c>
      <c r="R9" s="4"/>
      <c r="S9" s="4"/>
    </row>
    <row r="10" spans="1:19">
      <c r="A10" s="90"/>
      <c r="B10" s="105" t="s">
        <v>208</v>
      </c>
      <c r="C10" s="76">
        <v>1</v>
      </c>
      <c r="D10" s="1">
        <f t="shared" si="0"/>
        <v>9</v>
      </c>
      <c r="F10" s="33"/>
      <c r="G10" s="33"/>
      <c r="H10" s="33"/>
      <c r="I10" s="33">
        <f>D10*12</f>
        <v>108</v>
      </c>
      <c r="K10" s="8">
        <f t="shared" si="1"/>
        <v>315</v>
      </c>
      <c r="L10" s="8"/>
      <c r="M10" s="7"/>
      <c r="O10" s="4"/>
    </row>
    <row r="11" spans="1:19">
      <c r="A11" s="90"/>
      <c r="B11" s="105" t="s">
        <v>212</v>
      </c>
      <c r="C11" s="76">
        <v>0.5</v>
      </c>
      <c r="D11" s="1">
        <f t="shared" si="0"/>
        <v>4.5</v>
      </c>
      <c r="F11" s="33"/>
      <c r="G11" s="33"/>
      <c r="H11" s="33">
        <f>D11*15</f>
        <v>67.5</v>
      </c>
      <c r="I11" s="33"/>
      <c r="K11" s="8">
        <f t="shared" si="1"/>
        <v>157.5</v>
      </c>
    </row>
    <row r="12" spans="1:19">
      <c r="A12" s="90"/>
      <c r="B12" s="105" t="s">
        <v>215</v>
      </c>
      <c r="C12" s="76">
        <v>0.3</v>
      </c>
      <c r="D12" s="1">
        <f t="shared" si="0"/>
        <v>2.6999999999999997</v>
      </c>
      <c r="F12" s="33"/>
      <c r="G12" s="33"/>
      <c r="H12" s="33"/>
      <c r="I12" s="33">
        <f>D12*12</f>
        <v>32.4</v>
      </c>
      <c r="K12" s="8">
        <f t="shared" si="1"/>
        <v>94.499999999999986</v>
      </c>
    </row>
    <row r="13" spans="1:19">
      <c r="A13" s="90"/>
      <c r="B13" s="105" t="s">
        <v>216</v>
      </c>
      <c r="C13" s="76">
        <v>0.3</v>
      </c>
      <c r="D13" s="1">
        <f t="shared" si="0"/>
        <v>2.6999999999999997</v>
      </c>
      <c r="F13" s="33"/>
      <c r="G13" s="33"/>
      <c r="H13" s="33">
        <f>D13*15</f>
        <v>40.499999999999993</v>
      </c>
      <c r="I13" s="33"/>
      <c r="K13" s="8">
        <f t="shared" si="1"/>
        <v>94.499999999999986</v>
      </c>
    </row>
    <row r="14" spans="1:19">
      <c r="A14" s="90"/>
      <c r="B14" s="105" t="s">
        <v>218</v>
      </c>
      <c r="C14" s="76">
        <v>0.6</v>
      </c>
      <c r="D14" s="1">
        <f t="shared" si="0"/>
        <v>5.3999999999999995</v>
      </c>
      <c r="F14" s="33">
        <f>D14*15</f>
        <v>80.999999999999986</v>
      </c>
      <c r="G14" s="33"/>
      <c r="H14" s="33"/>
      <c r="I14" s="33"/>
      <c r="K14" s="8">
        <f t="shared" si="1"/>
        <v>188.99999999999997</v>
      </c>
    </row>
    <row r="15" spans="1:19">
      <c r="A15" s="90"/>
      <c r="B15" s="105" t="s">
        <v>219</v>
      </c>
      <c r="C15" s="76">
        <v>0.3</v>
      </c>
      <c r="D15" s="1">
        <f t="shared" si="0"/>
        <v>2.6999999999999997</v>
      </c>
      <c r="F15" s="33">
        <f>D15*15</f>
        <v>40.499999999999993</v>
      </c>
      <c r="G15" s="33"/>
      <c r="H15" s="33"/>
      <c r="I15" s="33"/>
      <c r="K15" s="8">
        <f t="shared" si="1"/>
        <v>94.499999999999986</v>
      </c>
    </row>
    <row r="16" spans="1:19">
      <c r="A16" s="90"/>
      <c r="B16" s="105" t="s">
        <v>224</v>
      </c>
      <c r="C16" s="76">
        <v>0.5</v>
      </c>
      <c r="D16" s="1">
        <f>C16*9</f>
        <v>4.5</v>
      </c>
      <c r="F16" s="33"/>
      <c r="G16" s="33"/>
      <c r="H16" s="33">
        <f>D16*15</f>
        <v>67.5</v>
      </c>
      <c r="I16" s="33"/>
      <c r="K16" s="8">
        <f>D16*35</f>
        <v>157.5</v>
      </c>
      <c r="P16" s="33"/>
    </row>
    <row r="17" spans="1:16">
      <c r="A17" s="90"/>
      <c r="B17" s="105" t="s">
        <v>222</v>
      </c>
      <c r="C17" s="76">
        <v>0.3</v>
      </c>
      <c r="D17" s="1">
        <f>C17*9</f>
        <v>2.6999999999999997</v>
      </c>
      <c r="F17" s="33"/>
      <c r="G17" s="33"/>
      <c r="H17" s="33"/>
      <c r="I17" s="33">
        <f>D17*12</f>
        <v>32.4</v>
      </c>
      <c r="K17" s="8">
        <f>D17*35</f>
        <v>94.499999999999986</v>
      </c>
      <c r="P17" s="33"/>
    </row>
    <row r="18" spans="1:16">
      <c r="A18" s="90"/>
      <c r="B18" s="105" t="s">
        <v>223</v>
      </c>
      <c r="C18" s="76">
        <v>0.3</v>
      </c>
      <c r="D18" s="1">
        <f t="shared" si="0"/>
        <v>2.6999999999999997</v>
      </c>
      <c r="F18" s="33"/>
      <c r="G18" s="33"/>
      <c r="H18" s="33"/>
      <c r="I18" s="33">
        <f>D18*12</f>
        <v>32.4</v>
      </c>
      <c r="K18" s="8">
        <f t="shared" si="1"/>
        <v>94.499999999999986</v>
      </c>
      <c r="P18" s="33"/>
    </row>
    <row r="19" spans="1:16">
      <c r="A19" s="90"/>
      <c r="B19" s="105" t="s">
        <v>217</v>
      </c>
      <c r="C19" s="76">
        <v>0.3</v>
      </c>
      <c r="D19" s="1">
        <f>C19*9</f>
        <v>2.6999999999999997</v>
      </c>
      <c r="F19" s="33"/>
      <c r="G19" s="33"/>
      <c r="H19" s="33">
        <f>D19*15</f>
        <v>40.499999999999993</v>
      </c>
      <c r="I19" s="33"/>
      <c r="K19" s="8">
        <f>D19*35</f>
        <v>94.499999999999986</v>
      </c>
    </row>
    <row r="20" spans="1:16">
      <c r="A20" s="90"/>
      <c r="B20" s="105" t="s">
        <v>229</v>
      </c>
      <c r="C20" s="76">
        <v>0.3</v>
      </c>
      <c r="D20" s="1">
        <f>C20*9</f>
        <v>2.6999999999999997</v>
      </c>
      <c r="F20" s="33"/>
      <c r="G20" s="33"/>
      <c r="H20" s="33">
        <f t="shared" ref="H20:H21" si="2">D20*15</f>
        <v>40.499999999999993</v>
      </c>
      <c r="I20" s="33"/>
      <c r="K20" s="8">
        <f>D20*35</f>
        <v>94.499999999999986</v>
      </c>
      <c r="P20" s="33"/>
    </row>
    <row r="21" spans="1:16">
      <c r="A21" s="90"/>
      <c r="B21" s="105" t="s">
        <v>225</v>
      </c>
      <c r="C21" s="76">
        <v>0.5</v>
      </c>
      <c r="D21" s="1">
        <f t="shared" si="0"/>
        <v>4.5</v>
      </c>
      <c r="F21" s="33"/>
      <c r="G21" s="33"/>
      <c r="H21" s="33">
        <f t="shared" si="2"/>
        <v>67.5</v>
      </c>
      <c r="I21" s="33"/>
      <c r="K21" s="8">
        <f t="shared" si="1"/>
        <v>157.5</v>
      </c>
    </row>
    <row r="22" spans="1:16">
      <c r="A22" s="90"/>
      <c r="B22" s="105" t="s">
        <v>221</v>
      </c>
      <c r="C22" s="76">
        <v>0.3</v>
      </c>
      <c r="D22" s="1">
        <f>C22*9</f>
        <v>2.6999999999999997</v>
      </c>
      <c r="F22" s="33"/>
      <c r="G22" s="33"/>
      <c r="H22" s="33"/>
      <c r="I22" s="33">
        <f>D22*12</f>
        <v>32.4</v>
      </c>
      <c r="K22" s="8">
        <f>D22*35</f>
        <v>94.499999999999986</v>
      </c>
    </row>
    <row r="23" spans="1:16">
      <c r="A23" s="90"/>
      <c r="B23" s="105" t="s">
        <v>220</v>
      </c>
      <c r="C23" s="76">
        <v>0.3</v>
      </c>
      <c r="D23" s="1">
        <f>C23*9</f>
        <v>2.6999999999999997</v>
      </c>
      <c r="F23" s="33"/>
      <c r="G23" s="33"/>
      <c r="H23" s="33"/>
      <c r="I23" s="33">
        <f>D23*12</f>
        <v>32.4</v>
      </c>
      <c r="K23" s="8">
        <f>D23*35</f>
        <v>94.499999999999986</v>
      </c>
    </row>
    <row r="24" spans="1:16">
      <c r="A24" s="90"/>
      <c r="B24" s="105" t="s">
        <v>232</v>
      </c>
      <c r="C24" s="76">
        <v>0.6</v>
      </c>
      <c r="D24" s="1">
        <f t="shared" ref="D24:D26" si="3">C24*9</f>
        <v>5.3999999999999995</v>
      </c>
      <c r="F24" s="33"/>
      <c r="G24" s="33"/>
      <c r="H24" s="33"/>
      <c r="I24" s="33">
        <f>D24*12</f>
        <v>64.8</v>
      </c>
      <c r="K24" s="8">
        <f t="shared" ref="K24:K27" si="4">D24*35</f>
        <v>188.99999999999997</v>
      </c>
    </row>
    <row r="25" spans="1:16">
      <c r="A25" s="90"/>
      <c r="B25" s="105" t="s">
        <v>233</v>
      </c>
      <c r="C25" s="76">
        <v>0.5</v>
      </c>
      <c r="D25" s="1">
        <f t="shared" si="3"/>
        <v>4.5</v>
      </c>
      <c r="F25" s="33">
        <f>D25*15</f>
        <v>67.5</v>
      </c>
      <c r="G25" s="33"/>
      <c r="H25" s="33"/>
      <c r="I25" s="33"/>
      <c r="K25" s="8">
        <f t="shared" si="4"/>
        <v>157.5</v>
      </c>
    </row>
    <row r="26" spans="1:16">
      <c r="A26" s="90"/>
      <c r="B26" s="105" t="s">
        <v>234</v>
      </c>
      <c r="C26" s="76">
        <v>0.3</v>
      </c>
      <c r="D26" s="1">
        <f t="shared" si="3"/>
        <v>2.6999999999999997</v>
      </c>
      <c r="F26" s="33"/>
      <c r="G26" s="33"/>
      <c r="H26" s="33">
        <f t="shared" ref="H26" si="5">D26*15</f>
        <v>40.499999999999993</v>
      </c>
      <c r="I26" s="33"/>
      <c r="K26" s="8">
        <f t="shared" si="4"/>
        <v>94.499999999999986</v>
      </c>
      <c r="L26" s="32"/>
    </row>
    <row r="27" spans="1:16">
      <c r="A27" s="90"/>
      <c r="B27" s="105" t="s">
        <v>236</v>
      </c>
      <c r="C27" s="76">
        <v>0.3</v>
      </c>
      <c r="D27" s="1">
        <f t="shared" ref="D27" si="6">C27*9</f>
        <v>2.6999999999999997</v>
      </c>
      <c r="F27" s="33">
        <f>D27*15</f>
        <v>40.499999999999993</v>
      </c>
      <c r="G27" s="33"/>
      <c r="H27" s="33"/>
      <c r="I27" s="33"/>
      <c r="K27" s="8">
        <f t="shared" si="4"/>
        <v>94.499999999999986</v>
      </c>
      <c r="L27" s="32"/>
    </row>
    <row r="28" spans="1:16">
      <c r="B28" s="105"/>
      <c r="C28" s="76"/>
      <c r="F28" s="33"/>
      <c r="I28" s="33"/>
      <c r="K28" s="33"/>
    </row>
    <row r="29" spans="1:16">
      <c r="A29" s="117" t="s">
        <v>197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spans="1:16">
      <c r="A30" s="120"/>
      <c r="B30" s="105" t="s">
        <v>203</v>
      </c>
      <c r="C30" s="76">
        <v>0.3</v>
      </c>
      <c r="D30" s="1">
        <f t="shared" ref="D30:D33" si="7">C30*9</f>
        <v>2.6999999999999997</v>
      </c>
      <c r="F30" s="33">
        <f>D30*15</f>
        <v>40.499999999999993</v>
      </c>
      <c r="G30" s="33"/>
      <c r="H30" s="33"/>
      <c r="I30" s="33"/>
      <c r="K30" s="8">
        <f t="shared" ref="K30:K33" si="8">D30*35</f>
        <v>94.499999999999986</v>
      </c>
    </row>
    <row r="31" spans="1:16">
      <c r="A31" s="120"/>
      <c r="B31" s="105" t="s">
        <v>209</v>
      </c>
      <c r="C31" s="76">
        <v>1</v>
      </c>
      <c r="D31" s="1">
        <f t="shared" si="7"/>
        <v>9</v>
      </c>
      <c r="F31" s="33">
        <f>D31*15</f>
        <v>135</v>
      </c>
      <c r="G31" s="33"/>
      <c r="H31" s="33"/>
      <c r="I31" s="33"/>
      <c r="K31" s="8">
        <f t="shared" si="8"/>
        <v>315</v>
      </c>
    </row>
    <row r="32" spans="1:16">
      <c r="A32" s="120"/>
      <c r="B32" s="105" t="s">
        <v>210</v>
      </c>
      <c r="C32" s="76">
        <v>0.5</v>
      </c>
      <c r="D32" s="1">
        <f t="shared" si="7"/>
        <v>4.5</v>
      </c>
      <c r="G32" s="33">
        <f>D32*10</f>
        <v>45</v>
      </c>
      <c r="H32" s="33"/>
      <c r="I32" s="33"/>
      <c r="K32" s="8">
        <f t="shared" si="8"/>
        <v>157.5</v>
      </c>
    </row>
    <row r="33" spans="1:19">
      <c r="A33" s="120"/>
      <c r="B33" s="105" t="s">
        <v>211</v>
      </c>
      <c r="C33" s="76">
        <v>0.5</v>
      </c>
      <c r="D33" s="1">
        <f t="shared" si="7"/>
        <v>4.5</v>
      </c>
      <c r="G33" s="33">
        <f>D33*10</f>
        <v>45</v>
      </c>
      <c r="H33" s="33"/>
      <c r="K33" s="8">
        <f t="shared" si="8"/>
        <v>157.5</v>
      </c>
    </row>
    <row r="34" spans="1:19">
      <c r="A34" s="105"/>
      <c r="B34" s="105">
        <f>SUM(D6:D33)</f>
        <v>99.000000000000028</v>
      </c>
      <c r="C34" s="76"/>
      <c r="G34" s="33"/>
      <c r="H34" s="33"/>
      <c r="K34" s="33"/>
      <c r="R34" s="4"/>
      <c r="S34" s="4"/>
    </row>
    <row r="35" spans="1:19">
      <c r="A35" s="105"/>
      <c r="B35" s="105"/>
      <c r="C35" s="76"/>
      <c r="G35" s="33"/>
      <c r="H35" s="33"/>
      <c r="K35" s="33"/>
      <c r="R35" s="4"/>
      <c r="S35" s="4"/>
    </row>
    <row r="36" spans="1:19" ht="21">
      <c r="A36" s="116" t="s">
        <v>81</v>
      </c>
      <c r="B36" s="105"/>
      <c r="C36" s="76"/>
      <c r="G36" s="33"/>
      <c r="H36" s="33"/>
      <c r="I36" s="33"/>
      <c r="K36" s="33"/>
      <c r="R36" s="4"/>
      <c r="S36" s="4"/>
    </row>
    <row r="37" spans="1:19">
      <c r="A37" s="117" t="s">
        <v>196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spans="1:19">
      <c r="A38" s="121"/>
      <c r="B38" s="105" t="s">
        <v>205</v>
      </c>
      <c r="C38" s="76">
        <v>1</v>
      </c>
      <c r="D38" s="1">
        <f t="shared" ref="D38:D46" si="9">C38*9</f>
        <v>9</v>
      </c>
      <c r="F38" s="33"/>
      <c r="G38" s="33"/>
      <c r="H38" s="33">
        <f>D38*15</f>
        <v>135</v>
      </c>
      <c r="I38" s="33"/>
      <c r="K38" s="8">
        <f t="shared" ref="K38:K46" si="10">D38*35</f>
        <v>315</v>
      </c>
    </row>
    <row r="39" spans="1:19">
      <c r="A39" s="121"/>
      <c r="B39" s="105" t="s">
        <v>213</v>
      </c>
      <c r="C39" s="76">
        <v>1</v>
      </c>
      <c r="D39" s="1">
        <f t="shared" si="9"/>
        <v>9</v>
      </c>
      <c r="F39" s="33"/>
      <c r="G39" s="33"/>
      <c r="H39" s="33"/>
      <c r="I39" s="33">
        <f>D39*12</f>
        <v>108</v>
      </c>
      <c r="K39" s="8">
        <f t="shared" si="10"/>
        <v>315</v>
      </c>
    </row>
    <row r="40" spans="1:19">
      <c r="A40" s="122"/>
      <c r="B40" s="105" t="s">
        <v>214</v>
      </c>
      <c r="C40" s="76">
        <v>0.5</v>
      </c>
      <c r="D40" s="1">
        <f t="shared" si="9"/>
        <v>4.5</v>
      </c>
      <c r="F40" s="33"/>
      <c r="G40" s="33"/>
      <c r="H40" s="33">
        <f>D40*15</f>
        <v>67.5</v>
      </c>
      <c r="I40" s="33"/>
      <c r="K40" s="8">
        <f t="shared" si="10"/>
        <v>157.5</v>
      </c>
    </row>
    <row r="41" spans="1:19">
      <c r="A41" s="122"/>
      <c r="B41" s="105" t="s">
        <v>226</v>
      </c>
      <c r="C41" s="76">
        <v>0.5</v>
      </c>
      <c r="D41" s="1">
        <f t="shared" si="9"/>
        <v>4.5</v>
      </c>
      <c r="F41" s="33"/>
      <c r="G41" s="33"/>
      <c r="H41" s="33">
        <f>D41*15</f>
        <v>67.5</v>
      </c>
      <c r="I41" s="33"/>
      <c r="K41" s="8">
        <f t="shared" si="10"/>
        <v>157.5</v>
      </c>
    </row>
    <row r="42" spans="1:19">
      <c r="A42" s="122"/>
      <c r="B42" s="105" t="s">
        <v>227</v>
      </c>
      <c r="C42" s="76">
        <v>0.3</v>
      </c>
      <c r="D42" s="1">
        <f t="shared" si="9"/>
        <v>2.6999999999999997</v>
      </c>
      <c r="F42" s="33">
        <f t="shared" ref="F42:F43" si="11">D42*15</f>
        <v>40.499999999999993</v>
      </c>
      <c r="G42" s="33"/>
      <c r="H42" s="33"/>
      <c r="I42" s="33"/>
      <c r="K42" s="8">
        <f t="shared" si="10"/>
        <v>94.499999999999986</v>
      </c>
      <c r="N42" s="124"/>
    </row>
    <row r="43" spans="1:19">
      <c r="A43" s="122"/>
      <c r="B43" s="105" t="s">
        <v>228</v>
      </c>
      <c r="C43" s="76">
        <v>0.3</v>
      </c>
      <c r="D43" s="1">
        <f t="shared" si="9"/>
        <v>2.6999999999999997</v>
      </c>
      <c r="F43" s="33">
        <f t="shared" si="11"/>
        <v>40.499999999999993</v>
      </c>
      <c r="G43" s="33"/>
      <c r="H43" s="33"/>
      <c r="I43" s="33"/>
      <c r="K43" s="8">
        <f t="shared" si="10"/>
        <v>94.499999999999986</v>
      </c>
    </row>
    <row r="44" spans="1:19">
      <c r="A44" s="122"/>
      <c r="B44" s="105" t="s">
        <v>230</v>
      </c>
      <c r="C44" s="76">
        <v>2</v>
      </c>
      <c r="D44" s="1">
        <f t="shared" si="9"/>
        <v>18</v>
      </c>
      <c r="F44" s="33"/>
      <c r="G44" s="33"/>
      <c r="H44" s="33">
        <f>D44*15</f>
        <v>270</v>
      </c>
      <c r="I44" s="33"/>
      <c r="K44" s="8">
        <f t="shared" si="10"/>
        <v>630</v>
      </c>
    </row>
    <row r="45" spans="1:19">
      <c r="A45" s="122"/>
      <c r="B45" s="105" t="s">
        <v>231</v>
      </c>
      <c r="C45" s="76">
        <v>3.5</v>
      </c>
      <c r="D45" s="1">
        <f t="shared" si="9"/>
        <v>31.5</v>
      </c>
      <c r="F45" s="33"/>
      <c r="G45" s="33"/>
      <c r="H45" s="33"/>
      <c r="I45" s="33">
        <f>D45*12</f>
        <v>378</v>
      </c>
      <c r="K45" s="8">
        <f t="shared" si="10"/>
        <v>1102.5</v>
      </c>
    </row>
    <row r="46" spans="1:19">
      <c r="A46" s="122"/>
      <c r="B46" s="105" t="s">
        <v>235</v>
      </c>
      <c r="C46" s="76">
        <v>0.5</v>
      </c>
      <c r="D46" s="1">
        <f t="shared" si="9"/>
        <v>4.5</v>
      </c>
      <c r="F46" s="33"/>
      <c r="G46" s="33"/>
      <c r="H46" s="33">
        <f>D46*15</f>
        <v>67.5</v>
      </c>
      <c r="I46" s="33"/>
      <c r="K46" s="8">
        <f t="shared" si="10"/>
        <v>157.5</v>
      </c>
    </row>
    <row r="47" spans="1:19">
      <c r="A47" s="105"/>
      <c r="B47" s="1"/>
      <c r="C47" s="76"/>
      <c r="F47" s="33"/>
      <c r="G47" s="33"/>
      <c r="H47" s="33"/>
      <c r="I47" s="33"/>
      <c r="K47" s="33"/>
    </row>
    <row r="48" spans="1:19">
      <c r="A48" s="117" t="s">
        <v>197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spans="1:19">
      <c r="A49" s="90"/>
      <c r="B49" s="105" t="s">
        <v>204</v>
      </c>
      <c r="C49" s="76">
        <v>0.5</v>
      </c>
      <c r="D49" s="1">
        <f t="shared" ref="D49" si="12">C49*9</f>
        <v>4.5</v>
      </c>
      <c r="F49" s="33">
        <f>D49*15</f>
        <v>67.5</v>
      </c>
      <c r="G49" s="33"/>
      <c r="K49" s="8">
        <f>D49*35</f>
        <v>157.5</v>
      </c>
      <c r="Q49" s="4"/>
      <c r="R49" s="4"/>
      <c r="S49" s="4"/>
    </row>
    <row r="50" spans="1:19">
      <c r="B50" s="105">
        <f>SUM(D38:D50)</f>
        <v>90.9</v>
      </c>
      <c r="C50" s="76"/>
      <c r="F50" s="33"/>
      <c r="G50" s="33"/>
      <c r="K50" s="33"/>
      <c r="Q50" s="4"/>
      <c r="R50" s="4"/>
      <c r="S50" s="4"/>
    </row>
    <row r="51" spans="1:19">
      <c r="B51" s="114"/>
      <c r="C51" s="76"/>
      <c r="F51" s="33"/>
      <c r="G51" s="33"/>
      <c r="K51" s="33"/>
      <c r="Q51" s="4"/>
      <c r="R51" s="4"/>
      <c r="S51" s="4"/>
    </row>
    <row r="52" spans="1:19">
      <c r="Q52" s="4"/>
      <c r="R52" s="4"/>
      <c r="S52" s="4"/>
    </row>
    <row r="53" spans="1:19">
      <c r="A53" s="118" t="s">
        <v>199</v>
      </c>
      <c r="B53" s="57"/>
      <c r="C53" s="11">
        <f>SUM(C6:C49)</f>
        <v>21.1</v>
      </c>
      <c r="D53" s="11">
        <f>SUM(D6:D50)</f>
        <v>189.9</v>
      </c>
      <c r="E53" s="58"/>
      <c r="F53" s="59">
        <f>SUM(F6:F47)</f>
        <v>485.99999999999994</v>
      </c>
      <c r="G53" s="59">
        <f>SUM(G6:G52)</f>
        <v>90</v>
      </c>
      <c r="H53" s="59">
        <f>SUM(H6:H47)</f>
        <v>1053</v>
      </c>
      <c r="I53" s="59">
        <f>SUM(I6:I47)</f>
        <v>885.59999999999991</v>
      </c>
      <c r="J53" s="59">
        <f>SUM(F53:I53)</f>
        <v>2514.6</v>
      </c>
      <c r="K53" s="60">
        <f>SUM(K6:K52)</f>
        <v>6646.5</v>
      </c>
      <c r="L53" s="39"/>
      <c r="M53" s="29" t="s">
        <v>2</v>
      </c>
      <c r="N53" s="16" t="s">
        <v>1</v>
      </c>
    </row>
    <row r="54" spans="1:19">
      <c r="F54" s="122">
        <f t="shared" ref="F54:K54" si="13">F53*40</f>
        <v>19439.999999999996</v>
      </c>
      <c r="G54" s="122">
        <f>G53*40</f>
        <v>3600</v>
      </c>
      <c r="H54" s="122">
        <f t="shared" si="13"/>
        <v>42120</v>
      </c>
      <c r="I54" s="122">
        <f t="shared" si="13"/>
        <v>35424</v>
      </c>
      <c r="J54" s="122">
        <f t="shared" si="13"/>
        <v>100584</v>
      </c>
      <c r="K54" s="33">
        <f t="shared" si="13"/>
        <v>265860</v>
      </c>
      <c r="L54" s="5" t="s">
        <v>4</v>
      </c>
      <c r="M54" s="7">
        <f t="shared" ref="M54:M56" si="14">N54*40</f>
        <v>265860</v>
      </c>
      <c r="N54" s="8">
        <f>K53</f>
        <v>6646.5</v>
      </c>
      <c r="S54" s="4"/>
    </row>
    <row r="55" spans="1:19">
      <c r="G55" s="33"/>
      <c r="H55" s="123" t="s">
        <v>237</v>
      </c>
      <c r="I55" s="123" t="s">
        <v>238</v>
      </c>
      <c r="L55" s="5" t="s">
        <v>3</v>
      </c>
      <c r="M55" s="7">
        <f t="shared" si="14"/>
        <v>252567</v>
      </c>
      <c r="N55" s="8">
        <f>N54-N54*0.05</f>
        <v>6314.1750000000002</v>
      </c>
    </row>
    <row r="56" spans="1:19">
      <c r="G56" s="33"/>
      <c r="L56" s="5" t="s">
        <v>5</v>
      </c>
      <c r="M56" s="7">
        <f t="shared" si="14"/>
        <v>100584</v>
      </c>
      <c r="N56" s="8">
        <f>J53</f>
        <v>2514.6</v>
      </c>
    </row>
    <row r="57" spans="1:19">
      <c r="B57" s="1"/>
      <c r="L57" s="37" t="s">
        <v>18</v>
      </c>
      <c r="M57" s="7">
        <f>N57*40</f>
        <v>151983</v>
      </c>
      <c r="N57" s="8">
        <f>N55-N56</f>
        <v>3799.5750000000003</v>
      </c>
    </row>
    <row r="58" spans="1:19">
      <c r="B58" s="1"/>
    </row>
    <row r="59" spans="1:19">
      <c r="B59" s="1"/>
    </row>
    <row r="60" spans="1:19">
      <c r="B60" s="1"/>
    </row>
    <row r="61" spans="1:19">
      <c r="B61" s="1"/>
    </row>
    <row r="62" spans="1:19">
      <c r="B62" s="1"/>
    </row>
    <row r="63" spans="1:19">
      <c r="B63" s="1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FD329-E644-DC42-BA9D-BE283FB136EA}">
  <dimension ref="A1:S101"/>
  <sheetViews>
    <sheetView zoomScale="106" zoomScaleNormal="106" workbookViewId="0">
      <pane ySplit="2" topLeftCell="A75" activePane="bottomLeft" state="frozen"/>
      <selection pane="bottomLeft" activeCell="B2" sqref="B2"/>
    </sheetView>
  </sheetViews>
  <sheetFormatPr baseColWidth="10" defaultRowHeight="16"/>
  <cols>
    <col min="1" max="1" width="12.1640625" style="1" customWidth="1"/>
    <col min="2" max="2" width="30.6640625" style="2" customWidth="1"/>
    <col min="3" max="4" width="10.83203125" style="1" customWidth="1"/>
    <col min="5" max="5" width="9.83203125" style="1" customWidth="1"/>
    <col min="6" max="6" width="10.33203125" style="1" customWidth="1"/>
    <col min="7" max="9" width="10.83203125" style="1"/>
    <col min="10" max="10" width="11.1640625" style="1" customWidth="1"/>
    <col min="11" max="11" width="11" style="1" customWidth="1"/>
    <col min="12" max="12" width="18.1640625" style="1" bestFit="1" customWidth="1"/>
    <col min="13" max="13" width="12.33203125" style="1" customWidth="1"/>
    <col min="14" max="14" width="14" style="1" bestFit="1" customWidth="1"/>
    <col min="15" max="15" width="12.5" style="1" bestFit="1" customWidth="1"/>
    <col min="16" max="16" width="13" style="1" customWidth="1"/>
    <col min="17" max="16384" width="10.83203125" style="1"/>
  </cols>
  <sheetData>
    <row r="1" spans="1:19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9">
      <c r="B2" s="104" t="s">
        <v>9</v>
      </c>
      <c r="F2" s="41" t="s">
        <v>0</v>
      </c>
      <c r="G2" s="109" t="s">
        <v>107</v>
      </c>
      <c r="H2" s="38" t="s">
        <v>7</v>
      </c>
      <c r="I2" s="109" t="s">
        <v>108</v>
      </c>
    </row>
    <row r="3" spans="1:19">
      <c r="F3" s="38"/>
      <c r="G3" s="38"/>
      <c r="H3" s="38"/>
      <c r="I3" s="38"/>
    </row>
    <row r="5" spans="1:19">
      <c r="A5" s="111" t="s">
        <v>109</v>
      </c>
      <c r="B5" s="23" t="s">
        <v>104</v>
      </c>
      <c r="C5" s="56" t="s">
        <v>44</v>
      </c>
      <c r="D5" s="24" t="s">
        <v>8</v>
      </c>
      <c r="E5" s="25" t="s">
        <v>6</v>
      </c>
      <c r="F5" s="98" t="s">
        <v>10</v>
      </c>
      <c r="G5" s="110" t="s">
        <v>13</v>
      </c>
      <c r="H5" s="110" t="s">
        <v>14</v>
      </c>
      <c r="I5" s="98" t="s">
        <v>15</v>
      </c>
      <c r="J5" s="31" t="s">
        <v>16</v>
      </c>
      <c r="K5" s="39" t="s">
        <v>18</v>
      </c>
      <c r="L5" s="39"/>
      <c r="M5" s="39"/>
      <c r="N5" s="29" t="s">
        <v>2</v>
      </c>
      <c r="O5" s="16" t="s">
        <v>1</v>
      </c>
    </row>
    <row r="6" spans="1:19">
      <c r="A6" s="90"/>
      <c r="B6" s="105" t="s">
        <v>165</v>
      </c>
      <c r="C6" s="76">
        <v>0.5</v>
      </c>
      <c r="D6" s="1">
        <f>C6*9</f>
        <v>4.5</v>
      </c>
      <c r="F6" s="33"/>
      <c r="G6" s="33"/>
      <c r="H6" s="33">
        <f>D6*5</f>
        <v>22.5</v>
      </c>
      <c r="I6" s="33">
        <f>D6*10</f>
        <v>45</v>
      </c>
      <c r="K6" s="33">
        <f t="shared" ref="K6:K41" si="0">D6*35</f>
        <v>157.5</v>
      </c>
      <c r="M6" s="5" t="s">
        <v>4</v>
      </c>
      <c r="N6" s="7">
        <f t="shared" ref="N6:N8" si="1">O6*40</f>
        <v>357840</v>
      </c>
      <c r="O6" s="8">
        <f>K98</f>
        <v>8946</v>
      </c>
      <c r="P6" s="33"/>
    </row>
    <row r="7" spans="1:19">
      <c r="A7" s="90"/>
      <c r="B7" s="105" t="s">
        <v>164</v>
      </c>
      <c r="C7" s="76">
        <v>0.5</v>
      </c>
      <c r="D7" s="1">
        <f t="shared" ref="D7:D19" si="2">C7*9</f>
        <v>4.5</v>
      </c>
      <c r="G7" s="33"/>
      <c r="H7" s="33">
        <f>D7*5</f>
        <v>22.5</v>
      </c>
      <c r="I7" s="33">
        <f>D7*10</f>
        <v>45</v>
      </c>
      <c r="K7" s="33">
        <f t="shared" si="0"/>
        <v>157.5</v>
      </c>
      <c r="M7" s="5" t="s">
        <v>3</v>
      </c>
      <c r="N7" s="7">
        <f t="shared" si="1"/>
        <v>339948</v>
      </c>
      <c r="O7" s="8">
        <f>O6-O6*0.05</f>
        <v>8498.7000000000007</v>
      </c>
      <c r="P7" s="33"/>
    </row>
    <row r="8" spans="1:19">
      <c r="A8" s="90"/>
      <c r="B8" s="105" t="s">
        <v>163</v>
      </c>
      <c r="C8" s="76">
        <v>0.5</v>
      </c>
      <c r="D8" s="1">
        <f t="shared" si="2"/>
        <v>4.5</v>
      </c>
      <c r="G8" s="33"/>
      <c r="H8" s="33">
        <f t="shared" ref="H8:H9" si="3">D8*15</f>
        <v>67.5</v>
      </c>
      <c r="I8" s="33"/>
      <c r="K8" s="33">
        <f t="shared" si="0"/>
        <v>157.5</v>
      </c>
      <c r="M8" s="5" t="s">
        <v>5</v>
      </c>
      <c r="N8" s="7">
        <f t="shared" si="1"/>
        <v>139626</v>
      </c>
      <c r="O8" s="8">
        <f>J98</f>
        <v>3490.65</v>
      </c>
      <c r="P8" s="33"/>
    </row>
    <row r="9" spans="1:19">
      <c r="A9" s="90"/>
      <c r="B9" s="105" t="s">
        <v>162</v>
      </c>
      <c r="C9" s="76">
        <v>0.5</v>
      </c>
      <c r="D9" s="1">
        <f t="shared" si="2"/>
        <v>4.5</v>
      </c>
      <c r="G9" s="33"/>
      <c r="H9" s="33">
        <f t="shared" si="3"/>
        <v>67.5</v>
      </c>
      <c r="I9" s="33"/>
      <c r="K9" s="33">
        <f t="shared" si="0"/>
        <v>157.5</v>
      </c>
      <c r="M9" s="37" t="s">
        <v>18</v>
      </c>
      <c r="N9" s="7">
        <f>O9*40</f>
        <v>200322.00000000006</v>
      </c>
      <c r="O9" s="8">
        <f>O7-O8</f>
        <v>5008.0500000000011</v>
      </c>
      <c r="P9" s="33"/>
      <c r="Q9" s="4"/>
      <c r="R9" s="4"/>
      <c r="S9" s="4"/>
    </row>
    <row r="10" spans="1:19">
      <c r="A10" s="90"/>
      <c r="B10" s="105" t="s">
        <v>161</v>
      </c>
      <c r="C10" s="76">
        <v>0.3</v>
      </c>
      <c r="D10" s="1">
        <f t="shared" si="2"/>
        <v>2.6999999999999997</v>
      </c>
      <c r="F10" s="33"/>
      <c r="G10" s="33"/>
      <c r="H10" s="33">
        <f>D10*15</f>
        <v>40.499999999999993</v>
      </c>
      <c r="I10" s="33"/>
      <c r="K10" s="33">
        <f t="shared" si="0"/>
        <v>94.499999999999986</v>
      </c>
      <c r="L10" s="8"/>
      <c r="M10" s="7"/>
      <c r="O10" s="4"/>
      <c r="P10" s="33"/>
    </row>
    <row r="11" spans="1:19">
      <c r="A11" s="90"/>
      <c r="B11" s="105" t="s">
        <v>160</v>
      </c>
      <c r="C11" s="76">
        <v>0.3</v>
      </c>
      <c r="D11" s="1">
        <f t="shared" si="2"/>
        <v>2.6999999999999997</v>
      </c>
      <c r="F11" s="33"/>
      <c r="G11" s="33"/>
      <c r="H11" s="33">
        <f>D11*15</f>
        <v>40.499999999999993</v>
      </c>
      <c r="I11" s="33"/>
      <c r="K11" s="33">
        <f t="shared" si="0"/>
        <v>94.499999999999986</v>
      </c>
      <c r="L11" s="36" t="s">
        <v>5</v>
      </c>
      <c r="M11" s="34" t="s">
        <v>17</v>
      </c>
      <c r="N11" s="17" t="s">
        <v>12</v>
      </c>
      <c r="O11" s="35" t="s">
        <v>11</v>
      </c>
      <c r="P11" s="33"/>
    </row>
    <row r="12" spans="1:19">
      <c r="A12" s="90"/>
      <c r="B12" s="105" t="s">
        <v>159</v>
      </c>
      <c r="C12" s="76">
        <v>0.3</v>
      </c>
      <c r="D12" s="1">
        <f t="shared" si="2"/>
        <v>2.6999999999999997</v>
      </c>
      <c r="F12" s="33"/>
      <c r="I12" s="33">
        <f t="shared" ref="I12:I14" si="4">D12*10</f>
        <v>26.999999999999996</v>
      </c>
      <c r="K12" s="33">
        <f t="shared" si="0"/>
        <v>94.499999999999986</v>
      </c>
      <c r="L12" s="32" t="s">
        <v>10</v>
      </c>
      <c r="M12" s="28">
        <f>F98</f>
        <v>671.4</v>
      </c>
      <c r="N12" s="33">
        <f>M12-O12</f>
        <v>671.4</v>
      </c>
      <c r="O12" s="8"/>
      <c r="P12" s="33"/>
    </row>
    <row r="13" spans="1:19">
      <c r="A13" s="90"/>
      <c r="B13" s="105" t="s">
        <v>158</v>
      </c>
      <c r="C13" s="76">
        <v>0.3</v>
      </c>
      <c r="D13" s="1">
        <f t="shared" si="2"/>
        <v>2.6999999999999997</v>
      </c>
      <c r="H13" s="33">
        <f t="shared" ref="H13:H14" si="5">D13*5</f>
        <v>13.499999999999998</v>
      </c>
      <c r="I13" s="33">
        <f t="shared" si="4"/>
        <v>26.999999999999996</v>
      </c>
      <c r="K13" s="33">
        <f t="shared" si="0"/>
        <v>94.499999999999986</v>
      </c>
      <c r="L13" s="32" t="s">
        <v>13</v>
      </c>
      <c r="M13" s="28">
        <f>H98</f>
        <v>1563.75</v>
      </c>
      <c r="N13" s="33">
        <f>M13-O13</f>
        <v>1563.75</v>
      </c>
      <c r="O13" s="8"/>
      <c r="P13" s="33"/>
    </row>
    <row r="14" spans="1:19">
      <c r="A14" s="90"/>
      <c r="B14" s="105" t="s">
        <v>157</v>
      </c>
      <c r="C14" s="76">
        <v>0.3</v>
      </c>
      <c r="D14" s="1">
        <f t="shared" si="2"/>
        <v>2.6999999999999997</v>
      </c>
      <c r="F14" s="33"/>
      <c r="H14" s="33">
        <f t="shared" si="5"/>
        <v>13.499999999999998</v>
      </c>
      <c r="I14" s="33">
        <f t="shared" si="4"/>
        <v>26.999999999999996</v>
      </c>
      <c r="K14" s="33">
        <f t="shared" si="0"/>
        <v>94.499999999999986</v>
      </c>
      <c r="L14" s="32" t="s">
        <v>14</v>
      </c>
      <c r="M14" s="28">
        <f>G98</f>
        <v>387</v>
      </c>
      <c r="N14" s="33">
        <f>M14-O14</f>
        <v>387</v>
      </c>
      <c r="O14" s="8"/>
      <c r="P14" s="33"/>
    </row>
    <row r="15" spans="1:19">
      <c r="A15" s="90"/>
      <c r="B15" s="105" t="s">
        <v>156</v>
      </c>
      <c r="C15" s="76">
        <v>0.3</v>
      </c>
      <c r="D15" s="1">
        <f t="shared" si="2"/>
        <v>2.6999999999999997</v>
      </c>
      <c r="F15" s="33"/>
      <c r="H15" s="33">
        <f>D15*5</f>
        <v>13.499999999999998</v>
      </c>
      <c r="I15" s="33">
        <f>D15*10</f>
        <v>26.999999999999996</v>
      </c>
      <c r="K15" s="33">
        <f t="shared" si="0"/>
        <v>94.499999999999986</v>
      </c>
      <c r="L15" s="32" t="s">
        <v>15</v>
      </c>
      <c r="M15" s="28">
        <f>I98</f>
        <v>868.49999999999989</v>
      </c>
      <c r="N15" s="33">
        <f>M15-O15</f>
        <v>868.49999999999989</v>
      </c>
      <c r="O15" s="8"/>
      <c r="P15" s="33"/>
    </row>
    <row r="16" spans="1:19">
      <c r="A16" s="90"/>
      <c r="B16" s="105" t="s">
        <v>155</v>
      </c>
      <c r="C16" s="76">
        <v>0.5</v>
      </c>
      <c r="D16" s="1">
        <f t="shared" si="2"/>
        <v>4.5</v>
      </c>
      <c r="H16" s="33">
        <f>D16*15</f>
        <v>67.5</v>
      </c>
      <c r="K16" s="33">
        <f t="shared" si="0"/>
        <v>157.5</v>
      </c>
    </row>
    <row r="17" spans="1:19">
      <c r="A17" s="90"/>
      <c r="B17" s="105" t="s">
        <v>119</v>
      </c>
      <c r="C17" s="76">
        <v>0.3</v>
      </c>
      <c r="D17" s="1">
        <f t="shared" si="2"/>
        <v>2.6999999999999997</v>
      </c>
      <c r="H17" s="33"/>
      <c r="I17" s="33">
        <f>D17*10</f>
        <v>26.999999999999996</v>
      </c>
      <c r="K17" s="33">
        <f t="shared" si="0"/>
        <v>94.499999999999986</v>
      </c>
    </row>
    <row r="18" spans="1:19">
      <c r="A18" s="90"/>
      <c r="B18" s="105" t="s">
        <v>120</v>
      </c>
      <c r="C18" s="76">
        <v>0.3</v>
      </c>
      <c r="D18" s="1">
        <f t="shared" si="2"/>
        <v>2.6999999999999997</v>
      </c>
      <c r="F18" s="33">
        <f t="shared" ref="F18" si="6">D18*15</f>
        <v>40.499999999999993</v>
      </c>
      <c r="H18" s="33"/>
      <c r="K18" s="33">
        <f t="shared" si="0"/>
        <v>94.499999999999986</v>
      </c>
    </row>
    <row r="19" spans="1:19">
      <c r="A19" s="90"/>
      <c r="B19" s="105" t="s">
        <v>121</v>
      </c>
      <c r="C19" s="76">
        <v>0.3</v>
      </c>
      <c r="D19" s="1">
        <f t="shared" si="2"/>
        <v>2.6999999999999997</v>
      </c>
      <c r="F19" s="33">
        <f>D17*7</f>
        <v>18.899999999999999</v>
      </c>
      <c r="H19" s="33"/>
      <c r="I19" s="33">
        <f>D17*8</f>
        <v>21.599999999999998</v>
      </c>
      <c r="K19" s="33">
        <f t="shared" si="0"/>
        <v>94.499999999999986</v>
      </c>
    </row>
    <row r="20" spans="1:19">
      <c r="A20" s="90"/>
      <c r="B20" s="105" t="s">
        <v>122</v>
      </c>
      <c r="C20" s="76">
        <v>0.3</v>
      </c>
      <c r="D20" s="1">
        <f t="shared" ref="D20" si="7">C20*9</f>
        <v>2.6999999999999997</v>
      </c>
      <c r="H20" s="33">
        <f>D20*15</f>
        <v>40.499999999999993</v>
      </c>
      <c r="K20" s="33">
        <f t="shared" si="0"/>
        <v>94.499999999999986</v>
      </c>
    </row>
    <row r="21" spans="1:19">
      <c r="A21" s="90"/>
      <c r="B21" s="105" t="s">
        <v>123</v>
      </c>
      <c r="C21" s="76">
        <v>0.3</v>
      </c>
      <c r="D21" s="1">
        <f t="shared" ref="D21" si="8">C21*9</f>
        <v>2.6999999999999997</v>
      </c>
      <c r="H21" s="33"/>
      <c r="I21" s="33">
        <f>D21*10</f>
        <v>26.999999999999996</v>
      </c>
      <c r="K21" s="33">
        <f t="shared" si="0"/>
        <v>94.499999999999986</v>
      </c>
    </row>
    <row r="22" spans="1:19">
      <c r="A22" s="90"/>
      <c r="B22" s="105" t="s">
        <v>124</v>
      </c>
      <c r="C22" s="76">
        <v>0.3</v>
      </c>
      <c r="D22" s="1">
        <f t="shared" ref="D22:D31" si="9">C22*9</f>
        <v>2.6999999999999997</v>
      </c>
      <c r="G22" s="33"/>
      <c r="H22" s="33">
        <f>D22*15</f>
        <v>40.499999999999993</v>
      </c>
      <c r="I22" s="33"/>
      <c r="K22" s="33">
        <f t="shared" si="0"/>
        <v>94.499999999999986</v>
      </c>
      <c r="R22" s="4"/>
      <c r="S22" s="4"/>
    </row>
    <row r="23" spans="1:19">
      <c r="A23" s="90"/>
      <c r="B23" s="105" t="s">
        <v>125</v>
      </c>
      <c r="C23" s="76">
        <v>0.3</v>
      </c>
      <c r="D23" s="1">
        <f t="shared" si="9"/>
        <v>2.6999999999999997</v>
      </c>
      <c r="G23" s="33"/>
      <c r="H23" s="33">
        <f t="shared" ref="H23:H25" si="10">D23*15</f>
        <v>40.499999999999993</v>
      </c>
      <c r="I23" s="33"/>
      <c r="K23" s="33">
        <f t="shared" si="0"/>
        <v>94.499999999999986</v>
      </c>
      <c r="Q23" s="4"/>
      <c r="R23" s="4"/>
      <c r="S23" s="4"/>
    </row>
    <row r="24" spans="1:19">
      <c r="A24" s="90"/>
      <c r="B24" s="105" t="s">
        <v>126</v>
      </c>
      <c r="C24" s="76">
        <v>0.3</v>
      </c>
      <c r="D24" s="1">
        <f t="shared" si="9"/>
        <v>2.6999999999999997</v>
      </c>
      <c r="G24" s="33"/>
      <c r="H24" s="33">
        <f t="shared" si="10"/>
        <v>40.499999999999993</v>
      </c>
      <c r="I24" s="33"/>
      <c r="K24" s="33">
        <f t="shared" si="0"/>
        <v>94.499999999999986</v>
      </c>
      <c r="Q24" s="4"/>
      <c r="R24" s="4"/>
      <c r="S24" s="4"/>
    </row>
    <row r="25" spans="1:19">
      <c r="A25" s="90"/>
      <c r="B25" s="105" t="s">
        <v>127</v>
      </c>
      <c r="C25" s="76">
        <v>0.3</v>
      </c>
      <c r="D25" s="1">
        <f t="shared" si="9"/>
        <v>2.6999999999999997</v>
      </c>
      <c r="G25" s="33"/>
      <c r="H25" s="33">
        <f t="shared" si="10"/>
        <v>40.499999999999993</v>
      </c>
      <c r="I25" s="33"/>
      <c r="K25" s="33">
        <f t="shared" si="0"/>
        <v>94.499999999999986</v>
      </c>
      <c r="Q25" s="4"/>
      <c r="R25" s="4"/>
      <c r="S25" s="4"/>
    </row>
    <row r="26" spans="1:19">
      <c r="A26" s="90"/>
      <c r="B26" s="105" t="s">
        <v>128</v>
      </c>
      <c r="C26" s="76">
        <v>0.3</v>
      </c>
      <c r="D26" s="1">
        <f t="shared" si="9"/>
        <v>2.6999999999999997</v>
      </c>
      <c r="G26" s="33"/>
      <c r="H26" s="33"/>
      <c r="I26" s="33">
        <f t="shared" ref="I26:I28" si="11">D26*10</f>
        <v>26.999999999999996</v>
      </c>
      <c r="K26" s="33">
        <f t="shared" si="0"/>
        <v>94.499999999999986</v>
      </c>
      <c r="Q26" s="4"/>
      <c r="R26" s="4"/>
      <c r="S26" s="4"/>
    </row>
    <row r="27" spans="1:19">
      <c r="A27" s="90"/>
      <c r="B27" s="105" t="s">
        <v>129</v>
      </c>
      <c r="C27" s="76">
        <v>0.3</v>
      </c>
      <c r="D27" s="1">
        <f t="shared" si="9"/>
        <v>2.6999999999999997</v>
      </c>
      <c r="G27" s="33"/>
      <c r="H27" s="33"/>
      <c r="I27" s="33">
        <f t="shared" si="11"/>
        <v>26.999999999999996</v>
      </c>
      <c r="K27" s="33">
        <f t="shared" si="0"/>
        <v>94.499999999999986</v>
      </c>
      <c r="Q27" s="4"/>
      <c r="R27" s="4"/>
      <c r="S27" s="4"/>
    </row>
    <row r="28" spans="1:19">
      <c r="A28" s="90"/>
      <c r="B28" s="105" t="s">
        <v>130</v>
      </c>
      <c r="C28" s="76">
        <v>0.3</v>
      </c>
      <c r="D28" s="1">
        <f t="shared" si="9"/>
        <v>2.6999999999999997</v>
      </c>
      <c r="G28" s="33"/>
      <c r="H28" s="33"/>
      <c r="I28" s="33">
        <f t="shared" si="11"/>
        <v>26.999999999999996</v>
      </c>
      <c r="K28" s="33">
        <f t="shared" si="0"/>
        <v>94.499999999999986</v>
      </c>
      <c r="Q28" s="4"/>
      <c r="R28" s="4"/>
      <c r="S28" s="4"/>
    </row>
    <row r="29" spans="1:19">
      <c r="A29" s="90"/>
      <c r="B29" s="105" t="s">
        <v>131</v>
      </c>
      <c r="C29" s="76">
        <v>0.3</v>
      </c>
      <c r="D29" s="1">
        <f t="shared" si="9"/>
        <v>2.6999999999999997</v>
      </c>
      <c r="G29" s="33"/>
      <c r="H29" s="33"/>
      <c r="I29" s="33">
        <f>D29*10</f>
        <v>26.999999999999996</v>
      </c>
      <c r="K29" s="33">
        <f t="shared" si="0"/>
        <v>94.499999999999986</v>
      </c>
      <c r="Q29" s="4"/>
      <c r="R29" s="4"/>
      <c r="S29" s="4"/>
    </row>
    <row r="30" spans="1:19">
      <c r="A30" s="90" t="s">
        <v>142</v>
      </c>
      <c r="B30" s="105" t="s">
        <v>134</v>
      </c>
      <c r="C30" s="76">
        <v>0.5</v>
      </c>
      <c r="D30" s="1">
        <f t="shared" si="9"/>
        <v>4.5</v>
      </c>
      <c r="G30" s="33"/>
      <c r="H30" s="33">
        <f t="shared" ref="H30:H31" si="12">D30*15</f>
        <v>67.5</v>
      </c>
      <c r="I30" s="33"/>
      <c r="K30" s="33">
        <f t="shared" si="0"/>
        <v>157.5</v>
      </c>
      <c r="Q30" s="4"/>
      <c r="R30" s="4"/>
      <c r="S30" s="4"/>
    </row>
    <row r="31" spans="1:19">
      <c r="A31" s="90" t="s">
        <v>142</v>
      </c>
      <c r="B31" s="105" t="s">
        <v>135</v>
      </c>
      <c r="C31" s="76">
        <v>0.5</v>
      </c>
      <c r="D31" s="1">
        <f t="shared" si="9"/>
        <v>4.5</v>
      </c>
      <c r="G31" s="33"/>
      <c r="H31" s="33">
        <f t="shared" si="12"/>
        <v>67.5</v>
      </c>
      <c r="I31" s="33"/>
      <c r="K31" s="33">
        <f t="shared" si="0"/>
        <v>157.5</v>
      </c>
      <c r="Q31" s="4"/>
      <c r="R31" s="4"/>
      <c r="S31" s="4"/>
    </row>
    <row r="32" spans="1:19">
      <c r="A32" s="90"/>
      <c r="B32" s="105" t="s">
        <v>144</v>
      </c>
      <c r="C32" s="76">
        <v>0.3</v>
      </c>
      <c r="D32" s="1">
        <f t="shared" ref="D32:D41" si="13">C32*9</f>
        <v>2.6999999999999997</v>
      </c>
      <c r="G32" s="33"/>
      <c r="H32" s="33"/>
      <c r="I32" s="33">
        <f>D32*12</f>
        <v>32.4</v>
      </c>
      <c r="K32" s="33">
        <f t="shared" si="0"/>
        <v>94.499999999999986</v>
      </c>
      <c r="Q32" s="4"/>
      <c r="R32" s="4"/>
      <c r="S32" s="4"/>
    </row>
    <row r="33" spans="1:19">
      <c r="A33" s="90"/>
      <c r="B33" s="105" t="s">
        <v>145</v>
      </c>
      <c r="C33" s="76">
        <v>0.3</v>
      </c>
      <c r="D33" s="1">
        <f t="shared" si="13"/>
        <v>2.6999999999999997</v>
      </c>
      <c r="G33" s="33"/>
      <c r="H33" s="33"/>
      <c r="I33" s="33">
        <f t="shared" ref="I33:I36" si="14">D33*12</f>
        <v>32.4</v>
      </c>
      <c r="K33" s="33">
        <f t="shared" si="0"/>
        <v>94.499999999999986</v>
      </c>
      <c r="Q33" s="4"/>
      <c r="R33" s="4"/>
      <c r="S33" s="4"/>
    </row>
    <row r="34" spans="1:19">
      <c r="A34" s="90"/>
      <c r="B34" s="105" t="s">
        <v>146</v>
      </c>
      <c r="C34" s="76">
        <v>0.3</v>
      </c>
      <c r="D34" s="1">
        <f t="shared" si="13"/>
        <v>2.6999999999999997</v>
      </c>
      <c r="G34" s="33"/>
      <c r="H34" s="33"/>
      <c r="I34" s="33">
        <f t="shared" si="14"/>
        <v>32.4</v>
      </c>
      <c r="K34" s="33">
        <f t="shared" si="0"/>
        <v>94.499999999999986</v>
      </c>
      <c r="Q34" s="4"/>
      <c r="R34" s="4"/>
      <c r="S34" s="4"/>
    </row>
    <row r="35" spans="1:19">
      <c r="A35" s="90"/>
      <c r="B35" s="105" t="s">
        <v>147</v>
      </c>
      <c r="C35" s="76">
        <v>0.3</v>
      </c>
      <c r="D35" s="1">
        <f t="shared" si="13"/>
        <v>2.6999999999999997</v>
      </c>
      <c r="G35" s="33"/>
      <c r="H35" s="33"/>
      <c r="I35" s="33">
        <f t="shared" si="14"/>
        <v>32.4</v>
      </c>
      <c r="K35" s="33">
        <f t="shared" si="0"/>
        <v>94.499999999999986</v>
      </c>
      <c r="Q35" s="4"/>
      <c r="R35" s="4"/>
      <c r="S35" s="4"/>
    </row>
    <row r="36" spans="1:19">
      <c r="A36" s="90"/>
      <c r="B36" s="105" t="s">
        <v>148</v>
      </c>
      <c r="C36" s="76">
        <v>0.3</v>
      </c>
      <c r="D36" s="1">
        <f t="shared" si="13"/>
        <v>2.6999999999999997</v>
      </c>
      <c r="G36" s="33"/>
      <c r="H36" s="33"/>
      <c r="I36" s="33">
        <f t="shared" si="14"/>
        <v>32.4</v>
      </c>
      <c r="K36" s="33">
        <f t="shared" si="0"/>
        <v>94.499999999999986</v>
      </c>
      <c r="Q36" s="4"/>
      <c r="R36" s="4"/>
      <c r="S36" s="4"/>
    </row>
    <row r="37" spans="1:19">
      <c r="A37" s="90"/>
      <c r="B37" s="105" t="s">
        <v>149</v>
      </c>
      <c r="C37" s="76">
        <v>0.3</v>
      </c>
      <c r="D37" s="1">
        <f t="shared" si="13"/>
        <v>2.6999999999999997</v>
      </c>
      <c r="G37" s="33"/>
      <c r="H37" s="33">
        <f t="shared" ref="H37:H39" si="15">D37*15</f>
        <v>40.499999999999993</v>
      </c>
      <c r="I37" s="33"/>
      <c r="K37" s="33">
        <f t="shared" si="0"/>
        <v>94.499999999999986</v>
      </c>
      <c r="Q37" s="4"/>
      <c r="R37" s="4"/>
      <c r="S37" s="4"/>
    </row>
    <row r="38" spans="1:19">
      <c r="A38" s="90"/>
      <c r="B38" s="105" t="s">
        <v>150</v>
      </c>
      <c r="C38" s="76">
        <v>0.3</v>
      </c>
      <c r="D38" s="1">
        <f t="shared" si="13"/>
        <v>2.6999999999999997</v>
      </c>
      <c r="F38" s="33">
        <f>D38*15</f>
        <v>40.499999999999993</v>
      </c>
      <c r="G38" s="33"/>
      <c r="I38" s="33"/>
      <c r="K38" s="33">
        <f t="shared" si="0"/>
        <v>94.499999999999986</v>
      </c>
      <c r="Q38" s="4"/>
      <c r="R38" s="4"/>
      <c r="S38" s="4"/>
    </row>
    <row r="39" spans="1:19">
      <c r="A39" s="90"/>
      <c r="B39" s="105" t="s">
        <v>151</v>
      </c>
      <c r="C39" s="76">
        <v>0.3</v>
      </c>
      <c r="D39" s="1">
        <f t="shared" si="13"/>
        <v>2.6999999999999997</v>
      </c>
      <c r="G39" s="33"/>
      <c r="H39" s="33">
        <f t="shared" si="15"/>
        <v>40.499999999999993</v>
      </c>
      <c r="I39" s="33"/>
      <c r="K39" s="33">
        <f t="shared" si="0"/>
        <v>94.499999999999986</v>
      </c>
      <c r="Q39" s="4"/>
      <c r="R39" s="4"/>
      <c r="S39" s="4"/>
    </row>
    <row r="40" spans="1:19">
      <c r="A40" s="90"/>
      <c r="B40" s="105" t="s">
        <v>152</v>
      </c>
      <c r="C40" s="76">
        <v>0.3</v>
      </c>
      <c r="D40" s="1">
        <f t="shared" si="13"/>
        <v>2.6999999999999997</v>
      </c>
      <c r="G40" s="33"/>
      <c r="H40" s="33">
        <f>D40*15</f>
        <v>40.499999999999993</v>
      </c>
      <c r="I40" s="33"/>
      <c r="K40" s="33">
        <f t="shared" si="0"/>
        <v>94.499999999999986</v>
      </c>
      <c r="Q40" s="4"/>
      <c r="R40" s="4"/>
      <c r="S40" s="4"/>
    </row>
    <row r="41" spans="1:19">
      <c r="A41" s="90"/>
      <c r="B41" s="105" t="s">
        <v>193</v>
      </c>
      <c r="C41" s="76">
        <v>0.3</v>
      </c>
      <c r="D41" s="1">
        <f t="shared" si="13"/>
        <v>2.6999999999999997</v>
      </c>
      <c r="G41" s="33"/>
      <c r="H41" s="33"/>
      <c r="I41" s="33">
        <f t="shared" ref="I41" si="16">D41*12</f>
        <v>32.4</v>
      </c>
      <c r="K41" s="33">
        <f t="shared" si="0"/>
        <v>94.499999999999986</v>
      </c>
      <c r="Q41" s="4"/>
      <c r="R41" s="4"/>
      <c r="S41" s="4"/>
    </row>
    <row r="42" spans="1:19">
      <c r="B42" s="105"/>
      <c r="C42" s="76"/>
      <c r="G42" s="33"/>
      <c r="H42" s="33"/>
      <c r="I42" s="33"/>
      <c r="K42" s="33"/>
      <c r="Q42" s="4"/>
      <c r="R42" s="4"/>
      <c r="S42" s="4"/>
    </row>
    <row r="43" spans="1:19">
      <c r="K43" s="33"/>
      <c r="Q43" s="4"/>
      <c r="R43" s="4"/>
      <c r="S43" s="4"/>
    </row>
    <row r="44" spans="1:19">
      <c r="A44" s="111" t="s">
        <v>110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Q44" s="4"/>
      <c r="R44" s="4"/>
      <c r="S44" s="4"/>
    </row>
    <row r="45" spans="1:19">
      <c r="A45" s="90"/>
      <c r="B45" s="105" t="s">
        <v>112</v>
      </c>
      <c r="C45" s="76">
        <v>0.5</v>
      </c>
      <c r="D45" s="1">
        <f t="shared" ref="D45:D71" si="17">C45*9</f>
        <v>4.5</v>
      </c>
      <c r="H45" s="33">
        <f>D45*15</f>
        <v>67.5</v>
      </c>
      <c r="K45" s="33">
        <f t="shared" ref="K45:K77" si="18">D45*35</f>
        <v>157.5</v>
      </c>
      <c r="Q45" s="4"/>
      <c r="R45" s="4"/>
      <c r="S45" s="4"/>
    </row>
    <row r="46" spans="1:19">
      <c r="A46" s="90"/>
      <c r="B46" s="105" t="s">
        <v>117</v>
      </c>
      <c r="C46" s="76">
        <v>0.5</v>
      </c>
      <c r="D46" s="1">
        <f t="shared" si="17"/>
        <v>4.5</v>
      </c>
      <c r="G46" s="33"/>
      <c r="H46" s="33">
        <f t="shared" ref="H46:H50" si="19">D46*15</f>
        <v>67.5</v>
      </c>
      <c r="I46" s="33"/>
      <c r="K46" s="33">
        <f t="shared" si="18"/>
        <v>157.5</v>
      </c>
      <c r="Q46" s="4"/>
      <c r="R46" s="4"/>
      <c r="S46" s="4"/>
    </row>
    <row r="47" spans="1:19">
      <c r="A47" s="90"/>
      <c r="B47" s="105" t="s">
        <v>116</v>
      </c>
      <c r="C47" s="76">
        <v>0.5</v>
      </c>
      <c r="D47" s="1">
        <f t="shared" si="17"/>
        <v>4.5</v>
      </c>
      <c r="G47" s="33"/>
      <c r="H47" s="33">
        <f t="shared" si="19"/>
        <v>67.5</v>
      </c>
      <c r="I47" s="33"/>
      <c r="K47" s="33">
        <f t="shared" si="18"/>
        <v>157.5</v>
      </c>
      <c r="N47" s="5"/>
      <c r="P47" s="4"/>
      <c r="Q47" s="4"/>
      <c r="R47" s="4"/>
      <c r="S47" s="4"/>
    </row>
    <row r="48" spans="1:19">
      <c r="A48" s="90"/>
      <c r="B48" s="105" t="s">
        <v>113</v>
      </c>
      <c r="C48" s="76">
        <v>0.05</v>
      </c>
      <c r="D48" s="1">
        <f t="shared" si="17"/>
        <v>0.45</v>
      </c>
      <c r="G48" s="33"/>
      <c r="H48" s="33">
        <f t="shared" si="19"/>
        <v>6.75</v>
      </c>
      <c r="I48" s="33"/>
      <c r="K48" s="33">
        <f t="shared" si="18"/>
        <v>15.75</v>
      </c>
      <c r="N48" s="5"/>
      <c r="P48" s="4"/>
      <c r="Q48" s="4"/>
      <c r="R48" s="4"/>
      <c r="S48" s="4"/>
    </row>
    <row r="49" spans="1:19">
      <c r="A49" s="90"/>
      <c r="B49" s="105" t="s">
        <v>114</v>
      </c>
      <c r="C49" s="76">
        <v>0.05</v>
      </c>
      <c r="D49" s="1">
        <f t="shared" si="17"/>
        <v>0.45</v>
      </c>
      <c r="G49" s="33"/>
      <c r="H49" s="33">
        <f t="shared" si="19"/>
        <v>6.75</v>
      </c>
      <c r="I49" s="33"/>
      <c r="K49" s="33">
        <f t="shared" si="18"/>
        <v>15.75</v>
      </c>
      <c r="N49" s="5"/>
      <c r="P49" s="4"/>
      <c r="Q49" s="4"/>
      <c r="R49" s="4"/>
      <c r="S49" s="4"/>
    </row>
    <row r="50" spans="1:19">
      <c r="A50" s="90"/>
      <c r="B50" s="105" t="s">
        <v>115</v>
      </c>
      <c r="C50" s="76">
        <v>0.05</v>
      </c>
      <c r="D50" s="1">
        <f t="shared" si="17"/>
        <v>0.45</v>
      </c>
      <c r="G50" s="33"/>
      <c r="H50" s="33">
        <f t="shared" si="19"/>
        <v>6.75</v>
      </c>
      <c r="I50" s="33"/>
      <c r="K50" s="33">
        <f t="shared" si="18"/>
        <v>15.75</v>
      </c>
      <c r="N50" s="5"/>
      <c r="P50" s="4"/>
      <c r="Q50" s="4"/>
      <c r="R50" s="4"/>
      <c r="S50" s="4"/>
    </row>
    <row r="51" spans="1:19">
      <c r="A51" s="90"/>
      <c r="B51" s="105" t="s">
        <v>118</v>
      </c>
      <c r="C51" s="76">
        <v>0.05</v>
      </c>
      <c r="D51" s="1">
        <f t="shared" si="17"/>
        <v>0.45</v>
      </c>
      <c r="G51" s="33"/>
      <c r="H51" s="33"/>
      <c r="I51" s="33">
        <f>D51*10</f>
        <v>4.5</v>
      </c>
      <c r="K51" s="33">
        <f t="shared" si="18"/>
        <v>15.75</v>
      </c>
      <c r="N51" s="5"/>
      <c r="P51" s="4"/>
      <c r="Q51" s="4"/>
      <c r="R51" s="4"/>
      <c r="S51" s="4"/>
    </row>
    <row r="52" spans="1:19">
      <c r="A52" s="90"/>
      <c r="B52" s="105" t="s">
        <v>166</v>
      </c>
      <c r="C52" s="76">
        <v>0.05</v>
      </c>
      <c r="D52" s="1">
        <f t="shared" si="17"/>
        <v>0.45</v>
      </c>
      <c r="F52" s="33">
        <f t="shared" ref="F52:F56" si="20">D52*15</f>
        <v>6.75</v>
      </c>
      <c r="G52" s="33"/>
      <c r="H52" s="33"/>
      <c r="I52" s="33"/>
      <c r="K52" s="33">
        <f t="shared" si="18"/>
        <v>15.75</v>
      </c>
      <c r="N52" s="5"/>
      <c r="P52" s="4"/>
      <c r="Q52" s="4"/>
      <c r="R52" s="4"/>
      <c r="S52" s="4"/>
    </row>
    <row r="53" spans="1:19">
      <c r="A53" s="90"/>
      <c r="B53" s="105" t="s">
        <v>167</v>
      </c>
      <c r="C53" s="76">
        <v>0.05</v>
      </c>
      <c r="D53" s="1">
        <f t="shared" si="17"/>
        <v>0.45</v>
      </c>
      <c r="F53" s="33">
        <f t="shared" si="20"/>
        <v>6.75</v>
      </c>
      <c r="G53" s="33"/>
      <c r="H53" s="33"/>
      <c r="I53" s="33"/>
      <c r="K53" s="33">
        <f t="shared" si="18"/>
        <v>15.75</v>
      </c>
      <c r="N53" s="5"/>
      <c r="P53" s="4"/>
      <c r="Q53" s="4"/>
      <c r="R53" s="4"/>
      <c r="S53" s="4"/>
    </row>
    <row r="54" spans="1:19">
      <c r="A54" s="90"/>
      <c r="B54" s="105" t="s">
        <v>168</v>
      </c>
      <c r="C54" s="76">
        <v>0.05</v>
      </c>
      <c r="D54" s="1">
        <f t="shared" si="17"/>
        <v>0.45</v>
      </c>
      <c r="F54" s="33">
        <f t="shared" si="20"/>
        <v>6.75</v>
      </c>
      <c r="G54" s="33"/>
      <c r="H54" s="33"/>
      <c r="I54" s="33"/>
      <c r="K54" s="33">
        <f t="shared" si="18"/>
        <v>15.75</v>
      </c>
      <c r="N54" s="5"/>
      <c r="P54" s="4"/>
      <c r="Q54" s="4"/>
      <c r="R54" s="4"/>
      <c r="S54" s="4"/>
    </row>
    <row r="55" spans="1:19">
      <c r="A55" s="90"/>
      <c r="B55" s="105" t="s">
        <v>169</v>
      </c>
      <c r="C55" s="76">
        <v>0.05</v>
      </c>
      <c r="D55" s="1">
        <f t="shared" si="17"/>
        <v>0.45</v>
      </c>
      <c r="F55" s="33">
        <f t="shared" si="20"/>
        <v>6.75</v>
      </c>
      <c r="G55" s="33"/>
      <c r="H55" s="33"/>
      <c r="I55" s="33"/>
      <c r="K55" s="33">
        <f t="shared" si="18"/>
        <v>15.75</v>
      </c>
      <c r="N55" s="5"/>
      <c r="P55" s="4"/>
      <c r="Q55" s="4"/>
      <c r="R55" s="4"/>
      <c r="S55" s="4"/>
    </row>
    <row r="56" spans="1:19">
      <c r="A56" s="90"/>
      <c r="B56" s="105" t="s">
        <v>170</v>
      </c>
      <c r="C56" s="76">
        <v>0.05</v>
      </c>
      <c r="D56" s="1">
        <f t="shared" si="17"/>
        <v>0.45</v>
      </c>
      <c r="F56" s="33">
        <f t="shared" si="20"/>
        <v>6.75</v>
      </c>
      <c r="G56" s="33"/>
      <c r="H56" s="33"/>
      <c r="I56" s="33"/>
      <c r="K56" s="33">
        <f t="shared" si="18"/>
        <v>15.75</v>
      </c>
      <c r="N56" s="5"/>
      <c r="P56" s="4"/>
      <c r="Q56" s="4"/>
      <c r="R56" s="4"/>
      <c r="S56" s="4"/>
    </row>
    <row r="57" spans="1:19">
      <c r="A57" s="90"/>
      <c r="B57" s="105" t="s">
        <v>171</v>
      </c>
      <c r="C57" s="76">
        <v>0.05</v>
      </c>
      <c r="D57" s="1">
        <f t="shared" si="17"/>
        <v>0.45</v>
      </c>
      <c r="F57" s="33">
        <f>D57*15</f>
        <v>6.75</v>
      </c>
      <c r="G57" s="33"/>
      <c r="H57" s="33"/>
      <c r="I57" s="33"/>
      <c r="K57" s="33">
        <f t="shared" si="18"/>
        <v>15.75</v>
      </c>
      <c r="N57" s="5"/>
      <c r="P57" s="4"/>
      <c r="Q57" s="4"/>
      <c r="R57" s="4"/>
      <c r="S57" s="4"/>
    </row>
    <row r="58" spans="1:19">
      <c r="A58" s="90"/>
      <c r="B58" s="105" t="s">
        <v>172</v>
      </c>
      <c r="C58" s="76">
        <v>0.05</v>
      </c>
      <c r="D58" s="1">
        <f t="shared" si="17"/>
        <v>0.45</v>
      </c>
      <c r="G58" s="33"/>
      <c r="H58" s="33"/>
      <c r="I58" s="33">
        <f t="shared" ref="I58:I64" si="21">D58*10</f>
        <v>4.5</v>
      </c>
      <c r="K58" s="33">
        <f t="shared" si="18"/>
        <v>15.75</v>
      </c>
      <c r="N58" s="5"/>
      <c r="P58" s="4"/>
      <c r="Q58" s="4"/>
      <c r="R58" s="4"/>
      <c r="S58" s="4"/>
    </row>
    <row r="59" spans="1:19">
      <c r="A59" s="90"/>
      <c r="B59" s="105" t="s">
        <v>173</v>
      </c>
      <c r="C59" s="76">
        <v>0.05</v>
      </c>
      <c r="D59" s="1">
        <f t="shared" si="17"/>
        <v>0.45</v>
      </c>
      <c r="G59" s="33"/>
      <c r="H59" s="33"/>
      <c r="I59" s="33">
        <f t="shared" si="21"/>
        <v>4.5</v>
      </c>
      <c r="K59" s="33">
        <f t="shared" si="18"/>
        <v>15.75</v>
      </c>
      <c r="N59" s="5"/>
      <c r="P59" s="4"/>
      <c r="Q59" s="4"/>
      <c r="R59" s="4"/>
      <c r="S59" s="4"/>
    </row>
    <row r="60" spans="1:19">
      <c r="A60" s="90"/>
      <c r="B60" s="105" t="s">
        <v>174</v>
      </c>
      <c r="C60" s="76">
        <v>0.05</v>
      </c>
      <c r="D60" s="1">
        <f t="shared" si="17"/>
        <v>0.45</v>
      </c>
      <c r="G60" s="33"/>
      <c r="H60" s="33"/>
      <c r="I60" s="33">
        <f t="shared" si="21"/>
        <v>4.5</v>
      </c>
      <c r="K60" s="33">
        <f t="shared" si="18"/>
        <v>15.75</v>
      </c>
      <c r="N60" s="5"/>
      <c r="P60" s="4"/>
      <c r="Q60" s="4"/>
      <c r="R60" s="4"/>
      <c r="S60" s="4"/>
    </row>
    <row r="61" spans="1:19">
      <c r="A61" s="90"/>
      <c r="B61" s="105" t="s">
        <v>175</v>
      </c>
      <c r="C61" s="76">
        <v>0.05</v>
      </c>
      <c r="D61" s="1">
        <f t="shared" si="17"/>
        <v>0.45</v>
      </c>
      <c r="G61" s="33"/>
      <c r="H61" s="33"/>
      <c r="I61" s="33">
        <f t="shared" si="21"/>
        <v>4.5</v>
      </c>
      <c r="K61" s="33">
        <f t="shared" si="18"/>
        <v>15.75</v>
      </c>
      <c r="N61" s="5"/>
      <c r="P61" s="4"/>
      <c r="Q61" s="4"/>
      <c r="R61" s="4"/>
      <c r="S61" s="4"/>
    </row>
    <row r="62" spans="1:19">
      <c r="A62" s="90"/>
      <c r="B62" s="105" t="s">
        <v>176</v>
      </c>
      <c r="C62" s="76">
        <v>0.05</v>
      </c>
      <c r="D62" s="1">
        <f t="shared" si="17"/>
        <v>0.45</v>
      </c>
      <c r="G62" s="33"/>
      <c r="H62" s="33"/>
      <c r="I62" s="33">
        <f t="shared" si="21"/>
        <v>4.5</v>
      </c>
      <c r="K62" s="33">
        <f t="shared" si="18"/>
        <v>15.75</v>
      </c>
      <c r="N62" s="5"/>
      <c r="P62" s="4"/>
      <c r="Q62" s="4"/>
      <c r="R62" s="4"/>
      <c r="S62" s="4"/>
    </row>
    <row r="63" spans="1:19">
      <c r="A63" s="90"/>
      <c r="B63" s="105" t="s">
        <v>177</v>
      </c>
      <c r="C63" s="76">
        <v>0.05</v>
      </c>
      <c r="D63" s="1">
        <f t="shared" si="17"/>
        <v>0.45</v>
      </c>
      <c r="G63" s="33"/>
      <c r="H63" s="33"/>
      <c r="I63" s="33">
        <f t="shared" si="21"/>
        <v>4.5</v>
      </c>
      <c r="K63" s="33">
        <f t="shared" si="18"/>
        <v>15.75</v>
      </c>
      <c r="N63" s="5"/>
      <c r="P63" s="4"/>
      <c r="Q63" s="4"/>
      <c r="R63" s="4"/>
      <c r="S63" s="4"/>
    </row>
    <row r="64" spans="1:19">
      <c r="A64" s="90"/>
      <c r="B64" s="105" t="s">
        <v>178</v>
      </c>
      <c r="C64" s="76">
        <v>0.05</v>
      </c>
      <c r="D64" s="1">
        <f t="shared" si="17"/>
        <v>0.45</v>
      </c>
      <c r="G64" s="33"/>
      <c r="H64" s="33"/>
      <c r="I64" s="33">
        <f t="shared" si="21"/>
        <v>4.5</v>
      </c>
      <c r="K64" s="33">
        <f t="shared" si="18"/>
        <v>15.75</v>
      </c>
      <c r="N64" s="5"/>
      <c r="P64" s="4"/>
      <c r="Q64" s="4"/>
      <c r="R64" s="4"/>
      <c r="S64" s="4"/>
    </row>
    <row r="65" spans="1:19">
      <c r="A65" s="90"/>
      <c r="B65" s="105" t="s">
        <v>179</v>
      </c>
      <c r="C65" s="76">
        <v>0.05</v>
      </c>
      <c r="D65" s="1">
        <f t="shared" si="17"/>
        <v>0.45</v>
      </c>
      <c r="G65" s="33"/>
      <c r="H65" s="33"/>
      <c r="I65" s="33">
        <f>D65*10</f>
        <v>4.5</v>
      </c>
      <c r="K65" s="33">
        <f t="shared" si="18"/>
        <v>15.75</v>
      </c>
      <c r="N65" s="5"/>
      <c r="P65" s="4"/>
      <c r="Q65" s="4"/>
      <c r="R65" s="4"/>
      <c r="S65" s="4"/>
    </row>
    <row r="66" spans="1:19">
      <c r="A66" s="90"/>
      <c r="B66" s="105" t="s">
        <v>180</v>
      </c>
      <c r="C66" s="76">
        <v>1</v>
      </c>
      <c r="D66" s="1">
        <f t="shared" si="17"/>
        <v>9</v>
      </c>
      <c r="G66" s="33"/>
      <c r="H66" s="33">
        <f t="shared" ref="H66" si="22">D66*15</f>
        <v>135</v>
      </c>
      <c r="I66" s="33"/>
      <c r="K66" s="33">
        <f t="shared" si="18"/>
        <v>315</v>
      </c>
      <c r="N66" s="5"/>
      <c r="P66" s="4"/>
      <c r="Q66" s="4"/>
      <c r="R66" s="4"/>
      <c r="S66" s="4"/>
    </row>
    <row r="67" spans="1:19">
      <c r="A67" s="90"/>
      <c r="B67" s="105" t="s">
        <v>181</v>
      </c>
      <c r="C67" s="76">
        <v>0.2</v>
      </c>
      <c r="D67" s="1">
        <f t="shared" si="17"/>
        <v>1.8</v>
      </c>
      <c r="G67" s="33"/>
      <c r="H67" s="33">
        <f>D67*15</f>
        <v>27</v>
      </c>
      <c r="I67" s="33"/>
      <c r="K67" s="33">
        <f t="shared" si="18"/>
        <v>63</v>
      </c>
    </row>
    <row r="68" spans="1:19">
      <c r="A68" s="90"/>
      <c r="B68" s="105" t="s">
        <v>182</v>
      </c>
      <c r="C68" s="76">
        <v>0.1</v>
      </c>
      <c r="D68" s="1">
        <f t="shared" si="17"/>
        <v>0.9</v>
      </c>
      <c r="G68" s="33"/>
      <c r="H68" s="33">
        <f>D68*15</f>
        <v>13.5</v>
      </c>
      <c r="I68" s="33"/>
      <c r="K68" s="33">
        <f t="shared" si="18"/>
        <v>31.5</v>
      </c>
    </row>
    <row r="69" spans="1:19">
      <c r="A69" s="90"/>
      <c r="B69" s="113" t="s">
        <v>139</v>
      </c>
      <c r="C69" s="76">
        <v>0.5</v>
      </c>
      <c r="D69" s="1">
        <f t="shared" si="17"/>
        <v>4.5</v>
      </c>
      <c r="G69" s="33"/>
      <c r="H69" s="33"/>
      <c r="I69" s="33">
        <f>D69*10</f>
        <v>45</v>
      </c>
      <c r="K69" s="33">
        <f t="shared" si="18"/>
        <v>157.5</v>
      </c>
    </row>
    <row r="70" spans="1:19">
      <c r="A70" s="90"/>
      <c r="B70" s="113" t="s">
        <v>140</v>
      </c>
      <c r="C70" s="76">
        <v>0.5</v>
      </c>
      <c r="D70" s="1">
        <f t="shared" si="17"/>
        <v>4.5</v>
      </c>
      <c r="G70" s="33"/>
      <c r="H70" s="33"/>
      <c r="I70" s="33">
        <f t="shared" ref="I70" si="23">D70*10</f>
        <v>45</v>
      </c>
      <c r="K70" s="33">
        <f t="shared" si="18"/>
        <v>157.5</v>
      </c>
    </row>
    <row r="71" spans="1:19">
      <c r="A71" s="90"/>
      <c r="B71" s="113" t="s">
        <v>141</v>
      </c>
      <c r="C71" s="76">
        <v>0.5</v>
      </c>
      <c r="D71" s="1">
        <f t="shared" si="17"/>
        <v>4.5</v>
      </c>
      <c r="G71" s="33"/>
      <c r="H71" s="33">
        <f t="shared" ref="H71:H76" si="24">D71*15</f>
        <v>67.5</v>
      </c>
      <c r="K71" s="33">
        <f t="shared" si="18"/>
        <v>157.5</v>
      </c>
    </row>
    <row r="72" spans="1:19">
      <c r="A72" s="90"/>
      <c r="B72" s="105" t="s">
        <v>143</v>
      </c>
      <c r="C72" s="76">
        <v>0.5</v>
      </c>
      <c r="D72" s="1">
        <f t="shared" ref="D72" si="25">C72*9</f>
        <v>4.5</v>
      </c>
      <c r="G72" s="33"/>
      <c r="H72" s="33">
        <f t="shared" si="24"/>
        <v>67.5</v>
      </c>
      <c r="K72" s="33">
        <f t="shared" si="18"/>
        <v>157.5</v>
      </c>
    </row>
    <row r="73" spans="1:19">
      <c r="A73" s="90"/>
      <c r="B73" s="105" t="s">
        <v>153</v>
      </c>
      <c r="C73" s="76">
        <v>1</v>
      </c>
      <c r="D73" s="1">
        <f>C73*9</f>
        <v>9</v>
      </c>
      <c r="G73" s="33"/>
      <c r="H73" s="33"/>
      <c r="I73" s="33">
        <f>D73*12</f>
        <v>108</v>
      </c>
      <c r="K73" s="33">
        <f t="shared" si="18"/>
        <v>315</v>
      </c>
    </row>
    <row r="74" spans="1:19">
      <c r="A74" s="90"/>
      <c r="B74" s="105" t="s">
        <v>154</v>
      </c>
      <c r="C74" s="76">
        <v>0.5</v>
      </c>
      <c r="D74" s="1">
        <f>C74*9</f>
        <v>4.5</v>
      </c>
      <c r="G74" s="33"/>
      <c r="H74" s="33">
        <f t="shared" si="24"/>
        <v>67.5</v>
      </c>
      <c r="K74" s="33">
        <f t="shared" si="18"/>
        <v>157.5</v>
      </c>
    </row>
    <row r="75" spans="1:19">
      <c r="A75" s="90"/>
      <c r="B75" s="105" t="s">
        <v>190</v>
      </c>
      <c r="C75" s="76">
        <v>0.5</v>
      </c>
      <c r="D75" s="1">
        <f>C75*9</f>
        <v>4.5</v>
      </c>
      <c r="G75" s="33"/>
      <c r="H75" s="33">
        <f t="shared" si="24"/>
        <v>67.5</v>
      </c>
      <c r="K75" s="33">
        <f t="shared" si="18"/>
        <v>157.5</v>
      </c>
    </row>
    <row r="76" spans="1:19">
      <c r="A76" s="90"/>
      <c r="B76" s="105" t="s">
        <v>191</v>
      </c>
      <c r="C76" s="76">
        <v>0.5</v>
      </c>
      <c r="D76" s="1">
        <f t="shared" ref="D76:D77" si="26">C76*9</f>
        <v>4.5</v>
      </c>
      <c r="E76" s="105"/>
      <c r="F76" s="105"/>
      <c r="G76" s="105"/>
      <c r="H76" s="33">
        <f t="shared" si="24"/>
        <v>67.5</v>
      </c>
      <c r="I76" s="105"/>
      <c r="J76" s="105"/>
      <c r="K76" s="33">
        <f t="shared" si="18"/>
        <v>157.5</v>
      </c>
      <c r="L76" s="123"/>
    </row>
    <row r="77" spans="1:19">
      <c r="A77" s="90"/>
      <c r="B77" s="105" t="s">
        <v>192</v>
      </c>
      <c r="C77" s="76">
        <v>0.5</v>
      </c>
      <c r="D77" s="1">
        <f t="shared" si="26"/>
        <v>4.5</v>
      </c>
      <c r="E77" s="105"/>
      <c r="F77" s="105"/>
      <c r="G77" s="105"/>
      <c r="H77" s="105"/>
      <c r="I77" s="33">
        <f>D77*12</f>
        <v>54</v>
      </c>
      <c r="J77" s="105"/>
      <c r="K77" s="33">
        <f t="shared" si="18"/>
        <v>157.5</v>
      </c>
      <c r="L77" s="123"/>
    </row>
    <row r="78" spans="1:19">
      <c r="A78" s="105"/>
      <c r="B78" s="105"/>
      <c r="C78" s="76"/>
      <c r="G78" s="33"/>
      <c r="H78" s="33"/>
      <c r="K78" s="33"/>
    </row>
    <row r="79" spans="1:19">
      <c r="A79" s="105"/>
      <c r="B79" s="105"/>
      <c r="C79" s="76"/>
      <c r="G79" s="33"/>
      <c r="H79" s="33"/>
      <c r="I79" s="33"/>
      <c r="K79" s="33"/>
    </row>
    <row r="80" spans="1:19">
      <c r="A80" s="111" t="s">
        <v>111</v>
      </c>
      <c r="B80" s="23"/>
      <c r="C80" s="23"/>
      <c r="D80" s="23"/>
      <c r="E80" s="23"/>
      <c r="F80" s="23"/>
      <c r="G80" s="23"/>
      <c r="H80" s="23"/>
      <c r="I80" s="23"/>
      <c r="J80" s="23"/>
      <c r="K80" s="23"/>
      <c r="P80" s="6"/>
      <c r="Q80" s="4"/>
      <c r="R80" s="4"/>
      <c r="S80" s="4"/>
    </row>
    <row r="81" spans="1:19">
      <c r="A81" s="90"/>
      <c r="B81" s="105" t="s">
        <v>189</v>
      </c>
      <c r="C81" s="76">
        <v>0.5</v>
      </c>
      <c r="D81" s="1">
        <f t="shared" ref="D81:D86" si="27">C81*9</f>
        <v>4.5</v>
      </c>
      <c r="F81" s="33">
        <f>D81*15</f>
        <v>67.5</v>
      </c>
      <c r="G81" s="33"/>
      <c r="H81" s="33"/>
      <c r="I81" s="33"/>
      <c r="K81" s="33">
        <f t="shared" ref="K81:K91" si="28">D81*35</f>
        <v>157.5</v>
      </c>
      <c r="P81" s="6"/>
      <c r="Q81" s="4"/>
      <c r="R81" s="4"/>
      <c r="S81" s="4"/>
    </row>
    <row r="82" spans="1:19">
      <c r="A82" s="90"/>
      <c r="B82" s="105" t="s">
        <v>188</v>
      </c>
      <c r="C82" s="76">
        <v>0.5</v>
      </c>
      <c r="D82" s="1">
        <f t="shared" si="27"/>
        <v>4.5</v>
      </c>
      <c r="F82" s="33">
        <f>D82*15</f>
        <v>67.5</v>
      </c>
      <c r="G82" s="33"/>
      <c r="H82" s="33"/>
      <c r="I82" s="33"/>
      <c r="K82" s="33">
        <f t="shared" si="28"/>
        <v>157.5</v>
      </c>
      <c r="P82" s="4"/>
      <c r="Q82" s="4"/>
      <c r="R82" s="4"/>
      <c r="S82" s="4"/>
    </row>
    <row r="83" spans="1:19">
      <c r="A83" s="90"/>
      <c r="B83" s="105" t="s">
        <v>187</v>
      </c>
      <c r="C83" s="76">
        <v>0.5</v>
      </c>
      <c r="D83" s="1">
        <f t="shared" si="27"/>
        <v>4.5</v>
      </c>
      <c r="F83" s="33">
        <f t="shared" ref="F83:F84" si="29">D83*5</f>
        <v>22.5</v>
      </c>
      <c r="G83" s="33">
        <f t="shared" ref="G83:G84" si="30">D83*10</f>
        <v>45</v>
      </c>
      <c r="H83" s="33"/>
      <c r="I83" s="33"/>
      <c r="K83" s="33">
        <f t="shared" si="28"/>
        <v>157.5</v>
      </c>
      <c r="P83" s="33"/>
      <c r="Q83" s="4"/>
      <c r="R83" s="4"/>
      <c r="S83" s="4"/>
    </row>
    <row r="84" spans="1:19">
      <c r="A84" s="90"/>
      <c r="B84" s="105" t="s">
        <v>186</v>
      </c>
      <c r="C84" s="76">
        <v>0.5</v>
      </c>
      <c r="D84" s="1">
        <f t="shared" si="27"/>
        <v>4.5</v>
      </c>
      <c r="F84" s="33">
        <f t="shared" si="29"/>
        <v>22.5</v>
      </c>
      <c r="G84" s="33">
        <f t="shared" si="30"/>
        <v>45</v>
      </c>
      <c r="H84" s="33"/>
      <c r="I84" s="33"/>
      <c r="K84" s="33">
        <f t="shared" si="28"/>
        <v>157.5</v>
      </c>
      <c r="P84" s="33"/>
      <c r="Q84" s="4"/>
      <c r="R84" s="4"/>
      <c r="S84" s="4"/>
    </row>
    <row r="85" spans="1:19">
      <c r="A85" s="90"/>
      <c r="B85" s="105" t="s">
        <v>185</v>
      </c>
      <c r="C85" s="76">
        <v>2</v>
      </c>
      <c r="D85" s="1">
        <f t="shared" si="27"/>
        <v>18</v>
      </c>
      <c r="F85" s="33">
        <f>D85*5</f>
        <v>90</v>
      </c>
      <c r="G85" s="33">
        <f>D85*10</f>
        <v>180</v>
      </c>
      <c r="H85" s="33"/>
      <c r="I85" s="33"/>
      <c r="K85" s="33">
        <f t="shared" si="28"/>
        <v>630</v>
      </c>
      <c r="P85" s="4"/>
      <c r="Q85" s="4"/>
      <c r="R85" s="4"/>
      <c r="S85" s="4"/>
    </row>
    <row r="86" spans="1:19">
      <c r="A86" s="90"/>
      <c r="B86" s="105" t="s">
        <v>184</v>
      </c>
      <c r="C86" s="76">
        <v>0.5</v>
      </c>
      <c r="D86" s="1">
        <f t="shared" si="27"/>
        <v>4.5</v>
      </c>
      <c r="F86" s="33">
        <f>D86*5</f>
        <v>22.5</v>
      </c>
      <c r="G86" s="33">
        <f>D86*10</f>
        <v>45</v>
      </c>
      <c r="H86" s="33"/>
      <c r="I86" s="33"/>
      <c r="K86" s="33">
        <f t="shared" si="28"/>
        <v>157.5</v>
      </c>
    </row>
    <row r="87" spans="1:19">
      <c r="A87" s="90"/>
      <c r="B87" s="105" t="s">
        <v>183</v>
      </c>
      <c r="C87" s="76">
        <v>0.5</v>
      </c>
      <c r="D87" s="1">
        <f>C87*9</f>
        <v>4.5</v>
      </c>
      <c r="F87" s="33">
        <f>D87*15</f>
        <v>67.5</v>
      </c>
      <c r="G87" s="33"/>
      <c r="H87" s="33"/>
      <c r="I87" s="33"/>
      <c r="K87" s="33">
        <f t="shared" si="28"/>
        <v>157.5</v>
      </c>
      <c r="P87" s="4"/>
      <c r="Q87" s="4"/>
      <c r="R87" s="4"/>
      <c r="S87" s="4"/>
    </row>
    <row r="88" spans="1:19">
      <c r="A88" s="90"/>
      <c r="B88" s="105" t="s">
        <v>132</v>
      </c>
      <c r="C88" s="76">
        <v>0.3</v>
      </c>
      <c r="D88" s="1">
        <f>C88*9</f>
        <v>2.6999999999999997</v>
      </c>
      <c r="F88" s="33">
        <f>D88*5</f>
        <v>13.499999999999998</v>
      </c>
      <c r="G88" s="33">
        <f>D88*10</f>
        <v>26.999999999999996</v>
      </c>
      <c r="H88" s="33"/>
      <c r="I88" s="33"/>
      <c r="K88" s="33">
        <f t="shared" si="28"/>
        <v>94.499999999999986</v>
      </c>
    </row>
    <row r="89" spans="1:19">
      <c r="A89" s="96"/>
      <c r="B89" s="105" t="s">
        <v>136</v>
      </c>
      <c r="C89" s="76">
        <v>0.5</v>
      </c>
      <c r="D89" s="1">
        <f t="shared" ref="D89:D91" si="31">C89*9</f>
        <v>4.5</v>
      </c>
      <c r="F89" s="33">
        <f>D89*5</f>
        <v>22.5</v>
      </c>
      <c r="G89" s="33">
        <f>D89*10</f>
        <v>45</v>
      </c>
      <c r="H89" s="33"/>
      <c r="I89" s="33"/>
      <c r="K89" s="33">
        <f t="shared" si="28"/>
        <v>157.5</v>
      </c>
    </row>
    <row r="90" spans="1:19">
      <c r="A90" s="90"/>
      <c r="B90" s="105" t="s">
        <v>137</v>
      </c>
      <c r="C90" s="76">
        <v>0.5</v>
      </c>
      <c r="D90" s="1">
        <f t="shared" si="31"/>
        <v>4.5</v>
      </c>
      <c r="F90" s="33">
        <f>D90*15</f>
        <v>67.5</v>
      </c>
      <c r="G90" s="33"/>
      <c r="H90" s="33"/>
      <c r="I90" s="33"/>
      <c r="K90" s="33">
        <f t="shared" si="28"/>
        <v>157.5</v>
      </c>
    </row>
    <row r="91" spans="1:19">
      <c r="A91" s="90"/>
      <c r="B91" s="105" t="s">
        <v>138</v>
      </c>
      <c r="C91" s="76">
        <v>0.5</v>
      </c>
      <c r="D91" s="1">
        <f t="shared" si="31"/>
        <v>4.5</v>
      </c>
      <c r="F91" s="33">
        <f>D91*15</f>
        <v>67.5</v>
      </c>
      <c r="G91" s="33"/>
      <c r="H91" s="33"/>
      <c r="I91" s="33"/>
      <c r="K91" s="33">
        <f t="shared" si="28"/>
        <v>157.5</v>
      </c>
    </row>
    <row r="92" spans="1:19">
      <c r="A92" s="105"/>
      <c r="B92" s="1"/>
      <c r="C92" s="76"/>
      <c r="F92" s="33"/>
      <c r="G92" s="33"/>
      <c r="H92" s="33"/>
      <c r="I92" s="33"/>
      <c r="K92" s="33"/>
      <c r="P92" s="4"/>
      <c r="Q92" s="4"/>
      <c r="R92" s="4"/>
      <c r="S92" s="4"/>
    </row>
    <row r="93" spans="1:19">
      <c r="A93" s="111" t="s">
        <v>133</v>
      </c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9">
      <c r="A94" s="90"/>
      <c r="B94" s="115" t="s">
        <v>195</v>
      </c>
      <c r="C94" s="76">
        <v>0.2</v>
      </c>
      <c r="D94" s="1">
        <f t="shared" ref="D94:D95" si="32">C94*9</f>
        <v>1.8</v>
      </c>
      <c r="F94" s="33">
        <f>D94*5</f>
        <v>9</v>
      </c>
      <c r="G94" s="33">
        <f>D94*10</f>
        <v>18</v>
      </c>
      <c r="K94" s="33">
        <f>D94*35</f>
        <v>63</v>
      </c>
    </row>
    <row r="95" spans="1:19">
      <c r="A95" s="90"/>
      <c r="B95" s="114" t="s">
        <v>194</v>
      </c>
      <c r="C95" s="76">
        <v>0.5</v>
      </c>
      <c r="D95" s="1">
        <f t="shared" si="32"/>
        <v>4.5</v>
      </c>
      <c r="F95" s="33">
        <f>D95*15</f>
        <v>67.5</v>
      </c>
      <c r="G95" s="33"/>
      <c r="K95" s="33">
        <f>D95*35</f>
        <v>157.5</v>
      </c>
    </row>
    <row r="96" spans="1:19">
      <c r="B96" s="114"/>
      <c r="C96" s="76"/>
      <c r="F96" s="33"/>
      <c r="G96" s="33"/>
      <c r="K96" s="33"/>
    </row>
    <row r="98" spans="1:11">
      <c r="A98" s="11"/>
      <c r="B98" s="57"/>
      <c r="C98" s="11">
        <f>SUM(C6:C95)</f>
        <v>28.400000000000016</v>
      </c>
      <c r="D98" s="11">
        <f>SUM(D6:D95)</f>
        <v>255.60000000000002</v>
      </c>
      <c r="E98" s="58"/>
      <c r="F98" s="59">
        <f>SUM(F6:F92)</f>
        <v>671.4</v>
      </c>
      <c r="G98" s="59">
        <f>SUM(G6:G92)</f>
        <v>387</v>
      </c>
      <c r="H98" s="59">
        <f>SUM(H6:H92)</f>
        <v>1563.75</v>
      </c>
      <c r="I98" s="59">
        <f>SUM(I6:I92)</f>
        <v>868.49999999999989</v>
      </c>
      <c r="J98" s="59">
        <f>SUM(F98:I98)</f>
        <v>3490.65</v>
      </c>
      <c r="K98" s="60">
        <f>SUM(K6:K97)</f>
        <v>8946</v>
      </c>
    </row>
    <row r="99" spans="1:11">
      <c r="F99" s="112">
        <f t="shared" ref="F99:K99" si="33">F98*40</f>
        <v>26856</v>
      </c>
      <c r="G99" s="112">
        <f>G98*40</f>
        <v>15480</v>
      </c>
      <c r="H99" s="112">
        <f t="shared" si="33"/>
        <v>62550</v>
      </c>
      <c r="I99" s="112">
        <f t="shared" si="33"/>
        <v>34739.999999999993</v>
      </c>
      <c r="J99" s="112">
        <f t="shared" si="33"/>
        <v>139626</v>
      </c>
      <c r="K99" s="33">
        <f t="shared" si="33"/>
        <v>357840</v>
      </c>
    </row>
    <row r="100" spans="1:11">
      <c r="G100" s="33"/>
    </row>
    <row r="101" spans="1:11">
      <c r="G101" s="33"/>
    </row>
  </sheetData>
  <phoneticPr fontId="61" type="noConversion"/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19A0A-5B60-6048-AABB-A11EB655EB80}">
  <dimension ref="A1:Q46"/>
  <sheetViews>
    <sheetView workbookViewId="0">
      <pane ySplit="2" topLeftCell="A26" activePane="bottomLeft" state="frozen"/>
      <selection pane="bottomLeft" activeCell="J53" sqref="J53"/>
    </sheetView>
  </sheetViews>
  <sheetFormatPr baseColWidth="10" defaultRowHeight="16"/>
  <cols>
    <col min="1" max="1" width="3.6640625" style="1" bestFit="1" customWidth="1"/>
    <col min="2" max="2" width="83" style="2" customWidth="1"/>
    <col min="3" max="4" width="10.83203125" style="1" customWidth="1"/>
    <col min="5" max="5" width="9.83203125" style="1" customWidth="1"/>
    <col min="6" max="6" width="10.33203125" style="1" customWidth="1"/>
    <col min="7" max="7" width="10.83203125" style="1"/>
    <col min="8" max="8" width="11.1640625" style="1" customWidth="1"/>
    <col min="9" max="9" width="11" style="1" customWidth="1"/>
    <col min="10" max="10" width="10.33203125" style="1" customWidth="1"/>
    <col min="11" max="11" width="12.33203125" style="1" customWidth="1"/>
    <col min="12" max="12" width="14" style="1" bestFit="1" customWidth="1"/>
    <col min="13" max="13" width="12.5" style="1" bestFit="1" customWidth="1"/>
    <col min="14" max="14" width="13" style="1" customWidth="1"/>
    <col min="15" max="16384" width="10.83203125" style="1"/>
  </cols>
  <sheetData>
    <row r="1" spans="1:17">
      <c r="A1" s="11"/>
      <c r="B1" s="97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7">
      <c r="B2" s="104" t="s">
        <v>9</v>
      </c>
      <c r="F2" s="41" t="s">
        <v>0</v>
      </c>
      <c r="G2" s="38" t="s">
        <v>7</v>
      </c>
    </row>
    <row r="3" spans="1:17">
      <c r="F3" s="38"/>
      <c r="G3" s="38"/>
    </row>
    <row r="5" spans="1:17">
      <c r="A5" s="27"/>
      <c r="B5" s="23" t="s">
        <v>53</v>
      </c>
      <c r="C5" s="56" t="s">
        <v>44</v>
      </c>
      <c r="D5" s="24" t="s">
        <v>8</v>
      </c>
      <c r="E5" s="25" t="s">
        <v>6</v>
      </c>
      <c r="F5" s="98" t="s">
        <v>10</v>
      </c>
      <c r="G5" s="98" t="s">
        <v>13</v>
      </c>
      <c r="H5" s="31" t="s">
        <v>16</v>
      </c>
      <c r="I5" s="39" t="s">
        <v>18</v>
      </c>
      <c r="J5" s="39"/>
      <c r="K5" s="39"/>
      <c r="L5" s="29" t="s">
        <v>2</v>
      </c>
      <c r="M5" s="16" t="s">
        <v>1</v>
      </c>
    </row>
    <row r="6" spans="1:17">
      <c r="A6" s="96">
        <v>1</v>
      </c>
      <c r="B6" s="107" t="s">
        <v>57</v>
      </c>
      <c r="C6" s="76">
        <v>0.7</v>
      </c>
      <c r="D6" s="1">
        <f>C6*9</f>
        <v>6.3</v>
      </c>
      <c r="F6" s="33">
        <f t="shared" ref="F6" si="0">D6*15</f>
        <v>94.5</v>
      </c>
      <c r="G6" s="3"/>
      <c r="I6" s="33">
        <f>D6*35</f>
        <v>220.5</v>
      </c>
      <c r="K6" s="5" t="s">
        <v>4</v>
      </c>
      <c r="L6" s="7">
        <f t="shared" ref="L6:L8" si="1">M6*40</f>
        <v>239400</v>
      </c>
      <c r="M6" s="8">
        <f>I45</f>
        <v>5985</v>
      </c>
      <c r="N6" s="33"/>
    </row>
    <row r="7" spans="1:17">
      <c r="A7" s="90">
        <v>2</v>
      </c>
      <c r="B7" s="78" t="s">
        <v>63</v>
      </c>
      <c r="C7" s="76">
        <v>0.5</v>
      </c>
      <c r="D7" s="1">
        <f t="shared" ref="D7" si="2">C7*9</f>
        <v>4.5</v>
      </c>
      <c r="G7" s="33">
        <f>D7*15</f>
        <v>67.5</v>
      </c>
      <c r="I7" s="33">
        <f>D7*35</f>
        <v>157.5</v>
      </c>
      <c r="K7" s="5" t="s">
        <v>3</v>
      </c>
      <c r="L7" s="7">
        <f t="shared" si="1"/>
        <v>227430</v>
      </c>
      <c r="M7" s="8">
        <f>M6-M6*0.05</f>
        <v>5685.75</v>
      </c>
      <c r="N7" s="33"/>
    </row>
    <row r="8" spans="1:17">
      <c r="A8" s="90">
        <v>3</v>
      </c>
      <c r="B8" s="100" t="s">
        <v>54</v>
      </c>
      <c r="C8" s="76">
        <v>0.3</v>
      </c>
      <c r="D8" s="1">
        <f>C8*9</f>
        <v>2.6999999999999997</v>
      </c>
      <c r="G8" s="33">
        <f>D8*15</f>
        <v>40.499999999999993</v>
      </c>
      <c r="I8" s="33">
        <f>D8*35</f>
        <v>94.499999999999986</v>
      </c>
      <c r="K8" s="5" t="s">
        <v>5</v>
      </c>
      <c r="L8" s="7">
        <f t="shared" si="1"/>
        <v>82080</v>
      </c>
      <c r="M8" s="8">
        <f>H45</f>
        <v>2052</v>
      </c>
      <c r="N8" s="33"/>
    </row>
    <row r="9" spans="1:17">
      <c r="A9" s="90">
        <v>4</v>
      </c>
      <c r="B9" s="95" t="s">
        <v>55</v>
      </c>
      <c r="C9" s="76">
        <v>0.5</v>
      </c>
      <c r="D9" s="1">
        <f t="shared" ref="D9:D26" si="3">C9*9</f>
        <v>4.5</v>
      </c>
      <c r="G9" s="33">
        <f>D9*15</f>
        <v>67.5</v>
      </c>
      <c r="I9" s="33">
        <f t="shared" ref="I9:I26" si="4">D9*35</f>
        <v>157.5</v>
      </c>
      <c r="K9" s="37" t="s">
        <v>18</v>
      </c>
      <c r="L9" s="7">
        <f>M9*40</f>
        <v>145350</v>
      </c>
      <c r="M9" s="8">
        <f>M7-M8</f>
        <v>3633.75</v>
      </c>
      <c r="N9" s="33"/>
      <c r="O9" s="4"/>
      <c r="P9" s="4"/>
      <c r="Q9" s="4"/>
    </row>
    <row r="10" spans="1:17">
      <c r="A10" s="90">
        <v>5</v>
      </c>
      <c r="B10" s="65" t="s">
        <v>56</v>
      </c>
      <c r="C10" s="76">
        <v>0.5</v>
      </c>
      <c r="D10" s="1">
        <f t="shared" si="3"/>
        <v>4.5</v>
      </c>
      <c r="F10" s="33">
        <f t="shared" ref="F10:F11" si="5">D10*15</f>
        <v>67.5</v>
      </c>
      <c r="I10" s="33">
        <f t="shared" si="4"/>
        <v>157.5</v>
      </c>
      <c r="J10" s="8"/>
      <c r="K10" s="7"/>
      <c r="M10" s="4"/>
      <c r="N10" s="33"/>
    </row>
    <row r="11" spans="1:17">
      <c r="A11" s="90">
        <v>6</v>
      </c>
      <c r="B11" s="77" t="s">
        <v>58</v>
      </c>
      <c r="C11" s="76">
        <v>0.5</v>
      </c>
      <c r="D11" s="1">
        <f t="shared" si="3"/>
        <v>4.5</v>
      </c>
      <c r="F11" s="33">
        <f t="shared" si="5"/>
        <v>67.5</v>
      </c>
      <c r="I11" s="33">
        <f t="shared" si="4"/>
        <v>157.5</v>
      </c>
      <c r="J11" s="36" t="s">
        <v>5</v>
      </c>
      <c r="K11" s="34" t="s">
        <v>17</v>
      </c>
      <c r="L11" s="17" t="s">
        <v>12</v>
      </c>
      <c r="M11" s="35" t="s">
        <v>11</v>
      </c>
      <c r="N11" s="33"/>
    </row>
    <row r="12" spans="1:17">
      <c r="A12" s="90">
        <v>7</v>
      </c>
      <c r="B12" s="77" t="s">
        <v>59</v>
      </c>
      <c r="C12" s="76">
        <v>0.5</v>
      </c>
      <c r="D12" s="1">
        <f t="shared" si="3"/>
        <v>4.5</v>
      </c>
      <c r="F12" s="33">
        <f>D12*15</f>
        <v>67.5</v>
      </c>
      <c r="I12" s="33">
        <f t="shared" si="4"/>
        <v>157.5</v>
      </c>
      <c r="J12" s="32" t="s">
        <v>10</v>
      </c>
      <c r="K12" s="28">
        <f>F45</f>
        <v>918</v>
      </c>
      <c r="L12" s="33">
        <f>K12-M12</f>
        <v>918</v>
      </c>
      <c r="M12" s="8"/>
      <c r="N12" s="33"/>
    </row>
    <row r="13" spans="1:17">
      <c r="A13" s="103">
        <v>8</v>
      </c>
      <c r="B13" s="107" t="s">
        <v>60</v>
      </c>
      <c r="C13" s="76">
        <v>0.5</v>
      </c>
      <c r="D13" s="1">
        <f t="shared" si="3"/>
        <v>4.5</v>
      </c>
      <c r="I13" s="33">
        <f t="shared" si="4"/>
        <v>157.5</v>
      </c>
      <c r="J13" s="32" t="s">
        <v>13</v>
      </c>
      <c r="K13" s="28">
        <f>G45</f>
        <v>1134</v>
      </c>
      <c r="L13" s="33">
        <f>K13-M13</f>
        <v>1134</v>
      </c>
      <c r="M13" s="8"/>
      <c r="N13" s="33"/>
    </row>
    <row r="14" spans="1:17">
      <c r="A14" s="96">
        <v>9</v>
      </c>
      <c r="B14" s="101" t="s">
        <v>61</v>
      </c>
      <c r="C14" s="76">
        <v>0.5</v>
      </c>
      <c r="D14" s="1">
        <f t="shared" si="3"/>
        <v>4.5</v>
      </c>
      <c r="F14" s="33">
        <f>D14*15</f>
        <v>67.5</v>
      </c>
      <c r="I14" s="33">
        <f t="shared" si="4"/>
        <v>157.5</v>
      </c>
      <c r="J14" s="32"/>
      <c r="K14" s="8"/>
      <c r="L14" s="33"/>
      <c r="M14" s="8"/>
      <c r="N14" s="33"/>
    </row>
    <row r="15" spans="1:17">
      <c r="A15" s="90">
        <v>10</v>
      </c>
      <c r="B15" s="101" t="s">
        <v>62</v>
      </c>
      <c r="C15" s="76">
        <v>0.5</v>
      </c>
      <c r="D15" s="1">
        <f t="shared" si="3"/>
        <v>4.5</v>
      </c>
      <c r="F15" s="33">
        <f>D15*15</f>
        <v>67.5</v>
      </c>
      <c r="I15" s="33">
        <f t="shared" si="4"/>
        <v>157.5</v>
      </c>
      <c r="J15" s="32"/>
      <c r="K15" s="8"/>
      <c r="L15" s="33"/>
      <c r="M15" s="7"/>
      <c r="N15" s="33"/>
    </row>
    <row r="16" spans="1:17">
      <c r="A16" s="90">
        <v>11</v>
      </c>
      <c r="B16" s="106" t="s">
        <v>96</v>
      </c>
      <c r="C16" s="76">
        <v>1.5</v>
      </c>
      <c r="D16" s="1">
        <f>C16*9</f>
        <v>13.5</v>
      </c>
      <c r="I16" s="33">
        <f>D16*35</f>
        <v>472.5</v>
      </c>
    </row>
    <row r="17" spans="1:17">
      <c r="A17" s="90">
        <v>12</v>
      </c>
      <c r="B17" s="79" t="s">
        <v>64</v>
      </c>
      <c r="C17" s="76">
        <v>0.5</v>
      </c>
      <c r="D17" s="1">
        <f t="shared" si="3"/>
        <v>4.5</v>
      </c>
      <c r="F17" s="33">
        <f>D17*15</f>
        <v>67.5</v>
      </c>
      <c r="I17" s="33">
        <f t="shared" si="4"/>
        <v>157.5</v>
      </c>
    </row>
    <row r="18" spans="1:17">
      <c r="A18" s="90">
        <v>13</v>
      </c>
      <c r="B18" s="101" t="s">
        <v>65</v>
      </c>
      <c r="C18" s="76">
        <v>0.3</v>
      </c>
      <c r="D18" s="1">
        <f t="shared" si="3"/>
        <v>2.6999999999999997</v>
      </c>
      <c r="F18" s="33">
        <f>D18*15</f>
        <v>40.499999999999993</v>
      </c>
      <c r="I18" s="33">
        <f t="shared" si="4"/>
        <v>94.499999999999986</v>
      </c>
      <c r="P18" s="4"/>
      <c r="Q18" s="4"/>
    </row>
    <row r="19" spans="1:17">
      <c r="A19" s="90">
        <v>14</v>
      </c>
      <c r="B19" s="79" t="s">
        <v>66</v>
      </c>
      <c r="C19" s="76">
        <v>0.3</v>
      </c>
      <c r="D19" s="1">
        <f t="shared" si="3"/>
        <v>2.6999999999999997</v>
      </c>
      <c r="F19" s="33">
        <f>D19*15</f>
        <v>40.499999999999993</v>
      </c>
      <c r="I19" s="33">
        <f t="shared" si="4"/>
        <v>94.499999999999986</v>
      </c>
      <c r="N19" s="4"/>
      <c r="O19" s="4"/>
      <c r="P19" s="4"/>
      <c r="Q19" s="4"/>
    </row>
    <row r="20" spans="1:17">
      <c r="A20" s="90">
        <v>15</v>
      </c>
      <c r="B20" s="79" t="s">
        <v>67</v>
      </c>
      <c r="C20" s="76">
        <v>0.3</v>
      </c>
      <c r="D20" s="1">
        <f t="shared" si="3"/>
        <v>2.6999999999999997</v>
      </c>
      <c r="G20" s="33">
        <f>D20*15</f>
        <v>40.499999999999993</v>
      </c>
      <c r="I20" s="33">
        <f t="shared" si="4"/>
        <v>94.499999999999986</v>
      </c>
      <c r="L20" s="5"/>
      <c r="N20" s="4"/>
      <c r="O20" s="4"/>
      <c r="P20" s="4"/>
      <c r="Q20" s="4"/>
    </row>
    <row r="21" spans="1:17">
      <c r="A21" s="90">
        <v>16</v>
      </c>
      <c r="B21" s="79" t="s">
        <v>68</v>
      </c>
      <c r="C21" s="76">
        <v>0.3</v>
      </c>
      <c r="D21" s="1">
        <f t="shared" si="3"/>
        <v>2.6999999999999997</v>
      </c>
      <c r="G21" s="33">
        <f>D21*15</f>
        <v>40.499999999999993</v>
      </c>
      <c r="I21" s="33">
        <f t="shared" si="4"/>
        <v>94.499999999999986</v>
      </c>
      <c r="L21" s="5"/>
      <c r="N21" s="4"/>
      <c r="O21" s="4"/>
      <c r="P21" s="4"/>
      <c r="Q21" s="4"/>
    </row>
    <row r="22" spans="1:17">
      <c r="A22" s="90">
        <v>17</v>
      </c>
      <c r="B22" s="79" t="s">
        <v>69</v>
      </c>
      <c r="C22" s="76">
        <v>0.3</v>
      </c>
      <c r="D22" s="1">
        <f t="shared" si="3"/>
        <v>2.6999999999999997</v>
      </c>
      <c r="G22" s="33">
        <f>D22*15</f>
        <v>40.499999999999993</v>
      </c>
      <c r="I22" s="33">
        <f t="shared" si="4"/>
        <v>94.499999999999986</v>
      </c>
      <c r="L22" s="5"/>
      <c r="N22" s="4"/>
      <c r="O22" s="4"/>
      <c r="P22" s="4"/>
      <c r="Q22" s="4"/>
    </row>
    <row r="23" spans="1:17">
      <c r="A23" s="90">
        <v>18</v>
      </c>
      <c r="B23" s="79" t="s">
        <v>70</v>
      </c>
      <c r="C23" s="76">
        <v>0.3</v>
      </c>
      <c r="D23" s="1">
        <f t="shared" si="3"/>
        <v>2.6999999999999997</v>
      </c>
      <c r="G23" s="33">
        <f>D23*15</f>
        <v>40.499999999999993</v>
      </c>
      <c r="I23" s="33">
        <f t="shared" si="4"/>
        <v>94.499999999999986</v>
      </c>
      <c r="L23" s="5"/>
      <c r="N23" s="4"/>
      <c r="O23" s="4"/>
      <c r="P23" s="4"/>
      <c r="Q23" s="4"/>
    </row>
    <row r="24" spans="1:17">
      <c r="A24" s="90">
        <v>19</v>
      </c>
      <c r="B24" s="79" t="s">
        <v>71</v>
      </c>
      <c r="C24" s="76">
        <v>0.3</v>
      </c>
      <c r="D24" s="1">
        <f t="shared" si="3"/>
        <v>2.6999999999999997</v>
      </c>
      <c r="G24" s="33">
        <f>D24*15</f>
        <v>40.499999999999993</v>
      </c>
      <c r="I24" s="33">
        <f t="shared" si="4"/>
        <v>94.499999999999986</v>
      </c>
      <c r="L24" s="4"/>
      <c r="N24" s="6"/>
      <c r="O24" s="4"/>
      <c r="P24" s="4"/>
      <c r="Q24" s="4"/>
    </row>
    <row r="25" spans="1:17">
      <c r="A25" s="90">
        <v>20</v>
      </c>
      <c r="B25" s="79" t="s">
        <v>72</v>
      </c>
      <c r="C25" s="76">
        <v>1</v>
      </c>
      <c r="D25" s="1">
        <f t="shared" si="3"/>
        <v>9</v>
      </c>
      <c r="G25" s="33">
        <f t="shared" ref="G25:G34" si="6">D25*15</f>
        <v>135</v>
      </c>
      <c r="I25" s="33">
        <f t="shared" si="4"/>
        <v>315</v>
      </c>
      <c r="L25" s="4"/>
      <c r="N25" s="6"/>
      <c r="O25" s="4"/>
      <c r="P25" s="4"/>
      <c r="Q25" s="4"/>
    </row>
    <row r="26" spans="1:17">
      <c r="A26" s="90">
        <v>21</v>
      </c>
      <c r="B26" s="79" t="s">
        <v>73</v>
      </c>
      <c r="C26" s="76">
        <v>0.3</v>
      </c>
      <c r="D26" s="1">
        <f t="shared" si="3"/>
        <v>2.6999999999999997</v>
      </c>
      <c r="G26" s="33">
        <f t="shared" si="6"/>
        <v>40.499999999999993</v>
      </c>
      <c r="I26" s="33">
        <f t="shared" si="4"/>
        <v>94.499999999999986</v>
      </c>
      <c r="L26" s="4"/>
      <c r="N26" s="4"/>
      <c r="O26" s="4"/>
      <c r="P26" s="4"/>
      <c r="Q26" s="4"/>
    </row>
    <row r="27" spans="1:17">
      <c r="A27" s="90">
        <v>22</v>
      </c>
      <c r="B27" s="106" t="s">
        <v>97</v>
      </c>
      <c r="C27" s="76">
        <v>1</v>
      </c>
      <c r="D27" s="1">
        <f>C27*9</f>
        <v>9</v>
      </c>
      <c r="F27" s="33"/>
      <c r="G27" s="33">
        <f t="shared" si="6"/>
        <v>135</v>
      </c>
      <c r="I27" s="33">
        <f>D27*35</f>
        <v>315</v>
      </c>
      <c r="L27" s="4"/>
      <c r="N27" s="33"/>
      <c r="O27" s="4"/>
      <c r="P27" s="4"/>
      <c r="Q27" s="4"/>
    </row>
    <row r="28" spans="1:17">
      <c r="A28" s="90">
        <v>23</v>
      </c>
      <c r="B28" s="94" t="s">
        <v>98</v>
      </c>
      <c r="C28" s="76">
        <v>0.5</v>
      </c>
      <c r="D28" s="1">
        <f>C28*9</f>
        <v>4.5</v>
      </c>
      <c r="F28" s="33"/>
      <c r="G28" s="33">
        <f t="shared" si="6"/>
        <v>67.5</v>
      </c>
      <c r="I28" s="33">
        <f>D28*35</f>
        <v>157.5</v>
      </c>
      <c r="L28" s="4"/>
      <c r="N28" s="33"/>
      <c r="O28" s="4"/>
      <c r="P28" s="4"/>
      <c r="Q28" s="4"/>
    </row>
    <row r="29" spans="1:17">
      <c r="A29" s="90">
        <v>24</v>
      </c>
      <c r="B29" s="94" t="s">
        <v>99</v>
      </c>
      <c r="C29" s="76">
        <v>0.5</v>
      </c>
      <c r="D29" s="1">
        <f>C29*9</f>
        <v>4.5</v>
      </c>
      <c r="F29" s="33"/>
      <c r="G29" s="33">
        <f t="shared" si="6"/>
        <v>67.5</v>
      </c>
      <c r="I29" s="33">
        <f>D29*35</f>
        <v>157.5</v>
      </c>
      <c r="L29" s="4"/>
      <c r="N29" s="4"/>
      <c r="O29" s="4"/>
      <c r="P29" s="4"/>
      <c r="Q29" s="4"/>
    </row>
    <row r="30" spans="1:17">
      <c r="A30" s="102">
        <v>25</v>
      </c>
      <c r="B30" s="106" t="s">
        <v>84</v>
      </c>
      <c r="C30" s="76">
        <v>0.5</v>
      </c>
      <c r="D30" s="1">
        <f t="shared" ref="D30:D43" si="7">C30*9</f>
        <v>4.5</v>
      </c>
      <c r="G30" s="33">
        <f t="shared" si="6"/>
        <v>67.5</v>
      </c>
      <c r="I30" s="33">
        <f t="shared" ref="I30:I43" si="8">D30*35</f>
        <v>157.5</v>
      </c>
      <c r="L30" s="4"/>
    </row>
    <row r="31" spans="1:17">
      <c r="A31" s="90">
        <v>26</v>
      </c>
      <c r="B31" s="106" t="s">
        <v>85</v>
      </c>
      <c r="C31" s="76">
        <v>0.5</v>
      </c>
      <c r="D31" s="1">
        <f t="shared" si="7"/>
        <v>4.5</v>
      </c>
      <c r="G31" s="33">
        <f t="shared" si="6"/>
        <v>67.5</v>
      </c>
      <c r="I31" s="33">
        <f t="shared" si="8"/>
        <v>157.5</v>
      </c>
      <c r="L31" s="4"/>
      <c r="N31" s="4"/>
      <c r="O31" s="4"/>
      <c r="P31" s="4"/>
      <c r="Q31" s="4"/>
    </row>
    <row r="32" spans="1:17">
      <c r="A32" s="90">
        <v>27</v>
      </c>
      <c r="B32" s="79" t="s">
        <v>86</v>
      </c>
      <c r="C32" s="76">
        <v>0.5</v>
      </c>
      <c r="D32" s="1">
        <f t="shared" si="7"/>
        <v>4.5</v>
      </c>
      <c r="G32" s="33">
        <f t="shared" si="6"/>
        <v>67.5</v>
      </c>
      <c r="I32" s="33">
        <f t="shared" si="8"/>
        <v>157.5</v>
      </c>
      <c r="M32" s="33"/>
    </row>
    <row r="33" spans="1:17">
      <c r="A33" s="90">
        <v>28</v>
      </c>
      <c r="B33" s="93" t="s">
        <v>87</v>
      </c>
      <c r="C33" s="76">
        <v>0.5</v>
      </c>
      <c r="D33" s="1">
        <f t="shared" si="7"/>
        <v>4.5</v>
      </c>
      <c r="F33" s="33"/>
      <c r="I33" s="33">
        <f t="shared" si="8"/>
        <v>157.5</v>
      </c>
      <c r="J33" s="33"/>
      <c r="K33" s="64"/>
    </row>
    <row r="34" spans="1:17">
      <c r="A34" s="90">
        <v>29</v>
      </c>
      <c r="B34" s="93" t="s">
        <v>88</v>
      </c>
      <c r="C34" s="76">
        <v>0.5</v>
      </c>
      <c r="D34" s="1">
        <f t="shared" si="7"/>
        <v>4.5</v>
      </c>
      <c r="G34" s="33">
        <f t="shared" si="6"/>
        <v>67.5</v>
      </c>
      <c r="I34" s="33">
        <f t="shared" si="8"/>
        <v>157.5</v>
      </c>
    </row>
    <row r="35" spans="1:17">
      <c r="A35" s="90">
        <v>30</v>
      </c>
      <c r="B35" s="93" t="s">
        <v>89</v>
      </c>
      <c r="C35" s="76">
        <v>0.5</v>
      </c>
      <c r="D35" s="1">
        <f t="shared" si="7"/>
        <v>4.5</v>
      </c>
      <c r="F35" s="33">
        <f>D35*15</f>
        <v>67.5</v>
      </c>
      <c r="I35" s="33">
        <f t="shared" si="8"/>
        <v>157.5</v>
      </c>
    </row>
    <row r="36" spans="1:17">
      <c r="A36" s="103">
        <v>31</v>
      </c>
      <c r="B36" s="106" t="s">
        <v>102</v>
      </c>
      <c r="C36" s="76">
        <v>0.5</v>
      </c>
      <c r="D36" s="1">
        <f t="shared" si="7"/>
        <v>4.5</v>
      </c>
      <c r="I36" s="33">
        <f t="shared" si="8"/>
        <v>157.5</v>
      </c>
    </row>
    <row r="37" spans="1:17">
      <c r="A37" s="90">
        <v>32</v>
      </c>
      <c r="B37" s="93" t="s">
        <v>90</v>
      </c>
      <c r="C37" s="76">
        <v>0.5</v>
      </c>
      <c r="D37" s="1">
        <f t="shared" si="7"/>
        <v>4.5</v>
      </c>
      <c r="F37" s="33">
        <f>D37*15</f>
        <v>67.5</v>
      </c>
      <c r="I37" s="33">
        <f t="shared" si="8"/>
        <v>157.5</v>
      </c>
      <c r="L37" s="4"/>
      <c r="N37" s="4"/>
      <c r="O37" s="4"/>
      <c r="P37" s="4"/>
      <c r="Q37" s="4"/>
    </row>
    <row r="38" spans="1:17">
      <c r="A38" s="96">
        <v>33</v>
      </c>
      <c r="B38" s="93" t="s">
        <v>91</v>
      </c>
      <c r="C38" s="76">
        <v>0.5</v>
      </c>
      <c r="D38" s="1">
        <f t="shared" si="7"/>
        <v>4.5</v>
      </c>
      <c r="I38" s="33">
        <f t="shared" si="8"/>
        <v>157.5</v>
      </c>
      <c r="L38" s="4"/>
      <c r="N38" s="4"/>
      <c r="O38" s="4"/>
      <c r="P38" s="4"/>
      <c r="Q38" s="4"/>
    </row>
    <row r="39" spans="1:17">
      <c r="A39" s="90">
        <v>34</v>
      </c>
      <c r="B39" s="101" t="s">
        <v>92</v>
      </c>
      <c r="C39" s="76">
        <v>0.5</v>
      </c>
      <c r="D39" s="1">
        <f t="shared" si="7"/>
        <v>4.5</v>
      </c>
      <c r="F39" s="33">
        <f>D39*15</f>
        <v>67.5</v>
      </c>
      <c r="I39" s="33">
        <f t="shared" si="8"/>
        <v>157.5</v>
      </c>
    </row>
    <row r="40" spans="1:17">
      <c r="A40" s="90">
        <v>35</v>
      </c>
      <c r="B40" s="93" t="s">
        <v>93</v>
      </c>
      <c r="C40" s="76">
        <v>0.5</v>
      </c>
      <c r="D40" s="1">
        <f t="shared" si="7"/>
        <v>4.5</v>
      </c>
      <c r="F40" s="33">
        <f>D40*15</f>
        <v>67.5</v>
      </c>
      <c r="I40" s="33">
        <f t="shared" si="8"/>
        <v>157.5</v>
      </c>
    </row>
    <row r="41" spans="1:17">
      <c r="A41" s="90">
        <v>36</v>
      </c>
      <c r="B41" s="93" t="s">
        <v>94</v>
      </c>
      <c r="C41" s="76">
        <v>0.3</v>
      </c>
      <c r="D41" s="1">
        <f t="shared" si="7"/>
        <v>2.6999999999999997</v>
      </c>
      <c r="I41" s="33">
        <f t="shared" si="8"/>
        <v>94.499999999999986</v>
      </c>
    </row>
    <row r="42" spans="1:17">
      <c r="A42" s="90">
        <v>37</v>
      </c>
      <c r="B42" s="100" t="s">
        <v>100</v>
      </c>
      <c r="C42" s="76">
        <v>0.5</v>
      </c>
      <c r="D42" s="1">
        <f t="shared" si="7"/>
        <v>4.5</v>
      </c>
      <c r="F42" s="33">
        <f>D42*15</f>
        <v>67.5</v>
      </c>
      <c r="I42" s="33">
        <f t="shared" si="8"/>
        <v>157.5</v>
      </c>
    </row>
    <row r="43" spans="1:17">
      <c r="A43" s="90">
        <v>38</v>
      </c>
      <c r="B43" s="100" t="s">
        <v>101</v>
      </c>
      <c r="C43" s="76">
        <v>0.3</v>
      </c>
      <c r="D43" s="1">
        <f t="shared" si="7"/>
        <v>2.6999999999999997</v>
      </c>
      <c r="G43" s="33">
        <f t="shared" ref="G43" si="9">D43*15</f>
        <v>40.499999999999993</v>
      </c>
      <c r="I43" s="33">
        <f t="shared" si="8"/>
        <v>94.499999999999986</v>
      </c>
    </row>
    <row r="45" spans="1:17">
      <c r="A45" s="11"/>
      <c r="B45" s="57"/>
      <c r="C45" s="11">
        <f>SUM(C6:C44)</f>
        <v>19.000000000000004</v>
      </c>
      <c r="D45" s="11">
        <f>SUM(D6:D44)</f>
        <v>171</v>
      </c>
      <c r="E45" s="58"/>
      <c r="F45" s="112">
        <f>SUM(F6:F44)</f>
        <v>918</v>
      </c>
      <c r="G45" s="112">
        <f>SUM(G6:G44)</f>
        <v>1134</v>
      </c>
      <c r="H45" s="59">
        <f>F45+G45</f>
        <v>2052</v>
      </c>
      <c r="I45" s="60">
        <f>SUM(I6:I44)</f>
        <v>5985</v>
      </c>
    </row>
    <row r="46" spans="1:17">
      <c r="F46" s="112">
        <f>F45*40</f>
        <v>36720</v>
      </c>
      <c r="G46" s="112">
        <f>G45*40</f>
        <v>45360</v>
      </c>
      <c r="H46" s="33">
        <f t="shared" ref="H46:I46" si="10">H45*40</f>
        <v>82080</v>
      </c>
      <c r="I46" s="33">
        <f t="shared" si="10"/>
        <v>239400</v>
      </c>
    </row>
  </sheetData>
  <pageMargins left="0.7" right="0.7" top="0.75" bottom="0.75" header="0.3" footer="0.3"/>
  <pageSetup paperSize="9" orientation="portrait" horizontalDpi="0" verticalDpi="0"/>
  <ignoredErrors>
    <ignoredError sqref="H45" formula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F88A4-D093-6D4B-B145-792D77761CF4}">
  <dimension ref="A2:Q38"/>
  <sheetViews>
    <sheetView workbookViewId="0">
      <pane ySplit="2" topLeftCell="A3" activePane="bottomLeft" state="frozen"/>
      <selection pane="bottomLeft" activeCell="B34" sqref="B34"/>
    </sheetView>
  </sheetViews>
  <sheetFormatPr baseColWidth="10" defaultRowHeight="16"/>
  <cols>
    <col min="1" max="1" width="3.6640625" style="1" bestFit="1" customWidth="1"/>
    <col min="2" max="2" width="66.6640625" style="2" customWidth="1"/>
    <col min="3" max="4" width="10.83203125" style="1" customWidth="1"/>
    <col min="5" max="5" width="9.1640625" style="1" customWidth="1"/>
    <col min="6" max="6" width="11.6640625" style="1" customWidth="1"/>
    <col min="7" max="7" width="10.83203125" style="1"/>
    <col min="8" max="8" width="12" style="1" customWidth="1"/>
    <col min="9" max="9" width="11.83203125" style="1" customWidth="1"/>
    <col min="10" max="10" width="10.33203125" style="1" customWidth="1"/>
    <col min="11" max="11" width="12.33203125" style="1" customWidth="1"/>
    <col min="12" max="12" width="12.5" style="1" bestFit="1" customWidth="1"/>
    <col min="13" max="13" width="14" style="1" bestFit="1" customWidth="1"/>
    <col min="14" max="14" width="13" style="1" customWidth="1"/>
    <col min="15" max="16384" width="10.83203125" style="1"/>
  </cols>
  <sheetData>
    <row r="2" spans="1:17">
      <c r="B2" s="61" t="s">
        <v>9</v>
      </c>
      <c r="F2" s="41" t="s">
        <v>0</v>
      </c>
      <c r="G2" s="38" t="s">
        <v>7</v>
      </c>
    </row>
    <row r="3" spans="1:17">
      <c r="F3" s="38" t="s">
        <v>28</v>
      </c>
      <c r="G3" s="38" t="s">
        <v>25</v>
      </c>
    </row>
    <row r="4" spans="1:17">
      <c r="A4" s="68"/>
      <c r="B4" s="67" t="s">
        <v>46</v>
      </c>
      <c r="C4" s="69" t="s">
        <v>44</v>
      </c>
      <c r="D4" s="70" t="s">
        <v>8</v>
      </c>
      <c r="E4" s="71" t="s">
        <v>6</v>
      </c>
      <c r="F4" s="73" t="s">
        <v>13</v>
      </c>
      <c r="G4" s="73" t="s">
        <v>14</v>
      </c>
      <c r="H4" s="73" t="s">
        <v>16</v>
      </c>
      <c r="I4" s="75" t="s">
        <v>18</v>
      </c>
      <c r="K4" s="25"/>
      <c r="L4" s="25"/>
      <c r="M4" s="14"/>
      <c r="N4" s="31" t="s">
        <v>19</v>
      </c>
    </row>
    <row r="5" spans="1:17">
      <c r="B5" s="30"/>
      <c r="E5" s="20"/>
      <c r="F5" s="12"/>
      <c r="G5" s="12"/>
      <c r="I5" s="20"/>
      <c r="K5" s="4"/>
      <c r="L5" s="16" t="s">
        <v>1</v>
      </c>
      <c r="M5" s="29" t="s">
        <v>2</v>
      </c>
      <c r="N5" s="33">
        <v>50</v>
      </c>
    </row>
    <row r="6" spans="1:17">
      <c r="A6" s="13">
        <v>1</v>
      </c>
      <c r="B6" s="40" t="s">
        <v>39</v>
      </c>
      <c r="C6" s="38">
        <v>1</v>
      </c>
      <c r="D6" s="1">
        <f>C6*9</f>
        <v>9</v>
      </c>
      <c r="F6" s="66">
        <f>D6*N17</f>
        <v>90</v>
      </c>
      <c r="I6" s="33">
        <f t="shared" ref="I6:I16" si="0">D6*35</f>
        <v>315</v>
      </c>
      <c r="K6" s="5" t="s">
        <v>4</v>
      </c>
      <c r="L6" s="8">
        <f>I18</f>
        <v>1890</v>
      </c>
      <c r="M6" s="7">
        <f>L6*36.95</f>
        <v>69835.5</v>
      </c>
      <c r="N6" s="33">
        <v>45</v>
      </c>
    </row>
    <row r="7" spans="1:17">
      <c r="A7" s="13">
        <v>2</v>
      </c>
      <c r="B7" s="55" t="s">
        <v>40</v>
      </c>
      <c r="C7" s="38">
        <v>0.5</v>
      </c>
      <c r="D7" s="1">
        <f t="shared" ref="D7:D16" si="1">C7*9</f>
        <v>4.5</v>
      </c>
      <c r="E7" s="20"/>
      <c r="F7" s="66">
        <f>D7*N17</f>
        <v>45</v>
      </c>
      <c r="G7" s="21"/>
      <c r="H7" s="21"/>
      <c r="I7" s="33">
        <f t="shared" si="0"/>
        <v>157.5</v>
      </c>
      <c r="K7" s="5" t="s">
        <v>3</v>
      </c>
      <c r="L7" s="8">
        <f>L6-L6*0.05</f>
        <v>1795.5</v>
      </c>
      <c r="M7" s="7">
        <f>L7*36.95</f>
        <v>66343.725000000006</v>
      </c>
      <c r="N7" s="33">
        <v>40</v>
      </c>
    </row>
    <row r="8" spans="1:17">
      <c r="A8" s="13">
        <v>3</v>
      </c>
      <c r="B8" s="62" t="s">
        <v>41</v>
      </c>
      <c r="C8" s="38">
        <v>0.6</v>
      </c>
      <c r="D8" s="1">
        <f t="shared" si="1"/>
        <v>5.3999999999999995</v>
      </c>
      <c r="G8" s="66">
        <f>D8*N13</f>
        <v>80.999999999999986</v>
      </c>
      <c r="I8" s="33">
        <f t="shared" si="0"/>
        <v>188.99999999999997</v>
      </c>
      <c r="K8" s="5" t="s">
        <v>5</v>
      </c>
      <c r="L8" s="8">
        <f>H18</f>
        <v>704.25</v>
      </c>
      <c r="M8" s="7">
        <f t="shared" ref="M8:M9" si="2">L8*36.95</f>
        <v>26022.037500000002</v>
      </c>
      <c r="N8" s="33">
        <v>35</v>
      </c>
    </row>
    <row r="9" spans="1:17">
      <c r="A9" s="13">
        <v>4</v>
      </c>
      <c r="B9" s="55" t="s">
        <v>42</v>
      </c>
      <c r="C9" s="38">
        <v>0.6</v>
      </c>
      <c r="D9" s="1">
        <f t="shared" si="1"/>
        <v>5.3999999999999995</v>
      </c>
      <c r="E9" s="20"/>
      <c r="F9" s="21"/>
      <c r="G9" s="66">
        <f>D9*N13</f>
        <v>80.999999999999986</v>
      </c>
      <c r="H9" s="21"/>
      <c r="I9" s="33">
        <f t="shared" si="0"/>
        <v>188.99999999999997</v>
      </c>
      <c r="K9" s="37" t="s">
        <v>18</v>
      </c>
      <c r="L9" s="8">
        <f>L7-L8</f>
        <v>1091.25</v>
      </c>
      <c r="M9" s="7">
        <f t="shared" si="2"/>
        <v>40321.6875</v>
      </c>
      <c r="N9" s="33">
        <v>32</v>
      </c>
      <c r="O9" s="4"/>
      <c r="P9" s="4"/>
      <c r="Q9" s="4"/>
    </row>
    <row r="10" spans="1:17">
      <c r="A10" s="13">
        <v>5</v>
      </c>
      <c r="B10" s="55" t="s">
        <v>43</v>
      </c>
      <c r="C10" s="38">
        <v>0.5</v>
      </c>
      <c r="D10" s="1">
        <f t="shared" si="1"/>
        <v>4.5</v>
      </c>
      <c r="G10" s="66">
        <f>D10*N13</f>
        <v>67.5</v>
      </c>
      <c r="I10" s="33">
        <f t="shared" si="0"/>
        <v>157.5</v>
      </c>
      <c r="J10" s="8"/>
      <c r="K10" s="7"/>
      <c r="L10" s="4"/>
      <c r="N10" s="33">
        <v>30</v>
      </c>
    </row>
    <row r="11" spans="1:17">
      <c r="A11" s="13">
        <v>6</v>
      </c>
      <c r="B11" s="62" t="s">
        <v>47</v>
      </c>
      <c r="C11" s="38">
        <v>0.5</v>
      </c>
      <c r="D11" s="1">
        <f t="shared" si="1"/>
        <v>4.5</v>
      </c>
      <c r="G11" s="66">
        <f>D11*N13</f>
        <v>67.5</v>
      </c>
      <c r="I11" s="33">
        <f t="shared" si="0"/>
        <v>157.5</v>
      </c>
      <c r="J11" s="36" t="s">
        <v>5</v>
      </c>
      <c r="K11" s="34" t="s">
        <v>17</v>
      </c>
      <c r="L11" s="35" t="s">
        <v>11</v>
      </c>
      <c r="M11" s="17" t="s">
        <v>12</v>
      </c>
      <c r="N11" s="33">
        <v>25</v>
      </c>
    </row>
    <row r="12" spans="1:17">
      <c r="A12" s="13">
        <v>7</v>
      </c>
      <c r="B12" s="62" t="s">
        <v>48</v>
      </c>
      <c r="C12" s="1">
        <v>0.25</v>
      </c>
      <c r="D12" s="1">
        <f t="shared" si="1"/>
        <v>2.25</v>
      </c>
      <c r="G12" s="66">
        <f>D12*N13</f>
        <v>33.75</v>
      </c>
      <c r="I12" s="33">
        <f t="shared" si="0"/>
        <v>78.75</v>
      </c>
      <c r="J12" s="32" t="s">
        <v>10</v>
      </c>
      <c r="K12" s="28">
        <f>F18</f>
        <v>211.5</v>
      </c>
      <c r="L12" s="8"/>
      <c r="M12" s="33">
        <f>K12-L12</f>
        <v>211.5</v>
      </c>
      <c r="N12" s="33">
        <v>20</v>
      </c>
    </row>
    <row r="13" spans="1:17">
      <c r="A13" s="13">
        <v>8</v>
      </c>
      <c r="B13" s="62" t="s">
        <v>49</v>
      </c>
      <c r="C13" s="1">
        <v>0.25</v>
      </c>
      <c r="D13" s="1">
        <f t="shared" si="1"/>
        <v>2.25</v>
      </c>
      <c r="F13" s="66">
        <f>D13*N17</f>
        <v>22.5</v>
      </c>
      <c r="I13" s="33">
        <f t="shared" si="0"/>
        <v>78.75</v>
      </c>
      <c r="J13" s="32" t="s">
        <v>13</v>
      </c>
      <c r="K13" s="28">
        <f>G18</f>
        <v>492.75</v>
      </c>
      <c r="L13" s="8"/>
      <c r="M13" s="33">
        <f t="shared" ref="M13" si="3">K13-L13</f>
        <v>492.75</v>
      </c>
      <c r="N13" s="33">
        <v>15</v>
      </c>
    </row>
    <row r="14" spans="1:17">
      <c r="A14" s="13">
        <v>9</v>
      </c>
      <c r="B14" s="62" t="s">
        <v>50</v>
      </c>
      <c r="C14" s="38">
        <v>0.3</v>
      </c>
      <c r="D14" s="1">
        <f t="shared" si="1"/>
        <v>2.6999999999999997</v>
      </c>
      <c r="F14" s="66">
        <f>D14*N17</f>
        <v>26.999999999999996</v>
      </c>
      <c r="I14" s="33">
        <f t="shared" si="0"/>
        <v>94.499999999999986</v>
      </c>
      <c r="J14" s="32"/>
      <c r="K14" s="8"/>
      <c r="L14" s="8"/>
      <c r="M14" s="33"/>
      <c r="N14" s="33">
        <v>13</v>
      </c>
    </row>
    <row r="15" spans="1:17">
      <c r="A15" s="13">
        <v>10</v>
      </c>
      <c r="B15" s="62" t="s">
        <v>51</v>
      </c>
      <c r="C15" s="38">
        <v>0.3</v>
      </c>
      <c r="D15" s="1">
        <f t="shared" si="1"/>
        <v>2.6999999999999997</v>
      </c>
      <c r="F15" s="66">
        <f>D15*N17</f>
        <v>26.999999999999996</v>
      </c>
      <c r="I15" s="33">
        <f t="shared" si="0"/>
        <v>94.499999999999986</v>
      </c>
      <c r="J15" s="32"/>
      <c r="K15" s="8"/>
      <c r="L15" s="7"/>
      <c r="M15" s="33"/>
      <c r="N15" s="33">
        <v>12</v>
      </c>
    </row>
    <row r="16" spans="1:17">
      <c r="A16" s="13">
        <v>11</v>
      </c>
      <c r="B16" s="63" t="s">
        <v>52</v>
      </c>
      <c r="C16" s="1">
        <v>1.2</v>
      </c>
      <c r="D16" s="1">
        <f t="shared" si="1"/>
        <v>10.799999999999999</v>
      </c>
      <c r="F16" s="33"/>
      <c r="G16" s="66">
        <f>D16*N13</f>
        <v>161.99999999999997</v>
      </c>
      <c r="I16" s="33">
        <f t="shared" si="0"/>
        <v>377.99999999999994</v>
      </c>
      <c r="M16" s="4"/>
      <c r="N16" s="33">
        <v>11</v>
      </c>
      <c r="O16" s="4"/>
      <c r="P16" s="4"/>
      <c r="Q16" s="4"/>
    </row>
    <row r="17" spans="1:17">
      <c r="M17" s="9"/>
      <c r="N17" s="33">
        <v>10</v>
      </c>
      <c r="O17" s="4"/>
      <c r="P17" s="4"/>
      <c r="Q17" s="4"/>
    </row>
    <row r="18" spans="1:17">
      <c r="A18" s="11"/>
      <c r="B18" s="57"/>
      <c r="C18" s="11">
        <f>SUM(C5:C17)</f>
        <v>6</v>
      </c>
      <c r="D18" s="11">
        <f>SUM(D6:D17)</f>
        <v>54</v>
      </c>
      <c r="E18" s="58"/>
      <c r="F18" s="66">
        <f>SUM(F6:F16)</f>
        <v>211.5</v>
      </c>
      <c r="G18" s="66">
        <f>SUM(G5:G16)</f>
        <v>492.75</v>
      </c>
      <c r="H18" s="59">
        <f>SUM(F18:G18)</f>
        <v>704.25</v>
      </c>
      <c r="I18" s="60">
        <f>SUM(I6:I16)</f>
        <v>1890</v>
      </c>
      <c r="N18" s="4"/>
      <c r="O18" s="4"/>
      <c r="P18" s="4"/>
      <c r="Q18" s="4"/>
    </row>
    <row r="20" spans="1:17">
      <c r="P20" s="4"/>
      <c r="Q20" s="4"/>
    </row>
    <row r="21" spans="1:17">
      <c r="N21" s="4"/>
      <c r="O21" s="4"/>
      <c r="P21" s="4"/>
      <c r="Q21" s="4"/>
    </row>
    <row r="22" spans="1:17">
      <c r="M22" s="5"/>
      <c r="N22" s="4"/>
      <c r="O22" s="4"/>
      <c r="P22" s="4"/>
      <c r="Q22" s="4"/>
    </row>
    <row r="23" spans="1:17">
      <c r="M23" s="5"/>
      <c r="N23" s="4"/>
      <c r="O23" s="4"/>
      <c r="P23" s="4"/>
      <c r="Q23" s="4"/>
    </row>
    <row r="24" spans="1:17">
      <c r="M24" s="5"/>
      <c r="N24" s="4"/>
      <c r="O24" s="4"/>
      <c r="P24" s="4"/>
      <c r="Q24" s="4"/>
    </row>
    <row r="25" spans="1:17">
      <c r="M25" s="5"/>
      <c r="N25" s="4"/>
      <c r="O25" s="4"/>
      <c r="P25" s="4"/>
      <c r="Q25" s="4"/>
    </row>
    <row r="26" spans="1:17">
      <c r="M26" s="4"/>
      <c r="N26" s="6"/>
      <c r="O26" s="4"/>
      <c r="P26" s="4"/>
      <c r="Q26" s="4"/>
    </row>
    <row r="27" spans="1:17">
      <c r="M27" s="4"/>
      <c r="N27" s="6"/>
      <c r="O27" s="4"/>
      <c r="P27" s="4"/>
      <c r="Q27" s="4"/>
    </row>
    <row r="28" spans="1:17">
      <c r="M28" s="4"/>
      <c r="N28" s="4"/>
      <c r="O28" s="4"/>
      <c r="P28" s="4"/>
      <c r="Q28" s="4"/>
    </row>
    <row r="30" spans="1:17">
      <c r="M30" s="4"/>
      <c r="N30" s="4"/>
      <c r="O30" s="4"/>
      <c r="P30" s="4"/>
      <c r="Q30" s="4"/>
    </row>
    <row r="31" spans="1:17">
      <c r="L31" s="33"/>
    </row>
    <row r="32" spans="1:17">
      <c r="K32" s="64"/>
    </row>
    <row r="37" spans="13:17">
      <c r="M37" s="4"/>
      <c r="N37" s="4"/>
      <c r="O37" s="4"/>
      <c r="P37" s="4"/>
      <c r="Q37" s="4"/>
    </row>
    <row r="38" spans="13:17">
      <c r="M38" s="4"/>
      <c r="N38" s="4"/>
      <c r="O38" s="4"/>
      <c r="P38" s="4"/>
      <c r="Q38" s="4"/>
    </row>
  </sheetData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12CE-0BC4-4B45-8DEB-5BB7271DA6D2}">
  <dimension ref="A1:S61"/>
  <sheetViews>
    <sheetView workbookViewId="0">
      <pane ySplit="2" topLeftCell="A3" activePane="bottomLeft" state="frozen"/>
      <selection pane="bottomLeft" activeCell="K57" sqref="K57"/>
    </sheetView>
  </sheetViews>
  <sheetFormatPr baseColWidth="10" defaultRowHeight="16"/>
  <cols>
    <col min="1" max="1" width="3.6640625" style="1" bestFit="1" customWidth="1"/>
    <col min="2" max="2" width="66.6640625" style="2" customWidth="1"/>
    <col min="3" max="4" width="10.83203125" style="1" customWidth="1"/>
    <col min="5" max="5" width="9.1640625" style="1" customWidth="1"/>
    <col min="6" max="6" width="11.5" style="1" bestFit="1" customWidth="1"/>
    <col min="7" max="7" width="11.6640625" style="1" customWidth="1"/>
    <col min="8" max="8" width="10.83203125" style="1"/>
    <col min="9" max="9" width="10.83203125" style="3"/>
    <col min="10" max="10" width="12" style="1" customWidth="1"/>
    <col min="11" max="11" width="11.83203125" style="1" customWidth="1"/>
    <col min="12" max="12" width="10.33203125" style="1" customWidth="1"/>
    <col min="13" max="13" width="12.33203125" style="1" customWidth="1"/>
    <col min="14" max="14" width="12.5" style="1" bestFit="1" customWidth="1"/>
    <col min="15" max="15" width="14" style="1" bestFit="1" customWidth="1"/>
    <col min="16" max="16" width="13" style="1" customWidth="1"/>
    <col min="17" max="16384" width="10.83203125" style="1"/>
  </cols>
  <sheetData>
    <row r="1" spans="1:19">
      <c r="I1" s="1"/>
    </row>
    <row r="2" spans="1:19">
      <c r="B2" s="61" t="s">
        <v>9</v>
      </c>
      <c r="F2" s="38" t="s">
        <v>26</v>
      </c>
      <c r="G2" s="41" t="s">
        <v>0</v>
      </c>
      <c r="H2" s="38" t="s">
        <v>7</v>
      </c>
      <c r="I2" s="38" t="s">
        <v>0</v>
      </c>
    </row>
    <row r="3" spans="1:19">
      <c r="F3" s="38" t="s">
        <v>28</v>
      </c>
      <c r="G3" s="38" t="s">
        <v>28</v>
      </c>
      <c r="H3" s="38" t="s">
        <v>25</v>
      </c>
      <c r="I3" s="38" t="s">
        <v>27</v>
      </c>
    </row>
    <row r="4" spans="1:19">
      <c r="A4" s="68"/>
      <c r="B4" s="67" t="s">
        <v>45</v>
      </c>
      <c r="C4" s="69" t="s">
        <v>44</v>
      </c>
      <c r="D4" s="70" t="s">
        <v>8</v>
      </c>
      <c r="E4" s="71" t="s">
        <v>6</v>
      </c>
      <c r="F4" s="72" t="s">
        <v>10</v>
      </c>
      <c r="G4" s="73" t="s">
        <v>13</v>
      </c>
      <c r="H4" s="73" t="s">
        <v>14</v>
      </c>
      <c r="I4" s="74" t="s">
        <v>15</v>
      </c>
      <c r="J4" s="73" t="s">
        <v>16</v>
      </c>
      <c r="K4" s="75" t="s">
        <v>18</v>
      </c>
      <c r="M4" s="25"/>
      <c r="N4" s="25"/>
      <c r="O4" s="14"/>
      <c r="P4" s="31" t="s">
        <v>19</v>
      </c>
    </row>
    <row r="5" spans="1:19">
      <c r="B5" s="15"/>
      <c r="E5" s="22"/>
      <c r="F5" s="12"/>
      <c r="G5" s="12"/>
      <c r="H5" s="12"/>
      <c r="I5" s="12"/>
      <c r="K5" s="22"/>
      <c r="M5" s="4"/>
      <c r="N5" s="16" t="s">
        <v>1</v>
      </c>
      <c r="O5" s="29" t="s">
        <v>2</v>
      </c>
      <c r="P5" s="33">
        <v>50</v>
      </c>
    </row>
    <row r="6" spans="1:19">
      <c r="A6" s="13">
        <v>1</v>
      </c>
      <c r="B6" s="26" t="s">
        <v>20</v>
      </c>
      <c r="C6" s="1">
        <v>1.1000000000000001</v>
      </c>
      <c r="D6" s="1">
        <f>C6*9</f>
        <v>9.9</v>
      </c>
      <c r="E6" s="10"/>
      <c r="F6" s="33">
        <f>D6*P12</f>
        <v>198</v>
      </c>
      <c r="H6" s="12"/>
      <c r="I6" s="12"/>
      <c r="K6" s="33">
        <f>D6*P7</f>
        <v>396</v>
      </c>
      <c r="M6" s="5" t="s">
        <v>4</v>
      </c>
      <c r="N6" s="8">
        <f>K12</f>
        <v>1417.5</v>
      </c>
      <c r="O6" s="7">
        <f>N6*36.95</f>
        <v>52376.625000000007</v>
      </c>
      <c r="P6" s="33">
        <v>45</v>
      </c>
    </row>
    <row r="7" spans="1:19">
      <c r="A7" s="13">
        <v>2</v>
      </c>
      <c r="B7" s="40" t="s">
        <v>21</v>
      </c>
      <c r="C7" s="1">
        <v>1.5</v>
      </c>
      <c r="D7" s="1">
        <f t="shared" ref="D7:D10" si="0">C7*9</f>
        <v>13.5</v>
      </c>
      <c r="E7" s="10"/>
      <c r="F7" s="12"/>
      <c r="G7" s="66">
        <f>D7*E17</f>
        <v>0</v>
      </c>
      <c r="K7" s="33">
        <f>D7*P11</f>
        <v>337.5</v>
      </c>
      <c r="M7" s="5" t="s">
        <v>3</v>
      </c>
      <c r="N7" s="8">
        <f>N6-N6*0.05</f>
        <v>1346.625</v>
      </c>
      <c r="O7" s="7">
        <f>N7*36.95</f>
        <v>49757.793750000004</v>
      </c>
      <c r="P7" s="33">
        <v>40</v>
      </c>
    </row>
    <row r="8" spans="1:19">
      <c r="A8" s="13">
        <v>3</v>
      </c>
      <c r="B8" s="40" t="s">
        <v>22</v>
      </c>
      <c r="C8" s="1">
        <v>1.5</v>
      </c>
      <c r="D8" s="1">
        <f t="shared" si="0"/>
        <v>13.5</v>
      </c>
      <c r="E8" s="10"/>
      <c r="F8" s="33">
        <f>D8*P12</f>
        <v>270</v>
      </c>
      <c r="G8" s="12"/>
      <c r="H8" s="12"/>
      <c r="I8" s="12"/>
      <c r="K8" s="33">
        <f>D8*P7</f>
        <v>540</v>
      </c>
      <c r="M8" s="5" t="s">
        <v>5</v>
      </c>
      <c r="N8" s="8">
        <f>J12</f>
        <v>535.5</v>
      </c>
      <c r="O8" s="7">
        <f t="shared" ref="O8:O9" si="1">N8*36.95</f>
        <v>19786.725000000002</v>
      </c>
      <c r="P8" s="33">
        <v>35</v>
      </c>
    </row>
    <row r="9" spans="1:19">
      <c r="A9" s="13">
        <v>4</v>
      </c>
      <c r="B9" s="40" t="s">
        <v>23</v>
      </c>
      <c r="C9" s="1">
        <v>0.25</v>
      </c>
      <c r="D9" s="1">
        <f t="shared" si="0"/>
        <v>2.25</v>
      </c>
      <c r="E9" s="10"/>
      <c r="H9" s="66">
        <f>D9*P13</f>
        <v>33.75</v>
      </c>
      <c r="I9" s="12"/>
      <c r="K9" s="33">
        <f>D9*P9</f>
        <v>72</v>
      </c>
      <c r="M9" s="37" t="s">
        <v>18</v>
      </c>
      <c r="N9" s="8">
        <f>N7-N8</f>
        <v>811.125</v>
      </c>
      <c r="O9" s="7">
        <f t="shared" si="1"/>
        <v>29971.068750000002</v>
      </c>
      <c r="P9" s="33">
        <v>32</v>
      </c>
      <c r="Q9" s="4"/>
      <c r="R9" s="4"/>
      <c r="S9" s="4"/>
    </row>
    <row r="10" spans="1:19">
      <c r="A10" s="13">
        <v>5</v>
      </c>
      <c r="B10" s="40" t="s">
        <v>24</v>
      </c>
      <c r="C10" s="1">
        <v>0.25</v>
      </c>
      <c r="D10" s="1">
        <f t="shared" si="0"/>
        <v>2.25</v>
      </c>
      <c r="E10" s="10"/>
      <c r="H10" s="66">
        <f>D10*P13</f>
        <v>33.75</v>
      </c>
      <c r="I10" s="12"/>
      <c r="K10" s="33">
        <f>D10*P9</f>
        <v>72</v>
      </c>
      <c r="L10" s="8"/>
      <c r="M10" s="7"/>
      <c r="N10" s="4"/>
      <c r="P10" s="33">
        <v>30</v>
      </c>
    </row>
    <row r="11" spans="1:19">
      <c r="B11" s="18"/>
      <c r="E11" s="10"/>
      <c r="F11" s="12"/>
      <c r="G11" s="12"/>
      <c r="H11" s="12"/>
      <c r="I11" s="12"/>
      <c r="K11" s="10"/>
      <c r="L11" s="36" t="s">
        <v>5</v>
      </c>
      <c r="M11" s="34" t="s">
        <v>17</v>
      </c>
      <c r="N11" s="35" t="s">
        <v>11</v>
      </c>
      <c r="O11" s="17" t="s">
        <v>12</v>
      </c>
      <c r="P11" s="33">
        <v>25</v>
      </c>
    </row>
    <row r="12" spans="1:19">
      <c r="A12" s="11"/>
      <c r="B12" s="57"/>
      <c r="C12" s="11">
        <f>SUM(C6:C11)</f>
        <v>4.5999999999999996</v>
      </c>
      <c r="D12" s="11">
        <f>SUM(D6:D11)</f>
        <v>41.4</v>
      </c>
      <c r="E12" s="58"/>
      <c r="F12" s="59">
        <f>SUM(F5:F11)</f>
        <v>468</v>
      </c>
      <c r="G12" s="66">
        <f>SUM(G5:G11)</f>
        <v>0</v>
      </c>
      <c r="H12" s="66">
        <f>SUM(H5:H11)</f>
        <v>67.5</v>
      </c>
      <c r="I12" s="59"/>
      <c r="J12" s="59">
        <f>SUM(F12:H12)</f>
        <v>535.5</v>
      </c>
      <c r="K12" s="60">
        <f>SUM(K6:K11)</f>
        <v>1417.5</v>
      </c>
      <c r="L12" s="80" t="s">
        <v>10</v>
      </c>
      <c r="M12" s="28">
        <f>F12</f>
        <v>468</v>
      </c>
      <c r="N12" s="8"/>
      <c r="O12" s="33">
        <f>M12-N12</f>
        <v>468</v>
      </c>
      <c r="P12" s="33">
        <v>20</v>
      </c>
    </row>
    <row r="13" spans="1:19">
      <c r="B13" s="18"/>
      <c r="E13" s="10"/>
      <c r="F13" s="12"/>
      <c r="G13" s="12"/>
      <c r="H13" s="12"/>
      <c r="I13" s="12"/>
      <c r="K13" s="10"/>
      <c r="L13" s="32" t="s">
        <v>13</v>
      </c>
      <c r="M13" s="28">
        <f>G12</f>
        <v>0</v>
      </c>
      <c r="N13" s="8"/>
      <c r="O13" s="33">
        <f t="shared" ref="O13:O14" si="2">M13-N13</f>
        <v>0</v>
      </c>
      <c r="P13" s="33">
        <v>15</v>
      </c>
    </row>
    <row r="14" spans="1:19">
      <c r="B14" s="19"/>
      <c r="E14" s="10"/>
      <c r="F14" s="12"/>
      <c r="G14" s="12"/>
      <c r="H14" s="12"/>
      <c r="I14" s="12"/>
      <c r="K14" s="10"/>
      <c r="L14" s="32" t="s">
        <v>14</v>
      </c>
      <c r="M14" s="8">
        <f>H12</f>
        <v>67.5</v>
      </c>
      <c r="N14" s="8"/>
      <c r="O14" s="33">
        <f t="shared" si="2"/>
        <v>67.5</v>
      </c>
      <c r="P14" s="33">
        <v>13</v>
      </c>
    </row>
    <row r="15" spans="1:19">
      <c r="A15" s="32"/>
      <c r="B15" s="8"/>
      <c r="C15" s="7"/>
      <c r="D15" s="33"/>
      <c r="E15" s="33"/>
      <c r="I15" s="1"/>
    </row>
    <row r="16" spans="1:19">
      <c r="B16" s="1"/>
      <c r="D16" s="4"/>
      <c r="E16" s="33"/>
      <c r="F16" s="4"/>
      <c r="G16" s="4"/>
      <c r="H16" s="4"/>
      <c r="I16" s="1"/>
    </row>
    <row r="17" spans="1:9">
      <c r="B17" s="1"/>
      <c r="D17" s="9"/>
      <c r="E17" s="33"/>
      <c r="F17" s="4"/>
      <c r="G17" s="4"/>
      <c r="H17" s="4"/>
      <c r="I17" s="1"/>
    </row>
    <row r="18" spans="1:9">
      <c r="B18" s="1"/>
      <c r="E18" s="4"/>
      <c r="F18" s="4"/>
      <c r="G18" s="4"/>
      <c r="H18" s="4"/>
      <c r="I18" s="1"/>
    </row>
    <row r="19" spans="1:9">
      <c r="B19" s="1"/>
      <c r="I19" s="1"/>
    </row>
    <row r="20" spans="1:9">
      <c r="B20" s="1"/>
      <c r="G20" s="4"/>
      <c r="H20" s="4"/>
      <c r="I20" s="1"/>
    </row>
    <row r="21" spans="1:9">
      <c r="B21" s="1"/>
      <c r="E21" s="4"/>
      <c r="F21" s="4"/>
      <c r="G21" s="4"/>
      <c r="H21" s="4"/>
      <c r="I21" s="1"/>
    </row>
    <row r="22" spans="1:9">
      <c r="B22" s="1"/>
      <c r="D22" s="5"/>
      <c r="E22" s="4"/>
      <c r="F22" s="4"/>
      <c r="G22" s="4"/>
      <c r="H22" s="4"/>
      <c r="I22" s="1"/>
    </row>
    <row r="23" spans="1:9">
      <c r="B23" s="1"/>
      <c r="D23" s="5"/>
      <c r="E23" s="4"/>
      <c r="F23" s="4"/>
      <c r="G23" s="4"/>
      <c r="H23" s="4"/>
      <c r="I23" s="1"/>
    </row>
    <row r="24" spans="1:9">
      <c r="B24" s="1"/>
      <c r="D24" s="5"/>
      <c r="E24" s="4"/>
      <c r="F24" s="4"/>
      <c r="G24" s="4"/>
      <c r="H24" s="4"/>
      <c r="I24" s="1"/>
    </row>
    <row r="25" spans="1:9">
      <c r="B25" s="1"/>
      <c r="D25" s="5"/>
      <c r="E25" s="4"/>
      <c r="F25" s="4"/>
      <c r="G25" s="4"/>
      <c r="H25" s="4"/>
      <c r="I25" s="1"/>
    </row>
    <row r="26" spans="1:9">
      <c r="B26" s="1"/>
      <c r="D26" s="4"/>
      <c r="E26" s="6"/>
      <c r="F26" s="4"/>
      <c r="G26" s="4"/>
      <c r="H26" s="4"/>
      <c r="I26" s="1"/>
    </row>
    <row r="27" spans="1:9">
      <c r="B27" s="1"/>
      <c r="D27" s="4"/>
      <c r="E27" s="6"/>
      <c r="F27" s="4"/>
      <c r="G27" s="4"/>
      <c r="H27" s="4"/>
      <c r="I27" s="1"/>
    </row>
    <row r="28" spans="1:9">
      <c r="B28" s="1"/>
      <c r="D28" s="4"/>
      <c r="E28" s="4"/>
      <c r="F28" s="4"/>
      <c r="G28" s="4"/>
      <c r="H28" s="4"/>
      <c r="I28" s="1"/>
    </row>
    <row r="29" spans="1:9">
      <c r="B29" s="1"/>
      <c r="I29" s="1"/>
    </row>
    <row r="30" spans="1:9">
      <c r="B30" s="1"/>
      <c r="D30" s="4"/>
      <c r="E30" s="4"/>
      <c r="F30" s="4"/>
      <c r="G30" s="4"/>
      <c r="H30" s="4"/>
      <c r="I30" s="1"/>
    </row>
    <row r="31" spans="1:9">
      <c r="B31" s="1"/>
      <c r="C31" s="33"/>
      <c r="I31" s="1"/>
    </row>
    <row r="32" spans="1:9">
      <c r="A32" s="33"/>
      <c r="B32" s="64"/>
      <c r="I32" s="1"/>
    </row>
    <row r="33" spans="1:11">
      <c r="B33" s="1"/>
      <c r="I33" s="1"/>
    </row>
    <row r="34" spans="1:11">
      <c r="B34" s="1"/>
      <c r="I34" s="1"/>
    </row>
    <row r="35" spans="1:11">
      <c r="B35" s="1"/>
      <c r="I35" s="1"/>
    </row>
    <row r="36" spans="1:11">
      <c r="B36" s="1"/>
      <c r="I36" s="1"/>
    </row>
    <row r="37" spans="1:11">
      <c r="B37" s="1"/>
      <c r="D37" s="4"/>
      <c r="E37" s="4"/>
      <c r="F37" s="4"/>
      <c r="G37" s="4"/>
      <c r="H37" s="4"/>
      <c r="I37" s="1"/>
    </row>
    <row r="38" spans="1:11">
      <c r="B38" s="1"/>
      <c r="D38" s="4"/>
      <c r="E38" s="4"/>
      <c r="F38" s="4"/>
      <c r="G38" s="4"/>
      <c r="H38" s="4"/>
      <c r="I38" s="1"/>
    </row>
    <row r="39" spans="1:11">
      <c r="B39" s="1"/>
      <c r="I39" s="1"/>
    </row>
    <row r="40" spans="1:11">
      <c r="B40" s="1"/>
      <c r="I40" s="1"/>
    </row>
    <row r="41" spans="1:11">
      <c r="B41" s="1"/>
      <c r="I41" s="1"/>
    </row>
    <row r="42" spans="1:11">
      <c r="B42" s="1"/>
      <c r="I42" s="1"/>
    </row>
    <row r="43" spans="1:11">
      <c r="B43" s="1"/>
      <c r="I43" s="1"/>
    </row>
    <row r="44" spans="1:11">
      <c r="B44" s="1"/>
      <c r="I44" s="1"/>
    </row>
    <row r="45" spans="1:11">
      <c r="B45" s="1"/>
      <c r="I45" s="1"/>
    </row>
    <row r="46" spans="1:11">
      <c r="B46" s="1"/>
      <c r="I46" s="1"/>
    </row>
    <row r="47" spans="1:11">
      <c r="B47" s="1"/>
      <c r="I47" s="1"/>
    </row>
    <row r="48" spans="1:11">
      <c r="A48" s="1">
        <v>16</v>
      </c>
      <c r="B48" s="1"/>
      <c r="C48" s="76"/>
      <c r="K48" s="33"/>
    </row>
    <row r="49" spans="1:11">
      <c r="A49" s="1">
        <v>17</v>
      </c>
    </row>
    <row r="61" spans="1:11">
      <c r="A61" s="11"/>
      <c r="B61" s="57"/>
      <c r="C61" s="11">
        <f>SUM(C48:C49)</f>
        <v>0</v>
      </c>
      <c r="D61" s="11">
        <f>SUM(D48:D49)</f>
        <v>0</v>
      </c>
      <c r="E61" s="58"/>
      <c r="F61" s="59"/>
      <c r="G61" s="59">
        <f>SUM(G48:G49)</f>
        <v>0</v>
      </c>
      <c r="H61" s="59">
        <f>SUM(H48:H49)</f>
        <v>0</v>
      </c>
      <c r="I61" s="59"/>
      <c r="J61" s="59">
        <f>SUM(G61:H61)</f>
        <v>0</v>
      </c>
      <c r="K61" s="60">
        <f>SUM(K48:K49)</f>
        <v>0</v>
      </c>
    </row>
  </sheetData>
  <phoneticPr fontId="61" type="noConversion"/>
  <pageMargins left="0.7" right="0.7" top="0.75" bottom="0.75" header="0.3" footer="0.3"/>
  <pageSetup paperSize="9" orientation="portrait" horizontalDpi="0" verticalDpi="0"/>
  <ignoredErrors>
    <ignoredError sqref="K9 G12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1A955-50D7-784B-9F57-A39CD8580080}">
  <dimension ref="A1:L979"/>
  <sheetViews>
    <sheetView topLeftCell="A3" workbookViewId="0">
      <pane xSplit="2" topLeftCell="C1" activePane="topRight" state="frozen"/>
      <selection pane="topRight" activeCell="H20" sqref="H20"/>
    </sheetView>
  </sheetViews>
  <sheetFormatPr baseColWidth="10" defaultColWidth="11.1640625" defaultRowHeight="15" customHeight="1"/>
  <cols>
    <col min="1" max="1" width="10.5" style="81" customWidth="1"/>
    <col min="2" max="2" width="16.83203125" style="81" customWidth="1"/>
    <col min="3" max="3" width="34.33203125" style="81" customWidth="1"/>
    <col min="4" max="4" width="17.5" style="81" customWidth="1"/>
    <col min="5" max="5" width="24.1640625" style="81" customWidth="1"/>
    <col min="6" max="6" width="17.33203125" style="81" customWidth="1"/>
    <col min="7" max="10" width="10.5" style="81" customWidth="1"/>
    <col min="11" max="11" width="41.83203125" style="81" customWidth="1"/>
    <col min="12" max="12" width="52.33203125" style="81" customWidth="1"/>
    <col min="13" max="25" width="10.5" style="81" customWidth="1"/>
    <col min="26" max="16384" width="11.1640625" style="81"/>
  </cols>
  <sheetData>
    <row r="1" spans="1:12" ht="15.75" customHeight="1">
      <c r="D1" s="82"/>
    </row>
    <row r="2" spans="1:12" ht="15.75" customHeight="1">
      <c r="D2" s="82"/>
    </row>
    <row r="3" spans="1:12" ht="15.75" customHeight="1">
      <c r="C3" s="99" t="s">
        <v>103</v>
      </c>
      <c r="D3" s="82"/>
    </row>
    <row r="4" spans="1:12" ht="15.75" customHeight="1">
      <c r="A4" s="89"/>
      <c r="B4" s="89" t="s">
        <v>80</v>
      </c>
      <c r="C4" s="89"/>
      <c r="E4" s="89"/>
    </row>
    <row r="5" spans="1:12" ht="15.75" customHeight="1">
      <c r="A5" s="86"/>
      <c r="B5" s="86"/>
      <c r="C5" s="86"/>
      <c r="D5" s="89"/>
      <c r="E5" s="86"/>
    </row>
    <row r="6" spans="1:12" ht="15.75" customHeight="1">
      <c r="A6" s="89"/>
      <c r="B6" s="88" t="s">
        <v>74</v>
      </c>
      <c r="C6" s="88" t="s">
        <v>75</v>
      </c>
      <c r="D6" s="88" t="s">
        <v>76</v>
      </c>
      <c r="E6" s="88" t="s">
        <v>77</v>
      </c>
      <c r="F6" s="88" t="s">
        <v>95</v>
      </c>
      <c r="L6" s="87"/>
    </row>
    <row r="7" spans="1:12" ht="15.75" customHeight="1">
      <c r="A7" s="86">
        <v>1</v>
      </c>
      <c r="B7" s="143" t="s">
        <v>78</v>
      </c>
      <c r="C7" s="85" t="s">
        <v>83</v>
      </c>
      <c r="D7" s="85">
        <v>41.4</v>
      </c>
      <c r="E7" s="91">
        <v>1488</v>
      </c>
      <c r="F7" s="91">
        <f>SUM(E7:E29)</f>
        <v>58156.5</v>
      </c>
      <c r="K7" s="84"/>
      <c r="L7" s="83"/>
    </row>
    <row r="8" spans="1:12" ht="15.75" customHeight="1">
      <c r="A8" s="86">
        <v>2</v>
      </c>
      <c r="B8" s="143" t="s">
        <v>79</v>
      </c>
      <c r="C8" s="85" t="s">
        <v>83</v>
      </c>
      <c r="D8" s="85">
        <f>'July 24'!D18</f>
        <v>54</v>
      </c>
      <c r="E8" s="91">
        <f>'July 24'!L6</f>
        <v>1890</v>
      </c>
      <c r="F8" s="92"/>
      <c r="K8" s="84"/>
      <c r="L8" s="83"/>
    </row>
    <row r="9" spans="1:12" ht="15.75" customHeight="1">
      <c r="A9" s="86">
        <v>3</v>
      </c>
      <c r="B9" s="143" t="s">
        <v>53</v>
      </c>
      <c r="C9" s="85" t="s">
        <v>83</v>
      </c>
      <c r="D9" s="82">
        <f>'August 24'!D45</f>
        <v>171</v>
      </c>
      <c r="E9" s="91">
        <f>'August 24'!I45</f>
        <v>5985</v>
      </c>
    </row>
    <row r="10" spans="1:12" ht="15.75" customHeight="1">
      <c r="A10" s="81">
        <v>4</v>
      </c>
      <c r="B10" s="143" t="s">
        <v>104</v>
      </c>
      <c r="C10" s="85" t="s">
        <v>83</v>
      </c>
      <c r="D10" s="82">
        <f>'September 24'!D98</f>
        <v>255.60000000000002</v>
      </c>
      <c r="E10" s="91">
        <f>'September 24'!K98</f>
        <v>8946</v>
      </c>
    </row>
    <row r="11" spans="1:12" ht="15.75" customHeight="1">
      <c r="A11" s="81">
        <v>5</v>
      </c>
      <c r="B11" s="143" t="s">
        <v>198</v>
      </c>
      <c r="C11" s="85" t="s">
        <v>83</v>
      </c>
      <c r="D11" s="82">
        <f>'October 24'!D53</f>
        <v>189.9</v>
      </c>
      <c r="E11" s="91">
        <f>'October 24'!N54</f>
        <v>6646.5</v>
      </c>
    </row>
    <row r="12" spans="1:12" ht="15.75" customHeight="1">
      <c r="A12" s="81">
        <v>6</v>
      </c>
      <c r="B12" s="143" t="s">
        <v>412</v>
      </c>
      <c r="C12" s="85" t="s">
        <v>83</v>
      </c>
      <c r="D12" s="82">
        <f>'November 24'!D60</f>
        <v>152.10000000000002</v>
      </c>
      <c r="E12" s="91">
        <f>'November 24'!N61</f>
        <v>5323.5</v>
      </c>
    </row>
    <row r="13" spans="1:12" ht="15.75" customHeight="1">
      <c r="A13" s="81">
        <v>7</v>
      </c>
      <c r="B13" s="143" t="s">
        <v>413</v>
      </c>
      <c r="C13" s="85" t="s">
        <v>83</v>
      </c>
      <c r="D13" s="82">
        <f>'December 24'!D58</f>
        <v>150.29999999999998</v>
      </c>
      <c r="E13" s="91">
        <f>'December 24'!N59</f>
        <v>5260.5</v>
      </c>
    </row>
    <row r="14" spans="1:12" ht="16">
      <c r="A14" s="81">
        <v>8</v>
      </c>
      <c r="B14" s="84" t="s">
        <v>414</v>
      </c>
      <c r="C14" s="85" t="s">
        <v>83</v>
      </c>
      <c r="D14" s="82">
        <f>'January 25'!D76</f>
        <v>224.99999999999986</v>
      </c>
      <c r="E14" s="91">
        <f>'January 25'!M77</f>
        <v>7874.9999999999991</v>
      </c>
    </row>
    <row r="15" spans="1:12" ht="15.75" customHeight="1">
      <c r="A15" s="81">
        <v>9</v>
      </c>
      <c r="B15" s="84" t="s">
        <v>415</v>
      </c>
      <c r="C15" s="85" t="s">
        <v>83</v>
      </c>
      <c r="D15" s="82">
        <f>'February 25'!D123</f>
        <v>421.19999999999942</v>
      </c>
      <c r="E15" s="91">
        <f>'February 25'!M124</f>
        <v>14742</v>
      </c>
    </row>
    <row r="16" spans="1:12" ht="15.75" customHeight="1">
      <c r="B16" s="84"/>
      <c r="D16" s="82"/>
      <c r="E16" s="91"/>
    </row>
    <row r="17" spans="2:6" ht="15.75" customHeight="1">
      <c r="B17" s="84"/>
      <c r="D17" s="82"/>
      <c r="E17" s="91"/>
    </row>
    <row r="18" spans="2:6" ht="16">
      <c r="B18" s="84"/>
      <c r="D18" s="82"/>
      <c r="E18" s="91"/>
      <c r="F18" s="137"/>
    </row>
    <row r="19" spans="2:6" ht="15.75" customHeight="1">
      <c r="B19" s="84"/>
      <c r="D19" s="82"/>
      <c r="E19" s="91"/>
    </row>
    <row r="20" spans="2:6" ht="15.75" customHeight="1">
      <c r="B20" s="84"/>
      <c r="D20" s="82"/>
      <c r="E20" s="91"/>
    </row>
    <row r="21" spans="2:6" ht="15.75" customHeight="1">
      <c r="B21" s="84"/>
      <c r="D21" s="82"/>
      <c r="E21" s="91"/>
    </row>
    <row r="22" spans="2:6" ht="15.75" customHeight="1">
      <c r="B22" s="84"/>
      <c r="D22" s="82"/>
      <c r="E22" s="91"/>
    </row>
    <row r="23" spans="2:6" ht="15.75" customHeight="1">
      <c r="B23" s="84"/>
      <c r="D23" s="82"/>
      <c r="E23" s="91"/>
    </row>
    <row r="24" spans="2:6" ht="15.75" customHeight="1">
      <c r="B24" s="84"/>
      <c r="D24" s="82"/>
      <c r="E24" s="91"/>
    </row>
    <row r="25" spans="2:6" ht="15.75" customHeight="1">
      <c r="B25" s="84"/>
      <c r="D25" s="82"/>
      <c r="E25" s="91"/>
    </row>
    <row r="26" spans="2:6" ht="15.75" customHeight="1">
      <c r="B26" s="84"/>
      <c r="D26" s="82"/>
      <c r="E26" s="91"/>
    </row>
    <row r="27" spans="2:6" ht="15.75" customHeight="1">
      <c r="B27" s="84"/>
      <c r="D27" s="82"/>
      <c r="E27" s="91"/>
    </row>
    <row r="28" spans="2:6" ht="15.75" customHeight="1">
      <c r="B28" s="84"/>
      <c r="D28" s="82"/>
      <c r="E28" s="91"/>
    </row>
    <row r="29" spans="2:6" ht="15.75" customHeight="1">
      <c r="B29" s="84"/>
      <c r="D29" s="82"/>
      <c r="E29" s="91"/>
    </row>
    <row r="30" spans="2:6" ht="15.75" customHeight="1">
      <c r="B30" s="84"/>
      <c r="D30" s="82"/>
      <c r="E30" s="91"/>
    </row>
    <row r="31" spans="2:6" ht="15.75" customHeight="1">
      <c r="B31" s="84"/>
      <c r="D31" s="82"/>
      <c r="E31" s="91"/>
    </row>
    <row r="32" spans="2:6" ht="15.75" customHeight="1">
      <c r="B32" s="84"/>
      <c r="D32" s="82"/>
      <c r="E32" s="91"/>
    </row>
    <row r="33" spans="2:5" ht="15.75" customHeight="1">
      <c r="B33" s="84"/>
      <c r="D33" s="82"/>
      <c r="E33" s="91"/>
    </row>
    <row r="34" spans="2:5" ht="15.75" customHeight="1">
      <c r="B34" s="84"/>
      <c r="D34" s="82"/>
      <c r="E34" s="91"/>
    </row>
    <row r="35" spans="2:5" ht="15.75" customHeight="1">
      <c r="B35" s="84"/>
      <c r="D35" s="82"/>
      <c r="E35" s="91"/>
    </row>
    <row r="36" spans="2:5" ht="15.75" customHeight="1">
      <c r="B36" s="84"/>
      <c r="D36" s="82"/>
      <c r="E36" s="91"/>
    </row>
    <row r="37" spans="2:5" ht="15.75" customHeight="1">
      <c r="B37" s="84"/>
      <c r="D37" s="82"/>
      <c r="E37" s="91"/>
    </row>
    <row r="38" spans="2:5" ht="15.75" customHeight="1">
      <c r="D38" s="82"/>
      <c r="E38" s="91"/>
    </row>
    <row r="39" spans="2:5" ht="15.75" customHeight="1">
      <c r="D39" s="82"/>
      <c r="E39" s="91"/>
    </row>
    <row r="40" spans="2:5" ht="15.75" customHeight="1">
      <c r="D40" s="82"/>
      <c r="E40" s="91"/>
    </row>
    <row r="41" spans="2:5" ht="15.75" customHeight="1">
      <c r="D41" s="82"/>
      <c r="E41" s="91"/>
    </row>
    <row r="42" spans="2:5" ht="15.75" customHeight="1">
      <c r="D42" s="82"/>
      <c r="E42" s="91"/>
    </row>
    <row r="43" spans="2:5" ht="15.75" customHeight="1">
      <c r="D43" s="82"/>
      <c r="E43" s="91"/>
    </row>
    <row r="44" spans="2:5" ht="15.75" customHeight="1">
      <c r="D44" s="82"/>
    </row>
    <row r="45" spans="2:5" ht="15.75" customHeight="1">
      <c r="D45" s="82"/>
    </row>
    <row r="46" spans="2:5" ht="15.75" customHeight="1">
      <c r="D46" s="82"/>
    </row>
    <row r="47" spans="2:5" ht="15.75" customHeight="1">
      <c r="D47" s="82"/>
    </row>
    <row r="48" spans="2:5" ht="15.75" customHeight="1">
      <c r="D48" s="82"/>
    </row>
    <row r="49" spans="4:4" ht="15.75" customHeight="1">
      <c r="D49" s="82"/>
    </row>
    <row r="50" spans="4:4" ht="15.75" customHeight="1">
      <c r="D50" s="82"/>
    </row>
    <row r="51" spans="4:4" ht="15.75" customHeight="1">
      <c r="D51" s="82"/>
    </row>
    <row r="52" spans="4:4" ht="15.75" customHeight="1">
      <c r="D52" s="82"/>
    </row>
    <row r="53" spans="4:4" ht="15.75" customHeight="1">
      <c r="D53" s="82"/>
    </row>
    <row r="54" spans="4:4" ht="15.75" customHeight="1">
      <c r="D54" s="82"/>
    </row>
    <row r="55" spans="4:4" ht="15.75" customHeight="1">
      <c r="D55" s="82"/>
    </row>
    <row r="56" spans="4:4" ht="15.75" customHeight="1">
      <c r="D56" s="82"/>
    </row>
    <row r="57" spans="4:4" ht="15.75" customHeight="1">
      <c r="D57" s="82"/>
    </row>
    <row r="58" spans="4:4" ht="15.75" customHeight="1">
      <c r="D58" s="82"/>
    </row>
    <row r="59" spans="4:4" ht="15.75" customHeight="1">
      <c r="D59" s="82"/>
    </row>
    <row r="60" spans="4:4" ht="15.75" customHeight="1">
      <c r="D60" s="82"/>
    </row>
    <row r="61" spans="4:4" ht="15.75" customHeight="1">
      <c r="D61" s="82"/>
    </row>
    <row r="62" spans="4:4" ht="15.75" customHeight="1">
      <c r="D62" s="82"/>
    </row>
    <row r="63" spans="4:4" ht="15.75" customHeight="1">
      <c r="D63" s="82"/>
    </row>
    <row r="64" spans="4:4" ht="15.75" customHeight="1">
      <c r="D64" s="82"/>
    </row>
    <row r="65" spans="4:4" ht="15.75" customHeight="1">
      <c r="D65" s="82"/>
    </row>
    <row r="66" spans="4:4" ht="15.75" customHeight="1">
      <c r="D66" s="82"/>
    </row>
    <row r="67" spans="4:4" ht="15.75" customHeight="1">
      <c r="D67" s="82"/>
    </row>
    <row r="68" spans="4:4" ht="15.75" customHeight="1">
      <c r="D68" s="82"/>
    </row>
    <row r="69" spans="4:4" ht="15.75" customHeight="1">
      <c r="D69" s="82"/>
    </row>
    <row r="70" spans="4:4" ht="15.75" customHeight="1">
      <c r="D70" s="82"/>
    </row>
    <row r="71" spans="4:4" ht="15.75" customHeight="1">
      <c r="D71" s="82"/>
    </row>
    <row r="72" spans="4:4" ht="15.75" customHeight="1">
      <c r="D72" s="82"/>
    </row>
    <row r="73" spans="4:4" ht="15.75" customHeight="1">
      <c r="D73" s="82"/>
    </row>
    <row r="74" spans="4:4" ht="15.75" customHeight="1">
      <c r="D74" s="82"/>
    </row>
    <row r="75" spans="4:4" ht="15.75" customHeight="1">
      <c r="D75" s="82"/>
    </row>
    <row r="76" spans="4:4" ht="15.75" customHeight="1">
      <c r="D76" s="82"/>
    </row>
    <row r="77" spans="4:4" ht="15.75" customHeight="1">
      <c r="D77" s="82"/>
    </row>
    <row r="78" spans="4:4" ht="15.75" customHeight="1">
      <c r="D78" s="82"/>
    </row>
    <row r="79" spans="4:4" ht="15.75" customHeight="1">
      <c r="D79" s="82"/>
    </row>
    <row r="80" spans="4:4" ht="15.75" customHeight="1">
      <c r="D80" s="82"/>
    </row>
    <row r="81" spans="4:4" ht="15.75" customHeight="1">
      <c r="D81" s="82"/>
    </row>
    <row r="82" spans="4:4" ht="15.75" customHeight="1">
      <c r="D82" s="82"/>
    </row>
    <row r="83" spans="4:4" ht="15.75" customHeight="1">
      <c r="D83" s="82"/>
    </row>
    <row r="84" spans="4:4" ht="15.75" customHeight="1">
      <c r="D84" s="82"/>
    </row>
    <row r="85" spans="4:4" ht="15.75" customHeight="1">
      <c r="D85" s="82"/>
    </row>
    <row r="86" spans="4:4" ht="15.75" customHeight="1">
      <c r="D86" s="82"/>
    </row>
    <row r="87" spans="4:4" ht="15.75" customHeight="1">
      <c r="D87" s="82"/>
    </row>
    <row r="88" spans="4:4" ht="15.75" customHeight="1">
      <c r="D88" s="82"/>
    </row>
    <row r="89" spans="4:4" ht="15.75" customHeight="1">
      <c r="D89" s="82"/>
    </row>
    <row r="90" spans="4:4" ht="15.75" customHeight="1">
      <c r="D90" s="82"/>
    </row>
    <row r="91" spans="4:4" ht="15.75" customHeight="1">
      <c r="D91" s="82"/>
    </row>
    <row r="92" spans="4:4" ht="15.75" customHeight="1">
      <c r="D92" s="82"/>
    </row>
    <row r="93" spans="4:4" ht="15.75" customHeight="1">
      <c r="D93" s="82"/>
    </row>
    <row r="94" spans="4:4" ht="15.75" customHeight="1">
      <c r="D94" s="82"/>
    </row>
    <row r="95" spans="4:4" ht="15.75" customHeight="1">
      <c r="D95" s="82"/>
    </row>
    <row r="96" spans="4:4" ht="15.75" customHeight="1">
      <c r="D96" s="82"/>
    </row>
    <row r="97" spans="4:4" ht="15.75" customHeight="1">
      <c r="D97" s="82"/>
    </row>
    <row r="98" spans="4:4" ht="15.75" customHeight="1">
      <c r="D98" s="82"/>
    </row>
    <row r="99" spans="4:4" ht="15.75" customHeight="1">
      <c r="D99" s="82"/>
    </row>
    <row r="100" spans="4:4" ht="15.75" customHeight="1">
      <c r="D100" s="82"/>
    </row>
    <row r="101" spans="4:4" ht="15.75" customHeight="1">
      <c r="D101" s="82"/>
    </row>
    <row r="102" spans="4:4" ht="15.75" customHeight="1">
      <c r="D102" s="82"/>
    </row>
    <row r="103" spans="4:4" ht="15.75" customHeight="1">
      <c r="D103" s="82"/>
    </row>
    <row r="104" spans="4:4" ht="15.75" customHeight="1">
      <c r="D104" s="82"/>
    </row>
    <row r="105" spans="4:4" ht="15.75" customHeight="1">
      <c r="D105" s="82"/>
    </row>
    <row r="106" spans="4:4" ht="15.75" customHeight="1">
      <c r="D106" s="82"/>
    </row>
    <row r="107" spans="4:4" ht="15.75" customHeight="1">
      <c r="D107" s="82"/>
    </row>
    <row r="108" spans="4:4" ht="15.75" customHeight="1">
      <c r="D108" s="82"/>
    </row>
    <row r="109" spans="4:4" ht="15.75" customHeight="1">
      <c r="D109" s="82"/>
    </row>
    <row r="110" spans="4:4" ht="15.75" customHeight="1">
      <c r="D110" s="82"/>
    </row>
    <row r="111" spans="4:4" ht="15.75" customHeight="1">
      <c r="D111" s="82"/>
    </row>
    <row r="112" spans="4:4" ht="15.75" customHeight="1">
      <c r="D112" s="82"/>
    </row>
    <row r="113" spans="4:4" ht="15.75" customHeight="1">
      <c r="D113" s="82"/>
    </row>
    <row r="114" spans="4:4" ht="15.75" customHeight="1">
      <c r="D114" s="82"/>
    </row>
    <row r="115" spans="4:4" ht="15.75" customHeight="1">
      <c r="D115" s="82"/>
    </row>
    <row r="116" spans="4:4" ht="15.75" customHeight="1">
      <c r="D116" s="82"/>
    </row>
    <row r="117" spans="4:4" ht="15.75" customHeight="1">
      <c r="D117" s="82"/>
    </row>
    <row r="118" spans="4:4" ht="15.75" customHeight="1">
      <c r="D118" s="82"/>
    </row>
    <row r="119" spans="4:4" ht="15.75" customHeight="1">
      <c r="D119" s="82"/>
    </row>
    <row r="120" spans="4:4" ht="15.75" customHeight="1">
      <c r="D120" s="82"/>
    </row>
    <row r="121" spans="4:4" ht="15.75" customHeight="1">
      <c r="D121" s="82"/>
    </row>
    <row r="122" spans="4:4" ht="15.75" customHeight="1">
      <c r="D122" s="82"/>
    </row>
    <row r="123" spans="4:4" ht="15.75" customHeight="1">
      <c r="D123" s="82"/>
    </row>
    <row r="124" spans="4:4" ht="15.75" customHeight="1">
      <c r="D124" s="82"/>
    </row>
    <row r="125" spans="4:4" ht="15.75" customHeight="1">
      <c r="D125" s="82"/>
    </row>
    <row r="126" spans="4:4" ht="15.75" customHeight="1">
      <c r="D126" s="82"/>
    </row>
    <row r="127" spans="4:4" ht="15.75" customHeight="1">
      <c r="D127" s="82"/>
    </row>
    <row r="128" spans="4:4" ht="15.75" customHeight="1">
      <c r="D128" s="82"/>
    </row>
    <row r="129" spans="4:4" ht="15.75" customHeight="1">
      <c r="D129" s="82"/>
    </row>
    <row r="130" spans="4:4" ht="15.75" customHeight="1">
      <c r="D130" s="82"/>
    </row>
    <row r="131" spans="4:4" ht="15.75" customHeight="1">
      <c r="D131" s="82"/>
    </row>
    <row r="132" spans="4:4" ht="15.75" customHeight="1">
      <c r="D132" s="82"/>
    </row>
    <row r="133" spans="4:4" ht="15.75" customHeight="1">
      <c r="D133" s="82"/>
    </row>
    <row r="134" spans="4:4" ht="15.75" customHeight="1">
      <c r="D134" s="82"/>
    </row>
    <row r="135" spans="4:4" ht="15.75" customHeight="1">
      <c r="D135" s="82"/>
    </row>
    <row r="136" spans="4:4" ht="15.75" customHeight="1">
      <c r="D136" s="82"/>
    </row>
    <row r="137" spans="4:4" ht="15.75" customHeight="1">
      <c r="D137" s="82"/>
    </row>
    <row r="138" spans="4:4" ht="15.75" customHeight="1">
      <c r="D138" s="82"/>
    </row>
    <row r="139" spans="4:4" ht="15.75" customHeight="1">
      <c r="D139" s="82"/>
    </row>
    <row r="140" spans="4:4" ht="15.75" customHeight="1">
      <c r="D140" s="82"/>
    </row>
    <row r="141" spans="4:4" ht="15.75" customHeight="1">
      <c r="D141" s="82"/>
    </row>
    <row r="142" spans="4:4" ht="15.75" customHeight="1">
      <c r="D142" s="82"/>
    </row>
    <row r="143" spans="4:4" ht="15.75" customHeight="1">
      <c r="D143" s="82"/>
    </row>
    <row r="144" spans="4:4" ht="15.75" customHeight="1">
      <c r="D144" s="82"/>
    </row>
    <row r="145" spans="4:4" ht="15.75" customHeight="1">
      <c r="D145" s="82"/>
    </row>
    <row r="146" spans="4:4" ht="15.75" customHeight="1">
      <c r="D146" s="82"/>
    </row>
    <row r="147" spans="4:4" ht="15.75" customHeight="1">
      <c r="D147" s="82"/>
    </row>
    <row r="148" spans="4:4" ht="15.75" customHeight="1">
      <c r="D148" s="82"/>
    </row>
    <row r="149" spans="4:4" ht="15.75" customHeight="1">
      <c r="D149" s="82"/>
    </row>
    <row r="150" spans="4:4" ht="15.75" customHeight="1">
      <c r="D150" s="82"/>
    </row>
    <row r="151" spans="4:4" ht="15.75" customHeight="1">
      <c r="D151" s="82"/>
    </row>
    <row r="152" spans="4:4" ht="15.75" customHeight="1">
      <c r="D152" s="82"/>
    </row>
    <row r="153" spans="4:4" ht="15.75" customHeight="1">
      <c r="D153" s="82"/>
    </row>
    <row r="154" spans="4:4" ht="15.75" customHeight="1">
      <c r="D154" s="82"/>
    </row>
    <row r="155" spans="4:4" ht="15.75" customHeight="1">
      <c r="D155" s="82"/>
    </row>
    <row r="156" spans="4:4" ht="15.75" customHeight="1">
      <c r="D156" s="82"/>
    </row>
    <row r="157" spans="4:4" ht="15.75" customHeight="1">
      <c r="D157" s="82"/>
    </row>
    <row r="158" spans="4:4" ht="15.75" customHeight="1">
      <c r="D158" s="82"/>
    </row>
    <row r="159" spans="4:4" ht="15.75" customHeight="1">
      <c r="D159" s="82"/>
    </row>
    <row r="160" spans="4:4" ht="15.75" customHeight="1">
      <c r="D160" s="82"/>
    </row>
    <row r="161" spans="4:4" ht="15.75" customHeight="1">
      <c r="D161" s="82"/>
    </row>
    <row r="162" spans="4:4" ht="15.75" customHeight="1">
      <c r="D162" s="82"/>
    </row>
    <row r="163" spans="4:4" ht="15.75" customHeight="1">
      <c r="D163" s="82"/>
    </row>
    <row r="164" spans="4:4" ht="15.75" customHeight="1">
      <c r="D164" s="82"/>
    </row>
    <row r="165" spans="4:4" ht="15.75" customHeight="1">
      <c r="D165" s="82"/>
    </row>
    <row r="166" spans="4:4" ht="15.75" customHeight="1">
      <c r="D166" s="82"/>
    </row>
    <row r="167" spans="4:4" ht="15.75" customHeight="1">
      <c r="D167" s="82"/>
    </row>
    <row r="168" spans="4:4" ht="15.75" customHeight="1">
      <c r="D168" s="82"/>
    </row>
    <row r="169" spans="4:4" ht="15.75" customHeight="1">
      <c r="D169" s="82"/>
    </row>
    <row r="170" spans="4:4" ht="15.75" customHeight="1">
      <c r="D170" s="82"/>
    </row>
    <row r="171" spans="4:4" ht="15.75" customHeight="1">
      <c r="D171" s="82"/>
    </row>
    <row r="172" spans="4:4" ht="15.75" customHeight="1">
      <c r="D172" s="82"/>
    </row>
    <row r="173" spans="4:4" ht="15.75" customHeight="1">
      <c r="D173" s="82"/>
    </row>
    <row r="174" spans="4:4" ht="15.75" customHeight="1">
      <c r="D174" s="82"/>
    </row>
    <row r="175" spans="4:4" ht="15.75" customHeight="1">
      <c r="D175" s="82"/>
    </row>
    <row r="176" spans="4:4" ht="15.75" customHeight="1">
      <c r="D176" s="82"/>
    </row>
    <row r="177" spans="4:4" ht="15.75" customHeight="1">
      <c r="D177" s="82"/>
    </row>
    <row r="178" spans="4:4" ht="15.75" customHeight="1">
      <c r="D178" s="82"/>
    </row>
    <row r="179" spans="4:4" ht="15.75" customHeight="1">
      <c r="D179" s="82"/>
    </row>
    <row r="180" spans="4:4" ht="15.75" customHeight="1">
      <c r="D180" s="82"/>
    </row>
    <row r="181" spans="4:4" ht="15.75" customHeight="1">
      <c r="D181" s="82"/>
    </row>
    <row r="182" spans="4:4" ht="15.75" customHeight="1">
      <c r="D182" s="82"/>
    </row>
    <row r="183" spans="4:4" ht="15.75" customHeight="1">
      <c r="D183" s="82"/>
    </row>
    <row r="184" spans="4:4" ht="15.75" customHeight="1">
      <c r="D184" s="82"/>
    </row>
    <row r="185" spans="4:4" ht="15.75" customHeight="1">
      <c r="D185" s="82"/>
    </row>
    <row r="186" spans="4:4" ht="15.75" customHeight="1">
      <c r="D186" s="82"/>
    </row>
    <row r="187" spans="4:4" ht="15.75" customHeight="1">
      <c r="D187" s="82"/>
    </row>
    <row r="188" spans="4:4" ht="15.75" customHeight="1">
      <c r="D188" s="82"/>
    </row>
    <row r="189" spans="4:4" ht="15.75" customHeight="1">
      <c r="D189" s="82"/>
    </row>
    <row r="190" spans="4:4" ht="15.75" customHeight="1">
      <c r="D190" s="82"/>
    </row>
    <row r="191" spans="4:4" ht="15.75" customHeight="1">
      <c r="D191" s="82"/>
    </row>
    <row r="192" spans="4:4" ht="15.75" customHeight="1">
      <c r="D192" s="82"/>
    </row>
    <row r="193" spans="4:4" ht="15.75" customHeight="1">
      <c r="D193" s="82"/>
    </row>
    <row r="194" spans="4:4" ht="15.75" customHeight="1">
      <c r="D194" s="82"/>
    </row>
    <row r="195" spans="4:4" ht="15.75" customHeight="1">
      <c r="D195" s="82"/>
    </row>
    <row r="196" spans="4:4" ht="15.75" customHeight="1">
      <c r="D196" s="82"/>
    </row>
    <row r="197" spans="4:4" ht="15.75" customHeight="1">
      <c r="D197" s="82"/>
    </row>
    <row r="198" spans="4:4" ht="15.75" customHeight="1">
      <c r="D198" s="82"/>
    </row>
    <row r="199" spans="4:4" ht="15.75" customHeight="1">
      <c r="D199" s="82"/>
    </row>
    <row r="200" spans="4:4" ht="15.75" customHeight="1">
      <c r="D200" s="82"/>
    </row>
    <row r="201" spans="4:4" ht="15.75" customHeight="1">
      <c r="D201" s="82"/>
    </row>
    <row r="202" spans="4:4" ht="15.75" customHeight="1">
      <c r="D202" s="82"/>
    </row>
    <row r="203" spans="4:4" ht="15.75" customHeight="1">
      <c r="D203" s="82"/>
    </row>
    <row r="204" spans="4:4" ht="15.75" customHeight="1">
      <c r="D204" s="82"/>
    </row>
    <row r="205" spans="4:4" ht="15.75" customHeight="1">
      <c r="D205" s="82"/>
    </row>
    <row r="206" spans="4:4" ht="15.75" customHeight="1">
      <c r="D206" s="82"/>
    </row>
    <row r="207" spans="4:4" ht="15.75" customHeight="1">
      <c r="D207" s="82"/>
    </row>
    <row r="208" spans="4:4" ht="15.75" customHeight="1">
      <c r="D208" s="82"/>
    </row>
    <row r="209" spans="4:4" ht="15.75" customHeight="1">
      <c r="D209" s="82"/>
    </row>
    <row r="210" spans="4:4" ht="15.75" customHeight="1">
      <c r="D210" s="82"/>
    </row>
    <row r="211" spans="4:4" ht="15.75" customHeight="1">
      <c r="D211" s="82"/>
    </row>
    <row r="212" spans="4:4" ht="15.75" customHeight="1">
      <c r="D212" s="82"/>
    </row>
    <row r="213" spans="4:4" ht="15.75" customHeight="1">
      <c r="D213" s="82"/>
    </row>
    <row r="214" spans="4:4" ht="15.75" customHeight="1">
      <c r="D214" s="82"/>
    </row>
    <row r="215" spans="4:4" ht="15.75" customHeight="1">
      <c r="D215" s="82"/>
    </row>
    <row r="216" spans="4:4" ht="15.75" customHeight="1">
      <c r="D216" s="82"/>
    </row>
    <row r="217" spans="4:4" ht="15.75" customHeight="1">
      <c r="D217" s="82"/>
    </row>
    <row r="218" spans="4:4" ht="15.75" customHeight="1">
      <c r="D218" s="82"/>
    </row>
    <row r="219" spans="4:4" ht="15.75" customHeight="1">
      <c r="D219" s="82"/>
    </row>
    <row r="220" spans="4:4" ht="15.75" customHeight="1">
      <c r="D220" s="82"/>
    </row>
    <row r="221" spans="4:4" ht="15.75" customHeight="1">
      <c r="D221" s="82"/>
    </row>
    <row r="222" spans="4:4" ht="15.75" customHeight="1">
      <c r="D222" s="82"/>
    </row>
    <row r="223" spans="4:4" ht="15.75" customHeight="1">
      <c r="D223" s="82"/>
    </row>
    <row r="224" spans="4:4" ht="15.75" customHeight="1">
      <c r="D224" s="82"/>
    </row>
    <row r="225" spans="4:4" ht="15.75" customHeight="1">
      <c r="D225" s="82"/>
    </row>
    <row r="226" spans="4:4" ht="15.75" customHeight="1">
      <c r="D226" s="82"/>
    </row>
    <row r="227" spans="4:4" ht="15.75" customHeight="1">
      <c r="D227" s="82"/>
    </row>
    <row r="228" spans="4:4" ht="15.75" customHeight="1">
      <c r="D228" s="82"/>
    </row>
    <row r="229" spans="4:4" ht="15.75" customHeight="1">
      <c r="D229" s="82"/>
    </row>
    <row r="230" spans="4:4" ht="15.75" customHeight="1">
      <c r="D230" s="82"/>
    </row>
    <row r="231" spans="4:4" ht="15.75" customHeight="1">
      <c r="D231" s="82"/>
    </row>
    <row r="232" spans="4:4" ht="15.75" customHeight="1">
      <c r="D232" s="82"/>
    </row>
    <row r="233" spans="4:4" ht="15.75" customHeight="1">
      <c r="D233" s="82"/>
    </row>
    <row r="234" spans="4:4" ht="15.75" customHeight="1">
      <c r="D234" s="82"/>
    </row>
    <row r="235" spans="4:4" ht="15.75" customHeight="1">
      <c r="D235" s="82"/>
    </row>
    <row r="236" spans="4:4" ht="15.75" customHeight="1">
      <c r="D236" s="82"/>
    </row>
    <row r="237" spans="4:4" ht="15.75" customHeight="1">
      <c r="D237" s="82"/>
    </row>
    <row r="238" spans="4:4" ht="15.75" customHeight="1">
      <c r="D238" s="82"/>
    </row>
    <row r="239" spans="4:4" ht="15.75" customHeight="1">
      <c r="D239" s="82"/>
    </row>
    <row r="240" spans="4:4" ht="15.75" customHeight="1">
      <c r="D240" s="82"/>
    </row>
    <row r="241" spans="4:4" ht="15.75" customHeight="1">
      <c r="D241" s="82"/>
    </row>
    <row r="242" spans="4:4" ht="15.75" customHeight="1">
      <c r="D242" s="82"/>
    </row>
    <row r="243" spans="4:4" ht="15.75" customHeight="1">
      <c r="D243" s="82"/>
    </row>
    <row r="244" spans="4:4" ht="15.75" customHeight="1">
      <c r="D244" s="82"/>
    </row>
    <row r="245" spans="4:4" ht="15.75" customHeight="1">
      <c r="D245" s="82"/>
    </row>
    <row r="246" spans="4:4" ht="15.75" customHeight="1">
      <c r="D246" s="82"/>
    </row>
    <row r="247" spans="4:4" ht="15.75" customHeight="1">
      <c r="D247" s="82"/>
    </row>
    <row r="248" spans="4:4" ht="15.75" customHeight="1">
      <c r="D248" s="82"/>
    </row>
    <row r="249" spans="4:4" ht="15.75" customHeight="1">
      <c r="D249" s="82"/>
    </row>
    <row r="250" spans="4:4" ht="15.75" customHeight="1">
      <c r="D250" s="82"/>
    </row>
    <row r="251" spans="4:4" ht="15.75" customHeight="1">
      <c r="D251" s="82"/>
    </row>
    <row r="252" spans="4:4" ht="15.75" customHeight="1">
      <c r="D252" s="82"/>
    </row>
    <row r="253" spans="4:4" ht="15.75" customHeight="1">
      <c r="D253" s="82"/>
    </row>
    <row r="254" spans="4:4" ht="15.75" customHeight="1">
      <c r="D254" s="82"/>
    </row>
    <row r="255" spans="4:4" ht="15.75" customHeight="1">
      <c r="D255" s="82"/>
    </row>
    <row r="256" spans="4:4" ht="15.75" customHeight="1">
      <c r="D256" s="82"/>
    </row>
    <row r="257" spans="4:4" ht="15.75" customHeight="1">
      <c r="D257" s="82"/>
    </row>
    <row r="258" spans="4:4" ht="15.75" customHeight="1">
      <c r="D258" s="82"/>
    </row>
    <row r="259" spans="4:4" ht="15.75" customHeight="1">
      <c r="D259" s="82"/>
    </row>
    <row r="260" spans="4:4" ht="15.75" customHeight="1">
      <c r="D260" s="82"/>
    </row>
    <row r="261" spans="4:4" ht="15.75" customHeight="1">
      <c r="D261" s="82"/>
    </row>
    <row r="262" spans="4:4" ht="15.75" customHeight="1">
      <c r="D262" s="82"/>
    </row>
    <row r="263" spans="4:4" ht="15.75" customHeight="1">
      <c r="D263" s="82"/>
    </row>
    <row r="264" spans="4:4" ht="15.75" customHeight="1">
      <c r="D264" s="82"/>
    </row>
    <row r="265" spans="4:4" ht="15.75" customHeight="1">
      <c r="D265" s="82"/>
    </row>
    <row r="266" spans="4:4" ht="15.75" customHeight="1">
      <c r="D266" s="82"/>
    </row>
    <row r="267" spans="4:4" ht="15.75" customHeight="1">
      <c r="D267" s="82"/>
    </row>
    <row r="268" spans="4:4" ht="15.75" customHeight="1">
      <c r="D268" s="82"/>
    </row>
    <row r="269" spans="4:4" ht="15.75" customHeight="1">
      <c r="D269" s="82"/>
    </row>
    <row r="270" spans="4:4" ht="15.75" customHeight="1">
      <c r="D270" s="82"/>
    </row>
    <row r="271" spans="4:4" ht="15.75" customHeight="1">
      <c r="D271" s="82"/>
    </row>
    <row r="272" spans="4:4" ht="15.75" customHeight="1">
      <c r="D272" s="82"/>
    </row>
    <row r="273" spans="4:4" ht="15.75" customHeight="1">
      <c r="D273" s="82"/>
    </row>
    <row r="274" spans="4:4" ht="15.75" customHeight="1">
      <c r="D274" s="82"/>
    </row>
    <row r="275" spans="4:4" ht="15.75" customHeight="1">
      <c r="D275" s="82"/>
    </row>
    <row r="276" spans="4:4" ht="15.75" customHeight="1">
      <c r="D276" s="82"/>
    </row>
    <row r="277" spans="4:4" ht="15.75" customHeight="1">
      <c r="D277" s="82"/>
    </row>
    <row r="278" spans="4:4" ht="15.75" customHeight="1">
      <c r="D278" s="82"/>
    </row>
    <row r="279" spans="4:4" ht="15.75" customHeight="1">
      <c r="D279" s="82"/>
    </row>
    <row r="280" spans="4:4" ht="15.75" customHeight="1">
      <c r="D280" s="82"/>
    </row>
    <row r="281" spans="4:4" ht="15.75" customHeight="1">
      <c r="D281" s="82"/>
    </row>
    <row r="282" spans="4:4" ht="15.75" customHeight="1">
      <c r="D282" s="82"/>
    </row>
    <row r="283" spans="4:4" ht="15.75" customHeight="1">
      <c r="D283" s="82"/>
    </row>
    <row r="284" spans="4:4" ht="15.75" customHeight="1">
      <c r="D284" s="82"/>
    </row>
    <row r="285" spans="4:4" ht="15.75" customHeight="1">
      <c r="D285" s="82"/>
    </row>
    <row r="286" spans="4:4" ht="15.75" customHeight="1">
      <c r="D286" s="82"/>
    </row>
    <row r="287" spans="4:4" ht="15.75" customHeight="1">
      <c r="D287" s="82"/>
    </row>
    <row r="288" spans="4:4" ht="15.75" customHeight="1">
      <c r="D288" s="82"/>
    </row>
    <row r="289" spans="4:4" ht="15.75" customHeight="1">
      <c r="D289" s="82"/>
    </row>
    <row r="290" spans="4:4" ht="15.75" customHeight="1">
      <c r="D290" s="82"/>
    </row>
    <row r="291" spans="4:4" ht="15.75" customHeight="1">
      <c r="D291" s="82"/>
    </row>
    <row r="292" spans="4:4" ht="15.75" customHeight="1">
      <c r="D292" s="82"/>
    </row>
    <row r="293" spans="4:4" ht="15.75" customHeight="1">
      <c r="D293" s="82"/>
    </row>
    <row r="294" spans="4:4" ht="15.75" customHeight="1">
      <c r="D294" s="82"/>
    </row>
    <row r="295" spans="4:4" ht="15.75" customHeight="1">
      <c r="D295" s="82"/>
    </row>
    <row r="296" spans="4:4" ht="15.75" customHeight="1">
      <c r="D296" s="82"/>
    </row>
    <row r="297" spans="4:4" ht="15.75" customHeight="1">
      <c r="D297" s="82"/>
    </row>
    <row r="298" spans="4:4" ht="15.75" customHeight="1">
      <c r="D298" s="82"/>
    </row>
    <row r="299" spans="4:4" ht="15.75" customHeight="1">
      <c r="D299" s="82"/>
    </row>
    <row r="300" spans="4:4" ht="15.75" customHeight="1">
      <c r="D300" s="82"/>
    </row>
    <row r="301" spans="4:4" ht="15.75" customHeight="1">
      <c r="D301" s="82"/>
    </row>
    <row r="302" spans="4:4" ht="15.75" customHeight="1">
      <c r="D302" s="82"/>
    </row>
    <row r="303" spans="4:4" ht="15.75" customHeight="1">
      <c r="D303" s="82"/>
    </row>
    <row r="304" spans="4:4" ht="15.75" customHeight="1">
      <c r="D304" s="82"/>
    </row>
    <row r="305" spans="4:4" ht="15.75" customHeight="1">
      <c r="D305" s="82"/>
    </row>
    <row r="306" spans="4:4" ht="15.75" customHeight="1">
      <c r="D306" s="82"/>
    </row>
    <row r="307" spans="4:4" ht="15.75" customHeight="1">
      <c r="D307" s="82"/>
    </row>
    <row r="308" spans="4:4" ht="15.75" customHeight="1">
      <c r="D308" s="82"/>
    </row>
    <row r="309" spans="4:4" ht="15.75" customHeight="1">
      <c r="D309" s="82"/>
    </row>
    <row r="310" spans="4:4" ht="15.75" customHeight="1">
      <c r="D310" s="82"/>
    </row>
    <row r="311" spans="4:4" ht="15.75" customHeight="1">
      <c r="D311" s="82"/>
    </row>
    <row r="312" spans="4:4" ht="15.75" customHeight="1">
      <c r="D312" s="82"/>
    </row>
    <row r="313" spans="4:4" ht="15.75" customHeight="1">
      <c r="D313" s="82"/>
    </row>
    <row r="314" spans="4:4" ht="15.75" customHeight="1">
      <c r="D314" s="82"/>
    </row>
    <row r="315" spans="4:4" ht="15.75" customHeight="1">
      <c r="D315" s="82"/>
    </row>
    <row r="316" spans="4:4" ht="15.75" customHeight="1">
      <c r="D316" s="82"/>
    </row>
    <row r="317" spans="4:4" ht="15.75" customHeight="1">
      <c r="D317" s="82"/>
    </row>
    <row r="318" spans="4:4" ht="15.75" customHeight="1">
      <c r="D318" s="82"/>
    </row>
    <row r="319" spans="4:4" ht="15.75" customHeight="1">
      <c r="D319" s="82"/>
    </row>
    <row r="320" spans="4:4" ht="15.75" customHeight="1">
      <c r="D320" s="82"/>
    </row>
    <row r="321" spans="4:4" ht="15.75" customHeight="1">
      <c r="D321" s="82"/>
    </row>
    <row r="322" spans="4:4" ht="15.75" customHeight="1">
      <c r="D322" s="82"/>
    </row>
    <row r="323" spans="4:4" ht="15.75" customHeight="1">
      <c r="D323" s="82"/>
    </row>
    <row r="324" spans="4:4" ht="15.75" customHeight="1">
      <c r="D324" s="82"/>
    </row>
    <row r="325" spans="4:4" ht="15.75" customHeight="1">
      <c r="D325" s="82"/>
    </row>
    <row r="326" spans="4:4" ht="15.75" customHeight="1">
      <c r="D326" s="82"/>
    </row>
    <row r="327" spans="4:4" ht="15.75" customHeight="1">
      <c r="D327" s="82"/>
    </row>
    <row r="328" spans="4:4" ht="15.75" customHeight="1">
      <c r="D328" s="82"/>
    </row>
    <row r="329" spans="4:4" ht="15.75" customHeight="1">
      <c r="D329" s="82"/>
    </row>
    <row r="330" spans="4:4" ht="15.75" customHeight="1">
      <c r="D330" s="82"/>
    </row>
    <row r="331" spans="4:4" ht="15.75" customHeight="1">
      <c r="D331" s="82"/>
    </row>
    <row r="332" spans="4:4" ht="15.75" customHeight="1">
      <c r="D332" s="82"/>
    </row>
    <row r="333" spans="4:4" ht="15.75" customHeight="1">
      <c r="D333" s="82"/>
    </row>
    <row r="334" spans="4:4" ht="15.75" customHeight="1">
      <c r="D334" s="82"/>
    </row>
    <row r="335" spans="4:4" ht="15.75" customHeight="1">
      <c r="D335" s="82"/>
    </row>
    <row r="336" spans="4:4" ht="15.75" customHeight="1">
      <c r="D336" s="82"/>
    </row>
    <row r="337" spans="4:4" ht="15.75" customHeight="1">
      <c r="D337" s="82"/>
    </row>
    <row r="338" spans="4:4" ht="15.75" customHeight="1">
      <c r="D338" s="82"/>
    </row>
    <row r="339" spans="4:4" ht="15.75" customHeight="1">
      <c r="D339" s="82"/>
    </row>
    <row r="340" spans="4:4" ht="15.75" customHeight="1">
      <c r="D340" s="82"/>
    </row>
    <row r="341" spans="4:4" ht="15.75" customHeight="1">
      <c r="D341" s="82"/>
    </row>
    <row r="342" spans="4:4" ht="15.75" customHeight="1">
      <c r="D342" s="82"/>
    </row>
    <row r="343" spans="4:4" ht="15.75" customHeight="1">
      <c r="D343" s="82"/>
    </row>
    <row r="344" spans="4:4" ht="15.75" customHeight="1">
      <c r="D344" s="82"/>
    </row>
    <row r="345" spans="4:4" ht="15.75" customHeight="1">
      <c r="D345" s="82"/>
    </row>
    <row r="346" spans="4:4" ht="15.75" customHeight="1">
      <c r="D346" s="82"/>
    </row>
    <row r="347" spans="4:4" ht="15.75" customHeight="1">
      <c r="D347" s="82"/>
    </row>
    <row r="348" spans="4:4" ht="15.75" customHeight="1">
      <c r="D348" s="82"/>
    </row>
    <row r="349" spans="4:4" ht="15.75" customHeight="1">
      <c r="D349" s="82"/>
    </row>
    <row r="350" spans="4:4" ht="15.75" customHeight="1">
      <c r="D350" s="82"/>
    </row>
    <row r="351" spans="4:4" ht="15.75" customHeight="1">
      <c r="D351" s="82"/>
    </row>
    <row r="352" spans="4:4" ht="15.75" customHeight="1">
      <c r="D352" s="82"/>
    </row>
    <row r="353" spans="4:4" ht="15.75" customHeight="1">
      <c r="D353" s="82"/>
    </row>
    <row r="354" spans="4:4" ht="15.75" customHeight="1">
      <c r="D354" s="82"/>
    </row>
    <row r="355" spans="4:4" ht="15.75" customHeight="1">
      <c r="D355" s="82"/>
    </row>
    <row r="356" spans="4:4" ht="15.75" customHeight="1">
      <c r="D356" s="82"/>
    </row>
    <row r="357" spans="4:4" ht="15.75" customHeight="1">
      <c r="D357" s="82"/>
    </row>
    <row r="358" spans="4:4" ht="15.75" customHeight="1">
      <c r="D358" s="82"/>
    </row>
    <row r="359" spans="4:4" ht="15.75" customHeight="1">
      <c r="D359" s="82"/>
    </row>
    <row r="360" spans="4:4" ht="15.75" customHeight="1">
      <c r="D360" s="82"/>
    </row>
    <row r="361" spans="4:4" ht="15.75" customHeight="1">
      <c r="D361" s="82"/>
    </row>
    <row r="362" spans="4:4" ht="15.75" customHeight="1">
      <c r="D362" s="82"/>
    </row>
    <row r="363" spans="4:4" ht="15.75" customHeight="1">
      <c r="D363" s="82"/>
    </row>
    <row r="364" spans="4:4" ht="15.75" customHeight="1">
      <c r="D364" s="82"/>
    </row>
    <row r="365" spans="4:4" ht="15.75" customHeight="1">
      <c r="D365" s="82"/>
    </row>
    <row r="366" spans="4:4" ht="15.75" customHeight="1">
      <c r="D366" s="82"/>
    </row>
    <row r="367" spans="4:4" ht="15.75" customHeight="1">
      <c r="D367" s="82"/>
    </row>
    <row r="368" spans="4:4" ht="15.75" customHeight="1">
      <c r="D368" s="82"/>
    </row>
    <row r="369" spans="4:4" ht="15.75" customHeight="1">
      <c r="D369" s="82"/>
    </row>
    <row r="370" spans="4:4" ht="15.75" customHeight="1">
      <c r="D370" s="82"/>
    </row>
    <row r="371" spans="4:4" ht="15.75" customHeight="1">
      <c r="D371" s="82"/>
    </row>
    <row r="372" spans="4:4" ht="15.75" customHeight="1">
      <c r="D372" s="82"/>
    </row>
    <row r="373" spans="4:4" ht="15.75" customHeight="1">
      <c r="D373" s="82"/>
    </row>
    <row r="374" spans="4:4" ht="15.75" customHeight="1">
      <c r="D374" s="82"/>
    </row>
    <row r="375" spans="4:4" ht="15.75" customHeight="1">
      <c r="D375" s="82"/>
    </row>
    <row r="376" spans="4:4" ht="15.75" customHeight="1">
      <c r="D376" s="82"/>
    </row>
    <row r="377" spans="4:4" ht="15.75" customHeight="1">
      <c r="D377" s="82"/>
    </row>
    <row r="378" spans="4:4" ht="15.75" customHeight="1">
      <c r="D378" s="82"/>
    </row>
    <row r="379" spans="4:4" ht="15.75" customHeight="1">
      <c r="D379" s="82"/>
    </row>
    <row r="380" spans="4:4" ht="15.75" customHeight="1">
      <c r="D380" s="82"/>
    </row>
    <row r="381" spans="4:4" ht="15.75" customHeight="1">
      <c r="D381" s="82"/>
    </row>
    <row r="382" spans="4:4" ht="15.75" customHeight="1">
      <c r="D382" s="82"/>
    </row>
    <row r="383" spans="4:4" ht="15.75" customHeight="1">
      <c r="D383" s="82"/>
    </row>
    <row r="384" spans="4:4" ht="15.75" customHeight="1">
      <c r="D384" s="82"/>
    </row>
    <row r="385" spans="4:4" ht="15.75" customHeight="1">
      <c r="D385" s="82"/>
    </row>
    <row r="386" spans="4:4" ht="15.75" customHeight="1">
      <c r="D386" s="82"/>
    </row>
    <row r="387" spans="4:4" ht="15.75" customHeight="1">
      <c r="D387" s="82"/>
    </row>
    <row r="388" spans="4:4" ht="15.75" customHeight="1">
      <c r="D388" s="82"/>
    </row>
    <row r="389" spans="4:4" ht="15.75" customHeight="1">
      <c r="D389" s="82"/>
    </row>
    <row r="390" spans="4:4" ht="15.75" customHeight="1">
      <c r="D390" s="82"/>
    </row>
    <row r="391" spans="4:4" ht="15.75" customHeight="1">
      <c r="D391" s="82"/>
    </row>
    <row r="392" spans="4:4" ht="15.75" customHeight="1">
      <c r="D392" s="82"/>
    </row>
    <row r="393" spans="4:4" ht="15.75" customHeight="1">
      <c r="D393" s="82"/>
    </row>
    <row r="394" spans="4:4" ht="15.75" customHeight="1">
      <c r="D394" s="82"/>
    </row>
    <row r="395" spans="4:4" ht="15.75" customHeight="1">
      <c r="D395" s="82"/>
    </row>
    <row r="396" spans="4:4" ht="15.75" customHeight="1">
      <c r="D396" s="82"/>
    </row>
    <row r="397" spans="4:4" ht="15.75" customHeight="1">
      <c r="D397" s="82"/>
    </row>
    <row r="398" spans="4:4" ht="15.75" customHeight="1">
      <c r="D398" s="82"/>
    </row>
    <row r="399" spans="4:4" ht="15.75" customHeight="1">
      <c r="D399" s="82"/>
    </row>
    <row r="400" spans="4:4" ht="15.75" customHeight="1">
      <c r="D400" s="82"/>
    </row>
    <row r="401" spans="4:4" ht="15.75" customHeight="1">
      <c r="D401" s="82"/>
    </row>
    <row r="402" spans="4:4" ht="15.75" customHeight="1">
      <c r="D402" s="82"/>
    </row>
    <row r="403" spans="4:4" ht="15.75" customHeight="1">
      <c r="D403" s="82"/>
    </row>
    <row r="404" spans="4:4" ht="15.75" customHeight="1">
      <c r="D404" s="82"/>
    </row>
    <row r="405" spans="4:4" ht="15.75" customHeight="1">
      <c r="D405" s="82"/>
    </row>
    <row r="406" spans="4:4" ht="15.75" customHeight="1">
      <c r="D406" s="82"/>
    </row>
    <row r="407" spans="4:4" ht="15.75" customHeight="1">
      <c r="D407" s="82"/>
    </row>
    <row r="408" spans="4:4" ht="15.75" customHeight="1">
      <c r="D408" s="82"/>
    </row>
    <row r="409" spans="4:4" ht="15.75" customHeight="1">
      <c r="D409" s="82"/>
    </row>
    <row r="410" spans="4:4" ht="15.75" customHeight="1">
      <c r="D410" s="82"/>
    </row>
    <row r="411" spans="4:4" ht="15.75" customHeight="1">
      <c r="D411" s="82"/>
    </row>
    <row r="412" spans="4:4" ht="15.75" customHeight="1">
      <c r="D412" s="82"/>
    </row>
    <row r="413" spans="4:4" ht="15.75" customHeight="1">
      <c r="D413" s="82"/>
    </row>
    <row r="414" spans="4:4" ht="15.75" customHeight="1">
      <c r="D414" s="82"/>
    </row>
    <row r="415" spans="4:4" ht="15.75" customHeight="1">
      <c r="D415" s="82"/>
    </row>
    <row r="416" spans="4:4" ht="15.75" customHeight="1">
      <c r="D416" s="82"/>
    </row>
    <row r="417" spans="4:4" ht="15.75" customHeight="1">
      <c r="D417" s="82"/>
    </row>
    <row r="418" spans="4:4" ht="15.75" customHeight="1">
      <c r="D418" s="82"/>
    </row>
    <row r="419" spans="4:4" ht="15.75" customHeight="1">
      <c r="D419" s="82"/>
    </row>
    <row r="420" spans="4:4" ht="15.75" customHeight="1">
      <c r="D420" s="82"/>
    </row>
    <row r="421" spans="4:4" ht="15.75" customHeight="1">
      <c r="D421" s="82"/>
    </row>
    <row r="422" spans="4:4" ht="15.75" customHeight="1">
      <c r="D422" s="82"/>
    </row>
    <row r="423" spans="4:4" ht="15.75" customHeight="1">
      <c r="D423" s="82"/>
    </row>
    <row r="424" spans="4:4" ht="15.75" customHeight="1">
      <c r="D424" s="82"/>
    </row>
    <row r="425" spans="4:4" ht="15.75" customHeight="1">
      <c r="D425" s="82"/>
    </row>
    <row r="426" spans="4:4" ht="15.75" customHeight="1">
      <c r="D426" s="82"/>
    </row>
    <row r="427" spans="4:4" ht="15.75" customHeight="1">
      <c r="D427" s="82"/>
    </row>
    <row r="428" spans="4:4" ht="15.75" customHeight="1">
      <c r="D428" s="82"/>
    </row>
    <row r="429" spans="4:4" ht="15.75" customHeight="1">
      <c r="D429" s="82"/>
    </row>
    <row r="430" spans="4:4" ht="15.75" customHeight="1">
      <c r="D430" s="82"/>
    </row>
    <row r="431" spans="4:4" ht="15.75" customHeight="1">
      <c r="D431" s="82"/>
    </row>
    <row r="432" spans="4:4" ht="15.75" customHeight="1">
      <c r="D432" s="82"/>
    </row>
    <row r="433" spans="4:4" ht="15.75" customHeight="1">
      <c r="D433" s="82"/>
    </row>
    <row r="434" spans="4:4" ht="15.75" customHeight="1">
      <c r="D434" s="82"/>
    </row>
    <row r="435" spans="4:4" ht="15.75" customHeight="1">
      <c r="D435" s="82"/>
    </row>
    <row r="436" spans="4:4" ht="15.75" customHeight="1">
      <c r="D436" s="82"/>
    </row>
    <row r="437" spans="4:4" ht="15.75" customHeight="1">
      <c r="D437" s="82"/>
    </row>
    <row r="438" spans="4:4" ht="15.75" customHeight="1">
      <c r="D438" s="82"/>
    </row>
    <row r="439" spans="4:4" ht="15.75" customHeight="1">
      <c r="D439" s="82"/>
    </row>
    <row r="440" spans="4:4" ht="15.75" customHeight="1">
      <c r="D440" s="82"/>
    </row>
    <row r="441" spans="4:4" ht="15.75" customHeight="1">
      <c r="D441" s="82"/>
    </row>
    <row r="442" spans="4:4" ht="15.75" customHeight="1">
      <c r="D442" s="82"/>
    </row>
    <row r="443" spans="4:4" ht="15.75" customHeight="1">
      <c r="D443" s="82"/>
    </row>
    <row r="444" spans="4:4" ht="15.75" customHeight="1">
      <c r="D444" s="82"/>
    </row>
    <row r="445" spans="4:4" ht="15.75" customHeight="1">
      <c r="D445" s="82"/>
    </row>
    <row r="446" spans="4:4" ht="15.75" customHeight="1">
      <c r="D446" s="82"/>
    </row>
    <row r="447" spans="4:4" ht="15.75" customHeight="1">
      <c r="D447" s="82"/>
    </row>
    <row r="448" spans="4:4" ht="15.75" customHeight="1">
      <c r="D448" s="82"/>
    </row>
    <row r="449" spans="4:4" ht="15.75" customHeight="1">
      <c r="D449" s="82"/>
    </row>
    <row r="450" spans="4:4" ht="15.75" customHeight="1">
      <c r="D450" s="82"/>
    </row>
    <row r="451" spans="4:4" ht="15.75" customHeight="1">
      <c r="D451" s="82"/>
    </row>
    <row r="452" spans="4:4" ht="15.75" customHeight="1">
      <c r="D452" s="82"/>
    </row>
    <row r="453" spans="4:4" ht="15.75" customHeight="1">
      <c r="D453" s="82"/>
    </row>
    <row r="454" spans="4:4" ht="15.75" customHeight="1">
      <c r="D454" s="82"/>
    </row>
    <row r="455" spans="4:4" ht="15.75" customHeight="1">
      <c r="D455" s="82"/>
    </row>
    <row r="456" spans="4:4" ht="15.75" customHeight="1">
      <c r="D456" s="82"/>
    </row>
    <row r="457" spans="4:4" ht="15.75" customHeight="1">
      <c r="D457" s="82"/>
    </row>
    <row r="458" spans="4:4" ht="15.75" customHeight="1">
      <c r="D458" s="82"/>
    </row>
    <row r="459" spans="4:4" ht="15.75" customHeight="1">
      <c r="D459" s="82"/>
    </row>
    <row r="460" spans="4:4" ht="15.75" customHeight="1">
      <c r="D460" s="82"/>
    </row>
    <row r="461" spans="4:4" ht="15.75" customHeight="1">
      <c r="D461" s="82"/>
    </row>
    <row r="462" spans="4:4" ht="15.75" customHeight="1">
      <c r="D462" s="82"/>
    </row>
    <row r="463" spans="4:4" ht="15.75" customHeight="1">
      <c r="D463" s="82"/>
    </row>
    <row r="464" spans="4:4" ht="15.75" customHeight="1">
      <c r="D464" s="82"/>
    </row>
    <row r="465" spans="4:4" ht="15.75" customHeight="1">
      <c r="D465" s="82"/>
    </row>
    <row r="466" spans="4:4" ht="15.75" customHeight="1">
      <c r="D466" s="82"/>
    </row>
    <row r="467" spans="4:4" ht="15.75" customHeight="1">
      <c r="D467" s="82"/>
    </row>
    <row r="468" spans="4:4" ht="15.75" customHeight="1">
      <c r="D468" s="82"/>
    </row>
    <row r="469" spans="4:4" ht="15.75" customHeight="1">
      <c r="D469" s="82"/>
    </row>
    <row r="470" spans="4:4" ht="15.75" customHeight="1">
      <c r="D470" s="82"/>
    </row>
    <row r="471" spans="4:4" ht="15.75" customHeight="1">
      <c r="D471" s="82"/>
    </row>
    <row r="472" spans="4:4" ht="15.75" customHeight="1">
      <c r="D472" s="82"/>
    </row>
    <row r="473" spans="4:4" ht="15.75" customHeight="1">
      <c r="D473" s="82"/>
    </row>
    <row r="474" spans="4:4" ht="15.75" customHeight="1">
      <c r="D474" s="82"/>
    </row>
    <row r="475" spans="4:4" ht="15.75" customHeight="1">
      <c r="D475" s="82"/>
    </row>
    <row r="476" spans="4:4" ht="15.75" customHeight="1">
      <c r="D476" s="82"/>
    </row>
    <row r="477" spans="4:4" ht="15.75" customHeight="1">
      <c r="D477" s="82"/>
    </row>
    <row r="478" spans="4:4" ht="15.75" customHeight="1">
      <c r="D478" s="82"/>
    </row>
    <row r="479" spans="4:4" ht="15.75" customHeight="1">
      <c r="D479" s="82"/>
    </row>
    <row r="480" spans="4:4" ht="15.75" customHeight="1">
      <c r="D480" s="82"/>
    </row>
    <row r="481" spans="4:4" ht="15.75" customHeight="1">
      <c r="D481" s="82"/>
    </row>
    <row r="482" spans="4:4" ht="15.75" customHeight="1">
      <c r="D482" s="82"/>
    </row>
    <row r="483" spans="4:4" ht="15.75" customHeight="1">
      <c r="D483" s="82"/>
    </row>
    <row r="484" spans="4:4" ht="15.75" customHeight="1">
      <c r="D484" s="82"/>
    </row>
    <row r="485" spans="4:4" ht="15.75" customHeight="1">
      <c r="D485" s="82"/>
    </row>
    <row r="486" spans="4:4" ht="15.75" customHeight="1">
      <c r="D486" s="82"/>
    </row>
    <row r="487" spans="4:4" ht="15.75" customHeight="1">
      <c r="D487" s="82"/>
    </row>
    <row r="488" spans="4:4" ht="15.75" customHeight="1">
      <c r="D488" s="82"/>
    </row>
    <row r="489" spans="4:4" ht="15.75" customHeight="1">
      <c r="D489" s="82"/>
    </row>
    <row r="490" spans="4:4" ht="15.75" customHeight="1">
      <c r="D490" s="82"/>
    </row>
    <row r="491" spans="4:4" ht="15.75" customHeight="1">
      <c r="D491" s="82"/>
    </row>
    <row r="492" spans="4:4" ht="15.75" customHeight="1">
      <c r="D492" s="82"/>
    </row>
    <row r="493" spans="4:4" ht="15.75" customHeight="1">
      <c r="D493" s="82"/>
    </row>
    <row r="494" spans="4:4" ht="15.75" customHeight="1">
      <c r="D494" s="82"/>
    </row>
    <row r="495" spans="4:4" ht="15.75" customHeight="1">
      <c r="D495" s="82"/>
    </row>
    <row r="496" spans="4:4" ht="15.75" customHeight="1">
      <c r="D496" s="82"/>
    </row>
    <row r="497" spans="4:4" ht="15.75" customHeight="1">
      <c r="D497" s="82"/>
    </row>
    <row r="498" spans="4:4" ht="15.75" customHeight="1">
      <c r="D498" s="82"/>
    </row>
    <row r="499" spans="4:4" ht="15.75" customHeight="1">
      <c r="D499" s="82"/>
    </row>
    <row r="500" spans="4:4" ht="15.75" customHeight="1">
      <c r="D500" s="82"/>
    </row>
    <row r="501" spans="4:4" ht="15.75" customHeight="1">
      <c r="D501" s="82"/>
    </row>
    <row r="502" spans="4:4" ht="15.75" customHeight="1">
      <c r="D502" s="82"/>
    </row>
    <row r="503" spans="4:4" ht="15.75" customHeight="1">
      <c r="D503" s="82"/>
    </row>
    <row r="504" spans="4:4" ht="15.75" customHeight="1">
      <c r="D504" s="82"/>
    </row>
    <row r="505" spans="4:4" ht="15.75" customHeight="1">
      <c r="D505" s="82"/>
    </row>
    <row r="506" spans="4:4" ht="15.75" customHeight="1">
      <c r="D506" s="82"/>
    </row>
    <row r="507" spans="4:4" ht="15.75" customHeight="1">
      <c r="D507" s="82"/>
    </row>
    <row r="508" spans="4:4" ht="15.75" customHeight="1">
      <c r="D508" s="82"/>
    </row>
    <row r="509" spans="4:4" ht="15.75" customHeight="1">
      <c r="D509" s="82"/>
    </row>
    <row r="510" spans="4:4" ht="15.75" customHeight="1">
      <c r="D510" s="82"/>
    </row>
    <row r="511" spans="4:4" ht="15.75" customHeight="1">
      <c r="D511" s="82"/>
    </row>
    <row r="512" spans="4:4" ht="15.75" customHeight="1">
      <c r="D512" s="82"/>
    </row>
    <row r="513" spans="4:4" ht="15.75" customHeight="1">
      <c r="D513" s="82"/>
    </row>
    <row r="514" spans="4:4" ht="15.75" customHeight="1">
      <c r="D514" s="82"/>
    </row>
    <row r="515" spans="4:4" ht="15.75" customHeight="1">
      <c r="D515" s="82"/>
    </row>
    <row r="516" spans="4:4" ht="15.75" customHeight="1">
      <c r="D516" s="82"/>
    </row>
    <row r="517" spans="4:4" ht="15.75" customHeight="1">
      <c r="D517" s="82"/>
    </row>
    <row r="518" spans="4:4" ht="15.75" customHeight="1">
      <c r="D518" s="82"/>
    </row>
    <row r="519" spans="4:4" ht="15.75" customHeight="1">
      <c r="D519" s="82"/>
    </row>
    <row r="520" spans="4:4" ht="15.75" customHeight="1">
      <c r="D520" s="82"/>
    </row>
    <row r="521" spans="4:4" ht="15.75" customHeight="1">
      <c r="D521" s="82"/>
    </row>
    <row r="522" spans="4:4" ht="15.75" customHeight="1">
      <c r="D522" s="82"/>
    </row>
    <row r="523" spans="4:4" ht="15.75" customHeight="1">
      <c r="D523" s="82"/>
    </row>
    <row r="524" spans="4:4" ht="15.75" customHeight="1">
      <c r="D524" s="82"/>
    </row>
    <row r="525" spans="4:4" ht="15.75" customHeight="1">
      <c r="D525" s="82"/>
    </row>
    <row r="526" spans="4:4" ht="15.75" customHeight="1">
      <c r="D526" s="82"/>
    </row>
    <row r="527" spans="4:4" ht="15.75" customHeight="1">
      <c r="D527" s="82"/>
    </row>
    <row r="528" spans="4:4" ht="15.75" customHeight="1">
      <c r="D528" s="82"/>
    </row>
    <row r="529" spans="4:4" ht="15.75" customHeight="1">
      <c r="D529" s="82"/>
    </row>
    <row r="530" spans="4:4" ht="15.75" customHeight="1">
      <c r="D530" s="82"/>
    </row>
    <row r="531" spans="4:4" ht="15.75" customHeight="1">
      <c r="D531" s="82"/>
    </row>
    <row r="532" spans="4:4" ht="15.75" customHeight="1">
      <c r="D532" s="82"/>
    </row>
    <row r="533" spans="4:4" ht="15.75" customHeight="1">
      <c r="D533" s="82"/>
    </row>
    <row r="534" spans="4:4" ht="15.75" customHeight="1">
      <c r="D534" s="82"/>
    </row>
    <row r="535" spans="4:4" ht="15.75" customHeight="1">
      <c r="D535" s="82"/>
    </row>
    <row r="536" spans="4:4" ht="15.75" customHeight="1">
      <c r="D536" s="82"/>
    </row>
    <row r="537" spans="4:4" ht="15.75" customHeight="1">
      <c r="D537" s="82"/>
    </row>
    <row r="538" spans="4:4" ht="15.75" customHeight="1">
      <c r="D538" s="82"/>
    </row>
    <row r="539" spans="4:4" ht="15.75" customHeight="1">
      <c r="D539" s="82"/>
    </row>
    <row r="540" spans="4:4" ht="15.75" customHeight="1">
      <c r="D540" s="82"/>
    </row>
    <row r="541" spans="4:4" ht="15.75" customHeight="1">
      <c r="D541" s="82"/>
    </row>
    <row r="542" spans="4:4" ht="15.75" customHeight="1">
      <c r="D542" s="82"/>
    </row>
    <row r="543" spans="4:4" ht="15.75" customHeight="1">
      <c r="D543" s="82"/>
    </row>
    <row r="544" spans="4:4" ht="15.75" customHeight="1">
      <c r="D544" s="82"/>
    </row>
    <row r="545" spans="4:4" ht="15.75" customHeight="1">
      <c r="D545" s="82"/>
    </row>
    <row r="546" spans="4:4" ht="15.75" customHeight="1">
      <c r="D546" s="82"/>
    </row>
    <row r="547" spans="4:4" ht="15.75" customHeight="1">
      <c r="D547" s="82"/>
    </row>
    <row r="548" spans="4:4" ht="15.75" customHeight="1">
      <c r="D548" s="82"/>
    </row>
    <row r="549" spans="4:4" ht="15.75" customHeight="1">
      <c r="D549" s="82"/>
    </row>
    <row r="550" spans="4:4" ht="15.75" customHeight="1">
      <c r="D550" s="82"/>
    </row>
    <row r="551" spans="4:4" ht="15.75" customHeight="1">
      <c r="D551" s="82"/>
    </row>
    <row r="552" spans="4:4" ht="15.75" customHeight="1">
      <c r="D552" s="82"/>
    </row>
    <row r="553" spans="4:4" ht="15.75" customHeight="1">
      <c r="D553" s="82"/>
    </row>
    <row r="554" spans="4:4" ht="15.75" customHeight="1">
      <c r="D554" s="82"/>
    </row>
    <row r="555" spans="4:4" ht="15.75" customHeight="1">
      <c r="D555" s="82"/>
    </row>
    <row r="556" spans="4:4" ht="15.75" customHeight="1">
      <c r="D556" s="82"/>
    </row>
    <row r="557" spans="4:4" ht="15.75" customHeight="1">
      <c r="D557" s="82"/>
    </row>
    <row r="558" spans="4:4" ht="15.75" customHeight="1">
      <c r="D558" s="82"/>
    </row>
    <row r="559" spans="4:4" ht="15.75" customHeight="1">
      <c r="D559" s="82"/>
    </row>
    <row r="560" spans="4:4" ht="15.75" customHeight="1">
      <c r="D560" s="82"/>
    </row>
    <row r="561" spans="4:4" ht="15.75" customHeight="1">
      <c r="D561" s="82"/>
    </row>
    <row r="562" spans="4:4" ht="15.75" customHeight="1">
      <c r="D562" s="82"/>
    </row>
    <row r="563" spans="4:4" ht="15.75" customHeight="1">
      <c r="D563" s="82"/>
    </row>
    <row r="564" spans="4:4" ht="15.75" customHeight="1">
      <c r="D564" s="82"/>
    </row>
    <row r="565" spans="4:4" ht="15.75" customHeight="1">
      <c r="D565" s="82"/>
    </row>
    <row r="566" spans="4:4" ht="15.75" customHeight="1">
      <c r="D566" s="82"/>
    </row>
    <row r="567" spans="4:4" ht="15.75" customHeight="1">
      <c r="D567" s="82"/>
    </row>
    <row r="568" spans="4:4" ht="15.75" customHeight="1">
      <c r="D568" s="82"/>
    </row>
    <row r="569" spans="4:4" ht="15.75" customHeight="1">
      <c r="D569" s="82"/>
    </row>
    <row r="570" spans="4:4" ht="15.75" customHeight="1">
      <c r="D570" s="82"/>
    </row>
    <row r="571" spans="4:4" ht="15.75" customHeight="1">
      <c r="D571" s="82"/>
    </row>
    <row r="572" spans="4:4" ht="15.75" customHeight="1">
      <c r="D572" s="82"/>
    </row>
    <row r="573" spans="4:4" ht="15.75" customHeight="1">
      <c r="D573" s="82"/>
    </row>
    <row r="574" spans="4:4" ht="15.75" customHeight="1">
      <c r="D574" s="82"/>
    </row>
    <row r="575" spans="4:4" ht="15.75" customHeight="1">
      <c r="D575" s="82"/>
    </row>
    <row r="576" spans="4:4" ht="15.75" customHeight="1">
      <c r="D576" s="82"/>
    </row>
    <row r="577" spans="4:4" ht="15.75" customHeight="1">
      <c r="D577" s="82"/>
    </row>
    <row r="578" spans="4:4" ht="15.75" customHeight="1">
      <c r="D578" s="82"/>
    </row>
    <row r="579" spans="4:4" ht="15.75" customHeight="1">
      <c r="D579" s="82"/>
    </row>
    <row r="580" spans="4:4" ht="15.75" customHeight="1">
      <c r="D580" s="82"/>
    </row>
    <row r="581" spans="4:4" ht="15.75" customHeight="1">
      <c r="D581" s="82"/>
    </row>
    <row r="582" spans="4:4" ht="15.75" customHeight="1">
      <c r="D582" s="82"/>
    </row>
    <row r="583" spans="4:4" ht="15.75" customHeight="1">
      <c r="D583" s="82"/>
    </row>
    <row r="584" spans="4:4" ht="15.75" customHeight="1">
      <c r="D584" s="82"/>
    </row>
    <row r="585" spans="4:4" ht="15.75" customHeight="1">
      <c r="D585" s="82"/>
    </row>
    <row r="586" spans="4:4" ht="15.75" customHeight="1">
      <c r="D586" s="82"/>
    </row>
    <row r="587" spans="4:4" ht="15.75" customHeight="1">
      <c r="D587" s="82"/>
    </row>
    <row r="588" spans="4:4" ht="15.75" customHeight="1">
      <c r="D588" s="82"/>
    </row>
    <row r="589" spans="4:4" ht="15.75" customHeight="1">
      <c r="D589" s="82"/>
    </row>
    <row r="590" spans="4:4" ht="15.75" customHeight="1">
      <c r="D590" s="82"/>
    </row>
    <row r="591" spans="4:4" ht="15.75" customHeight="1">
      <c r="D591" s="82"/>
    </row>
    <row r="592" spans="4:4" ht="15.75" customHeight="1">
      <c r="D592" s="82"/>
    </row>
    <row r="593" spans="4:4" ht="15.75" customHeight="1">
      <c r="D593" s="82"/>
    </row>
    <row r="594" spans="4:4" ht="15.75" customHeight="1">
      <c r="D594" s="82"/>
    </row>
    <row r="595" spans="4:4" ht="15.75" customHeight="1">
      <c r="D595" s="82"/>
    </row>
    <row r="596" spans="4:4" ht="15.75" customHeight="1">
      <c r="D596" s="82"/>
    </row>
    <row r="597" spans="4:4" ht="15.75" customHeight="1">
      <c r="D597" s="82"/>
    </row>
    <row r="598" spans="4:4" ht="15.75" customHeight="1">
      <c r="D598" s="82"/>
    </row>
    <row r="599" spans="4:4" ht="15.75" customHeight="1">
      <c r="D599" s="82"/>
    </row>
    <row r="600" spans="4:4" ht="15.75" customHeight="1">
      <c r="D600" s="82"/>
    </row>
    <row r="601" spans="4:4" ht="15.75" customHeight="1">
      <c r="D601" s="82"/>
    </row>
    <row r="602" spans="4:4" ht="15.75" customHeight="1">
      <c r="D602" s="82"/>
    </row>
    <row r="603" spans="4:4" ht="15.75" customHeight="1">
      <c r="D603" s="82"/>
    </row>
    <row r="604" spans="4:4" ht="15.75" customHeight="1">
      <c r="D604" s="82"/>
    </row>
    <row r="605" spans="4:4" ht="15.75" customHeight="1">
      <c r="D605" s="82"/>
    </row>
    <row r="606" spans="4:4" ht="15.75" customHeight="1">
      <c r="D606" s="82"/>
    </row>
    <row r="607" spans="4:4" ht="15.75" customHeight="1">
      <c r="D607" s="82"/>
    </row>
    <row r="608" spans="4:4" ht="15.75" customHeight="1">
      <c r="D608" s="82"/>
    </row>
    <row r="609" spans="4:4" ht="15.75" customHeight="1">
      <c r="D609" s="82"/>
    </row>
    <row r="610" spans="4:4" ht="15.75" customHeight="1">
      <c r="D610" s="82"/>
    </row>
    <row r="611" spans="4:4" ht="15.75" customHeight="1">
      <c r="D611" s="82"/>
    </row>
    <row r="612" spans="4:4" ht="15.75" customHeight="1">
      <c r="D612" s="82"/>
    </row>
    <row r="613" spans="4:4" ht="15.75" customHeight="1">
      <c r="D613" s="82"/>
    </row>
    <row r="614" spans="4:4" ht="15.75" customHeight="1">
      <c r="D614" s="82"/>
    </row>
    <row r="615" spans="4:4" ht="15.75" customHeight="1">
      <c r="D615" s="82"/>
    </row>
    <row r="616" spans="4:4" ht="15.75" customHeight="1">
      <c r="D616" s="82"/>
    </row>
    <row r="617" spans="4:4" ht="15.75" customHeight="1">
      <c r="D617" s="82"/>
    </row>
    <row r="618" spans="4:4" ht="15.75" customHeight="1">
      <c r="D618" s="82"/>
    </row>
    <row r="619" spans="4:4" ht="15.75" customHeight="1">
      <c r="D619" s="82"/>
    </row>
    <row r="620" spans="4:4" ht="15.75" customHeight="1">
      <c r="D620" s="82"/>
    </row>
    <row r="621" spans="4:4" ht="15.75" customHeight="1">
      <c r="D621" s="82"/>
    </row>
    <row r="622" spans="4:4" ht="15.75" customHeight="1">
      <c r="D622" s="82"/>
    </row>
    <row r="623" spans="4:4" ht="15.75" customHeight="1">
      <c r="D623" s="82"/>
    </row>
    <row r="624" spans="4:4" ht="15.75" customHeight="1">
      <c r="D624" s="82"/>
    </row>
    <row r="625" spans="4:4" ht="15.75" customHeight="1">
      <c r="D625" s="82"/>
    </row>
    <row r="626" spans="4:4" ht="15.75" customHeight="1">
      <c r="D626" s="82"/>
    </row>
    <row r="627" spans="4:4" ht="15.75" customHeight="1">
      <c r="D627" s="82"/>
    </row>
    <row r="628" spans="4:4" ht="15.75" customHeight="1">
      <c r="D628" s="82"/>
    </row>
    <row r="629" spans="4:4" ht="15.75" customHeight="1">
      <c r="D629" s="82"/>
    </row>
    <row r="630" spans="4:4" ht="15.75" customHeight="1">
      <c r="D630" s="82"/>
    </row>
    <row r="631" spans="4:4" ht="15.75" customHeight="1">
      <c r="D631" s="82"/>
    </row>
    <row r="632" spans="4:4" ht="15.75" customHeight="1">
      <c r="D632" s="82"/>
    </row>
    <row r="633" spans="4:4" ht="15.75" customHeight="1">
      <c r="D633" s="82"/>
    </row>
    <row r="634" spans="4:4" ht="15.75" customHeight="1">
      <c r="D634" s="82"/>
    </row>
    <row r="635" spans="4:4" ht="15.75" customHeight="1">
      <c r="D635" s="82"/>
    </row>
    <row r="636" spans="4:4" ht="15.75" customHeight="1">
      <c r="D636" s="82"/>
    </row>
    <row r="637" spans="4:4" ht="15.75" customHeight="1">
      <c r="D637" s="82"/>
    </row>
    <row r="638" spans="4:4" ht="15.75" customHeight="1">
      <c r="D638" s="82"/>
    </row>
    <row r="639" spans="4:4" ht="15.75" customHeight="1">
      <c r="D639" s="82"/>
    </row>
    <row r="640" spans="4:4" ht="15.75" customHeight="1">
      <c r="D640" s="82"/>
    </row>
    <row r="641" spans="4:4" ht="15.75" customHeight="1">
      <c r="D641" s="82"/>
    </row>
    <row r="642" spans="4:4" ht="15.75" customHeight="1">
      <c r="D642" s="82"/>
    </row>
    <row r="643" spans="4:4" ht="15.75" customHeight="1">
      <c r="D643" s="82"/>
    </row>
    <row r="644" spans="4:4" ht="15.75" customHeight="1">
      <c r="D644" s="82"/>
    </row>
    <row r="645" spans="4:4" ht="15.75" customHeight="1">
      <c r="D645" s="82"/>
    </row>
    <row r="646" spans="4:4" ht="15.75" customHeight="1">
      <c r="D646" s="82"/>
    </row>
    <row r="647" spans="4:4" ht="15.75" customHeight="1">
      <c r="D647" s="82"/>
    </row>
    <row r="648" spans="4:4" ht="15.75" customHeight="1">
      <c r="D648" s="82"/>
    </row>
    <row r="649" spans="4:4" ht="15.75" customHeight="1">
      <c r="D649" s="82"/>
    </row>
    <row r="650" spans="4:4" ht="15.75" customHeight="1">
      <c r="D650" s="82"/>
    </row>
    <row r="651" spans="4:4" ht="15.75" customHeight="1">
      <c r="D651" s="82"/>
    </row>
    <row r="652" spans="4:4" ht="15.75" customHeight="1">
      <c r="D652" s="82"/>
    </row>
    <row r="653" spans="4:4" ht="15.75" customHeight="1">
      <c r="D653" s="82"/>
    </row>
    <row r="654" spans="4:4" ht="15.75" customHeight="1">
      <c r="D654" s="82"/>
    </row>
    <row r="655" spans="4:4" ht="15.75" customHeight="1">
      <c r="D655" s="82"/>
    </row>
    <row r="656" spans="4:4" ht="15.75" customHeight="1">
      <c r="D656" s="82"/>
    </row>
    <row r="657" spans="4:4" ht="15.75" customHeight="1">
      <c r="D657" s="82"/>
    </row>
    <row r="658" spans="4:4" ht="15.75" customHeight="1">
      <c r="D658" s="82"/>
    </row>
    <row r="659" spans="4:4" ht="15.75" customHeight="1">
      <c r="D659" s="82"/>
    </row>
    <row r="660" spans="4:4" ht="15.75" customHeight="1">
      <c r="D660" s="82"/>
    </row>
    <row r="661" spans="4:4" ht="15.75" customHeight="1">
      <c r="D661" s="82"/>
    </row>
    <row r="662" spans="4:4" ht="15.75" customHeight="1">
      <c r="D662" s="82"/>
    </row>
    <row r="663" spans="4:4" ht="15.75" customHeight="1">
      <c r="D663" s="82"/>
    </row>
    <row r="664" spans="4:4" ht="15.75" customHeight="1">
      <c r="D664" s="82"/>
    </row>
    <row r="665" spans="4:4" ht="15.75" customHeight="1">
      <c r="D665" s="82"/>
    </row>
    <row r="666" spans="4:4" ht="15.75" customHeight="1">
      <c r="D666" s="82"/>
    </row>
    <row r="667" spans="4:4" ht="15.75" customHeight="1">
      <c r="D667" s="82"/>
    </row>
    <row r="668" spans="4:4" ht="15.75" customHeight="1">
      <c r="D668" s="82"/>
    </row>
    <row r="669" spans="4:4" ht="15.75" customHeight="1">
      <c r="D669" s="82"/>
    </row>
    <row r="670" spans="4:4" ht="15.75" customHeight="1">
      <c r="D670" s="82"/>
    </row>
    <row r="671" spans="4:4" ht="15.75" customHeight="1">
      <c r="D671" s="82"/>
    </row>
    <row r="672" spans="4:4" ht="15.75" customHeight="1">
      <c r="D672" s="82"/>
    </row>
    <row r="673" spans="4:4" ht="15.75" customHeight="1">
      <c r="D673" s="82"/>
    </row>
    <row r="674" spans="4:4" ht="15.75" customHeight="1">
      <c r="D674" s="82"/>
    </row>
    <row r="675" spans="4:4" ht="15.75" customHeight="1">
      <c r="D675" s="82"/>
    </row>
    <row r="676" spans="4:4" ht="15.75" customHeight="1">
      <c r="D676" s="82"/>
    </row>
    <row r="677" spans="4:4" ht="15.75" customHeight="1">
      <c r="D677" s="82"/>
    </row>
    <row r="678" spans="4:4" ht="15.75" customHeight="1">
      <c r="D678" s="82"/>
    </row>
    <row r="679" spans="4:4" ht="15.75" customHeight="1">
      <c r="D679" s="82"/>
    </row>
    <row r="680" spans="4:4" ht="15.75" customHeight="1">
      <c r="D680" s="82"/>
    </row>
    <row r="681" spans="4:4" ht="15.75" customHeight="1">
      <c r="D681" s="82"/>
    </row>
    <row r="682" spans="4:4" ht="15.75" customHeight="1">
      <c r="D682" s="82"/>
    </row>
    <row r="683" spans="4:4" ht="15.75" customHeight="1">
      <c r="D683" s="82"/>
    </row>
    <row r="684" spans="4:4" ht="15.75" customHeight="1">
      <c r="D684" s="82"/>
    </row>
    <row r="685" spans="4:4" ht="15.75" customHeight="1">
      <c r="D685" s="82"/>
    </row>
    <row r="686" spans="4:4" ht="15.75" customHeight="1">
      <c r="D686" s="82"/>
    </row>
    <row r="687" spans="4:4" ht="15.75" customHeight="1">
      <c r="D687" s="82"/>
    </row>
    <row r="688" spans="4:4" ht="15.75" customHeight="1">
      <c r="D688" s="82"/>
    </row>
    <row r="689" spans="4:4" ht="15.75" customHeight="1">
      <c r="D689" s="82"/>
    </row>
    <row r="690" spans="4:4" ht="15.75" customHeight="1">
      <c r="D690" s="82"/>
    </row>
    <row r="691" spans="4:4" ht="15.75" customHeight="1">
      <c r="D691" s="82"/>
    </row>
    <row r="692" spans="4:4" ht="15.75" customHeight="1">
      <c r="D692" s="82"/>
    </row>
    <row r="693" spans="4:4" ht="15.75" customHeight="1">
      <c r="D693" s="82"/>
    </row>
    <row r="694" spans="4:4" ht="15.75" customHeight="1">
      <c r="D694" s="82"/>
    </row>
    <row r="695" spans="4:4" ht="15.75" customHeight="1">
      <c r="D695" s="82"/>
    </row>
    <row r="696" spans="4:4" ht="15.75" customHeight="1">
      <c r="D696" s="82"/>
    </row>
    <row r="697" spans="4:4" ht="15.75" customHeight="1">
      <c r="D697" s="82"/>
    </row>
    <row r="698" spans="4:4" ht="15.75" customHeight="1">
      <c r="D698" s="82"/>
    </row>
    <row r="699" spans="4:4" ht="15.75" customHeight="1">
      <c r="D699" s="82"/>
    </row>
    <row r="700" spans="4:4" ht="15.75" customHeight="1">
      <c r="D700" s="82"/>
    </row>
    <row r="701" spans="4:4" ht="15.75" customHeight="1">
      <c r="D701" s="82"/>
    </row>
    <row r="702" spans="4:4" ht="15.75" customHeight="1">
      <c r="D702" s="82"/>
    </row>
    <row r="703" spans="4:4" ht="15.75" customHeight="1">
      <c r="D703" s="82"/>
    </row>
    <row r="704" spans="4:4" ht="15.75" customHeight="1">
      <c r="D704" s="82"/>
    </row>
    <row r="705" spans="4:4" ht="15.75" customHeight="1">
      <c r="D705" s="82"/>
    </row>
    <row r="706" spans="4:4" ht="15.75" customHeight="1">
      <c r="D706" s="82"/>
    </row>
    <row r="707" spans="4:4" ht="15.75" customHeight="1">
      <c r="D707" s="82"/>
    </row>
    <row r="708" spans="4:4" ht="15.75" customHeight="1">
      <c r="D708" s="82"/>
    </row>
    <row r="709" spans="4:4" ht="15.75" customHeight="1">
      <c r="D709" s="82"/>
    </row>
    <row r="710" spans="4:4" ht="15.75" customHeight="1">
      <c r="D710" s="82"/>
    </row>
    <row r="711" spans="4:4" ht="15.75" customHeight="1">
      <c r="D711" s="82"/>
    </row>
    <row r="712" spans="4:4" ht="15.75" customHeight="1">
      <c r="D712" s="82"/>
    </row>
    <row r="713" spans="4:4" ht="15.75" customHeight="1">
      <c r="D713" s="82"/>
    </row>
    <row r="714" spans="4:4" ht="15.75" customHeight="1">
      <c r="D714" s="82"/>
    </row>
    <row r="715" spans="4:4" ht="15.75" customHeight="1">
      <c r="D715" s="82"/>
    </row>
    <row r="716" spans="4:4" ht="15.75" customHeight="1">
      <c r="D716" s="82"/>
    </row>
    <row r="717" spans="4:4" ht="15.75" customHeight="1">
      <c r="D717" s="82"/>
    </row>
    <row r="718" spans="4:4" ht="15.75" customHeight="1">
      <c r="D718" s="82"/>
    </row>
    <row r="719" spans="4:4" ht="15.75" customHeight="1">
      <c r="D719" s="82"/>
    </row>
    <row r="720" spans="4:4" ht="15.75" customHeight="1">
      <c r="D720" s="82"/>
    </row>
    <row r="721" spans="4:4" ht="15.75" customHeight="1">
      <c r="D721" s="82"/>
    </row>
    <row r="722" spans="4:4" ht="15.75" customHeight="1">
      <c r="D722" s="82"/>
    </row>
    <row r="723" spans="4:4" ht="15.75" customHeight="1">
      <c r="D723" s="82"/>
    </row>
    <row r="724" spans="4:4" ht="15.75" customHeight="1">
      <c r="D724" s="82"/>
    </row>
    <row r="725" spans="4:4" ht="15.75" customHeight="1">
      <c r="D725" s="82"/>
    </row>
    <row r="726" spans="4:4" ht="15.75" customHeight="1">
      <c r="D726" s="82"/>
    </row>
    <row r="727" spans="4:4" ht="15.75" customHeight="1">
      <c r="D727" s="82"/>
    </row>
    <row r="728" spans="4:4" ht="15.75" customHeight="1">
      <c r="D728" s="82"/>
    </row>
    <row r="729" spans="4:4" ht="15.75" customHeight="1">
      <c r="D729" s="82"/>
    </row>
    <row r="730" spans="4:4" ht="15.75" customHeight="1">
      <c r="D730" s="82"/>
    </row>
    <row r="731" spans="4:4" ht="15.75" customHeight="1">
      <c r="D731" s="82"/>
    </row>
    <row r="732" spans="4:4" ht="15.75" customHeight="1">
      <c r="D732" s="82"/>
    </row>
    <row r="733" spans="4:4" ht="15.75" customHeight="1">
      <c r="D733" s="82"/>
    </row>
    <row r="734" spans="4:4" ht="15.75" customHeight="1">
      <c r="D734" s="82"/>
    </row>
    <row r="735" spans="4:4" ht="15.75" customHeight="1">
      <c r="D735" s="82"/>
    </row>
    <row r="736" spans="4:4" ht="15.75" customHeight="1">
      <c r="D736" s="82"/>
    </row>
    <row r="737" spans="4:4" ht="15.75" customHeight="1">
      <c r="D737" s="82"/>
    </row>
    <row r="738" spans="4:4" ht="15.75" customHeight="1">
      <c r="D738" s="82"/>
    </row>
    <row r="739" spans="4:4" ht="15.75" customHeight="1">
      <c r="D739" s="82"/>
    </row>
    <row r="740" spans="4:4" ht="15.75" customHeight="1">
      <c r="D740" s="82"/>
    </row>
    <row r="741" spans="4:4" ht="15.75" customHeight="1">
      <c r="D741" s="82"/>
    </row>
    <row r="742" spans="4:4" ht="15.75" customHeight="1">
      <c r="D742" s="82"/>
    </row>
    <row r="743" spans="4:4" ht="15.75" customHeight="1">
      <c r="D743" s="82"/>
    </row>
    <row r="744" spans="4:4" ht="15.75" customHeight="1">
      <c r="D744" s="82"/>
    </row>
    <row r="745" spans="4:4" ht="15.75" customHeight="1">
      <c r="D745" s="82"/>
    </row>
    <row r="746" spans="4:4" ht="15.75" customHeight="1">
      <c r="D746" s="82"/>
    </row>
    <row r="747" spans="4:4" ht="15.75" customHeight="1">
      <c r="D747" s="82"/>
    </row>
    <row r="748" spans="4:4" ht="15.75" customHeight="1">
      <c r="D748" s="82"/>
    </row>
    <row r="749" spans="4:4" ht="15.75" customHeight="1">
      <c r="D749" s="82"/>
    </row>
    <row r="750" spans="4:4" ht="15.75" customHeight="1">
      <c r="D750" s="82"/>
    </row>
    <row r="751" spans="4:4" ht="15.75" customHeight="1">
      <c r="D751" s="82"/>
    </row>
    <row r="752" spans="4:4" ht="15.75" customHeight="1">
      <c r="D752" s="82"/>
    </row>
    <row r="753" spans="4:4" ht="15.75" customHeight="1">
      <c r="D753" s="82"/>
    </row>
    <row r="754" spans="4:4" ht="15.75" customHeight="1">
      <c r="D754" s="82"/>
    </row>
    <row r="755" spans="4:4" ht="15.75" customHeight="1">
      <c r="D755" s="82"/>
    </row>
    <row r="756" spans="4:4" ht="15.75" customHeight="1">
      <c r="D756" s="82"/>
    </row>
    <row r="757" spans="4:4" ht="15.75" customHeight="1">
      <c r="D757" s="82"/>
    </row>
    <row r="758" spans="4:4" ht="15.75" customHeight="1">
      <c r="D758" s="82"/>
    </row>
    <row r="759" spans="4:4" ht="15.75" customHeight="1">
      <c r="D759" s="82"/>
    </row>
    <row r="760" spans="4:4" ht="15.75" customHeight="1">
      <c r="D760" s="82"/>
    </row>
    <row r="761" spans="4:4" ht="15.75" customHeight="1">
      <c r="D761" s="82"/>
    </row>
    <row r="762" spans="4:4" ht="15.75" customHeight="1">
      <c r="D762" s="82"/>
    </row>
    <row r="763" spans="4:4" ht="15.75" customHeight="1">
      <c r="D763" s="82"/>
    </row>
    <row r="764" spans="4:4" ht="15.75" customHeight="1">
      <c r="D764" s="82"/>
    </row>
    <row r="765" spans="4:4" ht="15.75" customHeight="1">
      <c r="D765" s="82"/>
    </row>
    <row r="766" spans="4:4" ht="15.75" customHeight="1">
      <c r="D766" s="82"/>
    </row>
    <row r="767" spans="4:4" ht="15.75" customHeight="1">
      <c r="D767" s="82"/>
    </row>
    <row r="768" spans="4:4" ht="15.75" customHeight="1">
      <c r="D768" s="82"/>
    </row>
    <row r="769" spans="4:4" ht="15.75" customHeight="1">
      <c r="D769" s="82"/>
    </row>
    <row r="770" spans="4:4" ht="15.75" customHeight="1">
      <c r="D770" s="82"/>
    </row>
    <row r="771" spans="4:4" ht="15.75" customHeight="1">
      <c r="D771" s="82"/>
    </row>
    <row r="772" spans="4:4" ht="15.75" customHeight="1">
      <c r="D772" s="82"/>
    </row>
    <row r="773" spans="4:4" ht="15.75" customHeight="1">
      <c r="D773" s="82"/>
    </row>
    <row r="774" spans="4:4" ht="15.75" customHeight="1">
      <c r="D774" s="82"/>
    </row>
    <row r="775" spans="4:4" ht="15.75" customHeight="1">
      <c r="D775" s="82"/>
    </row>
    <row r="776" spans="4:4" ht="15.75" customHeight="1">
      <c r="D776" s="82"/>
    </row>
    <row r="777" spans="4:4" ht="15.75" customHeight="1">
      <c r="D777" s="82"/>
    </row>
    <row r="778" spans="4:4" ht="15.75" customHeight="1">
      <c r="D778" s="82"/>
    </row>
    <row r="779" spans="4:4" ht="15.75" customHeight="1">
      <c r="D779" s="82"/>
    </row>
    <row r="780" spans="4:4" ht="15.75" customHeight="1">
      <c r="D780" s="82"/>
    </row>
    <row r="781" spans="4:4" ht="15.75" customHeight="1">
      <c r="D781" s="82"/>
    </row>
    <row r="782" spans="4:4" ht="15.75" customHeight="1">
      <c r="D782" s="82"/>
    </row>
    <row r="783" spans="4:4" ht="15.75" customHeight="1">
      <c r="D783" s="82"/>
    </row>
    <row r="784" spans="4:4" ht="15.75" customHeight="1">
      <c r="D784" s="82"/>
    </row>
    <row r="785" spans="4:4" ht="15.75" customHeight="1">
      <c r="D785" s="82"/>
    </row>
    <row r="786" spans="4:4" ht="15.75" customHeight="1">
      <c r="D786" s="82"/>
    </row>
    <row r="787" spans="4:4" ht="15.75" customHeight="1">
      <c r="D787" s="82"/>
    </row>
    <row r="788" spans="4:4" ht="15.75" customHeight="1">
      <c r="D788" s="82"/>
    </row>
    <row r="789" spans="4:4" ht="15.75" customHeight="1">
      <c r="D789" s="82"/>
    </row>
    <row r="790" spans="4:4" ht="15.75" customHeight="1">
      <c r="D790" s="82"/>
    </row>
    <row r="791" spans="4:4" ht="15.75" customHeight="1">
      <c r="D791" s="82"/>
    </row>
    <row r="792" spans="4:4" ht="15.75" customHeight="1">
      <c r="D792" s="82"/>
    </row>
    <row r="793" spans="4:4" ht="15.75" customHeight="1">
      <c r="D793" s="82"/>
    </row>
    <row r="794" spans="4:4" ht="15.75" customHeight="1">
      <c r="D794" s="82"/>
    </row>
    <row r="795" spans="4:4" ht="15.75" customHeight="1">
      <c r="D795" s="82"/>
    </row>
    <row r="796" spans="4:4" ht="15.75" customHeight="1">
      <c r="D796" s="82"/>
    </row>
    <row r="797" spans="4:4" ht="15.75" customHeight="1">
      <c r="D797" s="82"/>
    </row>
    <row r="798" spans="4:4" ht="15.75" customHeight="1">
      <c r="D798" s="82"/>
    </row>
    <row r="799" spans="4:4" ht="15.75" customHeight="1">
      <c r="D799" s="82"/>
    </row>
    <row r="800" spans="4:4" ht="15.75" customHeight="1">
      <c r="D800" s="82"/>
    </row>
    <row r="801" spans="4:4" ht="15.75" customHeight="1">
      <c r="D801" s="82"/>
    </row>
    <row r="802" spans="4:4" ht="15.75" customHeight="1">
      <c r="D802" s="82"/>
    </row>
    <row r="803" spans="4:4" ht="15.75" customHeight="1">
      <c r="D803" s="82"/>
    </row>
    <row r="804" spans="4:4" ht="15.75" customHeight="1">
      <c r="D804" s="82"/>
    </row>
    <row r="805" spans="4:4" ht="15.75" customHeight="1">
      <c r="D805" s="82"/>
    </row>
    <row r="806" spans="4:4" ht="15.75" customHeight="1">
      <c r="D806" s="82"/>
    </row>
    <row r="807" spans="4:4" ht="15.75" customHeight="1">
      <c r="D807" s="82"/>
    </row>
    <row r="808" spans="4:4" ht="15.75" customHeight="1">
      <c r="D808" s="82"/>
    </row>
    <row r="809" spans="4:4" ht="15.75" customHeight="1">
      <c r="D809" s="82"/>
    </row>
    <row r="810" spans="4:4" ht="15.75" customHeight="1">
      <c r="D810" s="82"/>
    </row>
    <row r="811" spans="4:4" ht="15.75" customHeight="1">
      <c r="D811" s="82"/>
    </row>
    <row r="812" spans="4:4" ht="15.75" customHeight="1">
      <c r="D812" s="82"/>
    </row>
    <row r="813" spans="4:4" ht="15.75" customHeight="1">
      <c r="D813" s="82"/>
    </row>
    <row r="814" spans="4:4" ht="15.75" customHeight="1">
      <c r="D814" s="82"/>
    </row>
    <row r="815" spans="4:4" ht="15.75" customHeight="1">
      <c r="D815" s="82"/>
    </row>
    <row r="816" spans="4:4" ht="15.75" customHeight="1">
      <c r="D816" s="82"/>
    </row>
    <row r="817" spans="4:4" ht="15.75" customHeight="1">
      <c r="D817" s="82"/>
    </row>
    <row r="818" spans="4:4" ht="15.75" customHeight="1">
      <c r="D818" s="82"/>
    </row>
    <row r="819" spans="4:4" ht="15.75" customHeight="1">
      <c r="D819" s="82"/>
    </row>
    <row r="820" spans="4:4" ht="15.75" customHeight="1">
      <c r="D820" s="82"/>
    </row>
    <row r="821" spans="4:4" ht="15.75" customHeight="1">
      <c r="D821" s="82"/>
    </row>
    <row r="822" spans="4:4" ht="15.75" customHeight="1">
      <c r="D822" s="82"/>
    </row>
    <row r="823" spans="4:4" ht="15.75" customHeight="1">
      <c r="D823" s="82"/>
    </row>
    <row r="824" spans="4:4" ht="15.75" customHeight="1">
      <c r="D824" s="82"/>
    </row>
    <row r="825" spans="4:4" ht="15.75" customHeight="1">
      <c r="D825" s="82"/>
    </row>
    <row r="826" spans="4:4" ht="15.75" customHeight="1">
      <c r="D826" s="82"/>
    </row>
    <row r="827" spans="4:4" ht="15.75" customHeight="1">
      <c r="D827" s="82"/>
    </row>
    <row r="828" spans="4:4" ht="15.75" customHeight="1">
      <c r="D828" s="82"/>
    </row>
    <row r="829" spans="4:4" ht="15.75" customHeight="1">
      <c r="D829" s="82"/>
    </row>
    <row r="830" spans="4:4" ht="15.75" customHeight="1">
      <c r="D830" s="82"/>
    </row>
    <row r="831" spans="4:4" ht="15.75" customHeight="1">
      <c r="D831" s="82"/>
    </row>
    <row r="832" spans="4:4" ht="15.75" customHeight="1">
      <c r="D832" s="82"/>
    </row>
    <row r="833" spans="4:4" ht="15.75" customHeight="1">
      <c r="D833" s="82"/>
    </row>
    <row r="834" spans="4:4" ht="15.75" customHeight="1">
      <c r="D834" s="82"/>
    </row>
    <row r="835" spans="4:4" ht="15.75" customHeight="1">
      <c r="D835" s="82"/>
    </row>
    <row r="836" spans="4:4" ht="15.75" customHeight="1">
      <c r="D836" s="82"/>
    </row>
    <row r="837" spans="4:4" ht="15.75" customHeight="1">
      <c r="D837" s="82"/>
    </row>
    <row r="838" spans="4:4" ht="15.75" customHeight="1">
      <c r="D838" s="82"/>
    </row>
    <row r="839" spans="4:4" ht="15.75" customHeight="1">
      <c r="D839" s="82"/>
    </row>
    <row r="840" spans="4:4" ht="15.75" customHeight="1">
      <c r="D840" s="82"/>
    </row>
    <row r="841" spans="4:4" ht="15.75" customHeight="1">
      <c r="D841" s="82"/>
    </row>
    <row r="842" spans="4:4" ht="15.75" customHeight="1">
      <c r="D842" s="82"/>
    </row>
    <row r="843" spans="4:4" ht="15.75" customHeight="1">
      <c r="D843" s="82"/>
    </row>
    <row r="844" spans="4:4" ht="15.75" customHeight="1">
      <c r="D844" s="82"/>
    </row>
    <row r="845" spans="4:4" ht="15.75" customHeight="1">
      <c r="D845" s="82"/>
    </row>
    <row r="846" spans="4:4" ht="15.75" customHeight="1">
      <c r="D846" s="82"/>
    </row>
    <row r="847" spans="4:4" ht="15.75" customHeight="1">
      <c r="D847" s="82"/>
    </row>
    <row r="848" spans="4:4" ht="15.75" customHeight="1">
      <c r="D848" s="82"/>
    </row>
    <row r="849" spans="4:4" ht="15.75" customHeight="1">
      <c r="D849" s="82"/>
    </row>
    <row r="850" spans="4:4" ht="15.75" customHeight="1">
      <c r="D850" s="82"/>
    </row>
    <row r="851" spans="4:4" ht="15.75" customHeight="1">
      <c r="D851" s="82"/>
    </row>
    <row r="852" spans="4:4" ht="15.75" customHeight="1">
      <c r="D852" s="82"/>
    </row>
    <row r="853" spans="4:4" ht="15.75" customHeight="1">
      <c r="D853" s="82"/>
    </row>
    <row r="854" spans="4:4" ht="15.75" customHeight="1">
      <c r="D854" s="82"/>
    </row>
    <row r="855" spans="4:4" ht="15.75" customHeight="1">
      <c r="D855" s="82"/>
    </row>
    <row r="856" spans="4:4" ht="15.75" customHeight="1">
      <c r="D856" s="82"/>
    </row>
    <row r="857" spans="4:4" ht="15.75" customHeight="1">
      <c r="D857" s="82"/>
    </row>
    <row r="858" spans="4:4" ht="15.75" customHeight="1">
      <c r="D858" s="82"/>
    </row>
    <row r="859" spans="4:4" ht="15.75" customHeight="1">
      <c r="D859" s="82"/>
    </row>
    <row r="860" spans="4:4" ht="15.75" customHeight="1">
      <c r="D860" s="82"/>
    </row>
    <row r="861" spans="4:4" ht="15.75" customHeight="1">
      <c r="D861" s="82"/>
    </row>
    <row r="862" spans="4:4" ht="15.75" customHeight="1">
      <c r="D862" s="82"/>
    </row>
    <row r="863" spans="4:4" ht="15.75" customHeight="1">
      <c r="D863" s="82"/>
    </row>
    <row r="864" spans="4:4" ht="15.75" customHeight="1">
      <c r="D864" s="82"/>
    </row>
    <row r="865" spans="4:4" ht="15.75" customHeight="1">
      <c r="D865" s="82"/>
    </row>
    <row r="866" spans="4:4" ht="15.75" customHeight="1">
      <c r="D866" s="82"/>
    </row>
    <row r="867" spans="4:4" ht="15.75" customHeight="1">
      <c r="D867" s="82"/>
    </row>
    <row r="868" spans="4:4" ht="15.75" customHeight="1">
      <c r="D868" s="82"/>
    </row>
    <row r="869" spans="4:4" ht="15.75" customHeight="1">
      <c r="D869" s="82"/>
    </row>
    <row r="870" spans="4:4" ht="15.75" customHeight="1">
      <c r="D870" s="82"/>
    </row>
    <row r="871" spans="4:4" ht="15.75" customHeight="1">
      <c r="D871" s="82"/>
    </row>
    <row r="872" spans="4:4" ht="15.75" customHeight="1">
      <c r="D872" s="82"/>
    </row>
    <row r="873" spans="4:4" ht="15.75" customHeight="1">
      <c r="D873" s="82"/>
    </row>
    <row r="874" spans="4:4" ht="15.75" customHeight="1">
      <c r="D874" s="82"/>
    </row>
    <row r="875" spans="4:4" ht="15.75" customHeight="1">
      <c r="D875" s="82"/>
    </row>
    <row r="876" spans="4:4" ht="15.75" customHeight="1">
      <c r="D876" s="82"/>
    </row>
    <row r="877" spans="4:4" ht="15.75" customHeight="1">
      <c r="D877" s="82"/>
    </row>
    <row r="878" spans="4:4" ht="15.75" customHeight="1">
      <c r="D878" s="82"/>
    </row>
    <row r="879" spans="4:4" ht="15.75" customHeight="1">
      <c r="D879" s="82"/>
    </row>
    <row r="880" spans="4:4" ht="15.75" customHeight="1">
      <c r="D880" s="82"/>
    </row>
    <row r="881" spans="4:4" ht="15.75" customHeight="1">
      <c r="D881" s="82"/>
    </row>
    <row r="882" spans="4:4" ht="15.75" customHeight="1">
      <c r="D882" s="82"/>
    </row>
    <row r="883" spans="4:4" ht="15.75" customHeight="1">
      <c r="D883" s="82"/>
    </row>
    <row r="884" spans="4:4" ht="15.75" customHeight="1">
      <c r="D884" s="82"/>
    </row>
    <row r="885" spans="4:4" ht="15.75" customHeight="1">
      <c r="D885" s="82"/>
    </row>
    <row r="886" spans="4:4" ht="15.75" customHeight="1">
      <c r="D886" s="82"/>
    </row>
    <row r="887" spans="4:4" ht="15.75" customHeight="1">
      <c r="D887" s="82"/>
    </row>
    <row r="888" spans="4:4" ht="15.75" customHeight="1">
      <c r="D888" s="82"/>
    </row>
    <row r="889" spans="4:4" ht="15.75" customHeight="1">
      <c r="D889" s="82"/>
    </row>
    <row r="890" spans="4:4" ht="15.75" customHeight="1">
      <c r="D890" s="82"/>
    </row>
    <row r="891" spans="4:4" ht="15.75" customHeight="1">
      <c r="D891" s="82"/>
    </row>
    <row r="892" spans="4:4" ht="15.75" customHeight="1">
      <c r="D892" s="82"/>
    </row>
    <row r="893" spans="4:4" ht="15.75" customHeight="1">
      <c r="D893" s="82"/>
    </row>
    <row r="894" spans="4:4" ht="15.75" customHeight="1">
      <c r="D894" s="82"/>
    </row>
    <row r="895" spans="4:4" ht="15.75" customHeight="1">
      <c r="D895" s="82"/>
    </row>
    <row r="896" spans="4:4" ht="15.75" customHeight="1">
      <c r="D896" s="82"/>
    </row>
    <row r="897" spans="4:4" ht="15.75" customHeight="1">
      <c r="D897" s="82"/>
    </row>
    <row r="898" spans="4:4" ht="15.75" customHeight="1">
      <c r="D898" s="82"/>
    </row>
    <row r="899" spans="4:4" ht="15.75" customHeight="1">
      <c r="D899" s="82"/>
    </row>
    <row r="900" spans="4:4" ht="15.75" customHeight="1">
      <c r="D900" s="82"/>
    </row>
    <row r="901" spans="4:4" ht="15.75" customHeight="1">
      <c r="D901" s="82"/>
    </row>
    <row r="902" spans="4:4" ht="15.75" customHeight="1">
      <c r="D902" s="82"/>
    </row>
    <row r="903" spans="4:4" ht="15.75" customHeight="1">
      <c r="D903" s="82"/>
    </row>
    <row r="904" spans="4:4" ht="15.75" customHeight="1">
      <c r="D904" s="82"/>
    </row>
    <row r="905" spans="4:4" ht="15.75" customHeight="1">
      <c r="D905" s="82"/>
    </row>
    <row r="906" spans="4:4" ht="15.75" customHeight="1">
      <c r="D906" s="82"/>
    </row>
    <row r="907" spans="4:4" ht="15.75" customHeight="1">
      <c r="D907" s="82"/>
    </row>
    <row r="908" spans="4:4" ht="15.75" customHeight="1">
      <c r="D908" s="82"/>
    </row>
    <row r="909" spans="4:4" ht="15.75" customHeight="1">
      <c r="D909" s="82"/>
    </row>
    <row r="910" spans="4:4" ht="15.75" customHeight="1">
      <c r="D910" s="82"/>
    </row>
    <row r="911" spans="4:4" ht="15.75" customHeight="1">
      <c r="D911" s="82"/>
    </row>
    <row r="912" spans="4:4" ht="15.75" customHeight="1">
      <c r="D912" s="82"/>
    </row>
    <row r="913" spans="4:4" ht="15.75" customHeight="1">
      <c r="D913" s="82"/>
    </row>
    <row r="914" spans="4:4" ht="15.75" customHeight="1">
      <c r="D914" s="82"/>
    </row>
    <row r="915" spans="4:4" ht="15.75" customHeight="1">
      <c r="D915" s="82"/>
    </row>
    <row r="916" spans="4:4" ht="15.75" customHeight="1">
      <c r="D916" s="82"/>
    </row>
    <row r="917" spans="4:4" ht="15.75" customHeight="1">
      <c r="D917" s="82"/>
    </row>
    <row r="918" spans="4:4" ht="15.75" customHeight="1">
      <c r="D918" s="82"/>
    </row>
    <row r="919" spans="4:4" ht="15.75" customHeight="1">
      <c r="D919" s="82"/>
    </row>
    <row r="920" spans="4:4" ht="15.75" customHeight="1">
      <c r="D920" s="82"/>
    </row>
    <row r="921" spans="4:4" ht="15.75" customHeight="1">
      <c r="D921" s="82"/>
    </row>
    <row r="922" spans="4:4" ht="15.75" customHeight="1">
      <c r="D922" s="82"/>
    </row>
    <row r="923" spans="4:4" ht="15.75" customHeight="1">
      <c r="D923" s="82"/>
    </row>
    <row r="924" spans="4:4" ht="15.75" customHeight="1">
      <c r="D924" s="82"/>
    </row>
    <row r="925" spans="4:4" ht="15.75" customHeight="1">
      <c r="D925" s="82"/>
    </row>
    <row r="926" spans="4:4" ht="15.75" customHeight="1">
      <c r="D926" s="82"/>
    </row>
    <row r="927" spans="4:4" ht="15.75" customHeight="1">
      <c r="D927" s="82"/>
    </row>
    <row r="928" spans="4:4" ht="15.75" customHeight="1">
      <c r="D928" s="82"/>
    </row>
    <row r="929" spans="4:4" ht="15.75" customHeight="1">
      <c r="D929" s="82"/>
    </row>
    <row r="930" spans="4:4" ht="15.75" customHeight="1">
      <c r="D930" s="82"/>
    </row>
    <row r="931" spans="4:4" ht="15.75" customHeight="1">
      <c r="D931" s="82"/>
    </row>
    <row r="932" spans="4:4" ht="15.75" customHeight="1">
      <c r="D932" s="82"/>
    </row>
    <row r="933" spans="4:4" ht="15.75" customHeight="1">
      <c r="D933" s="82"/>
    </row>
    <row r="934" spans="4:4" ht="15.75" customHeight="1">
      <c r="D934" s="82"/>
    </row>
    <row r="935" spans="4:4" ht="15.75" customHeight="1">
      <c r="D935" s="82"/>
    </row>
    <row r="936" spans="4:4" ht="15.75" customHeight="1">
      <c r="D936" s="82"/>
    </row>
    <row r="937" spans="4:4" ht="15.75" customHeight="1">
      <c r="D937" s="82"/>
    </row>
    <row r="938" spans="4:4" ht="15.75" customHeight="1">
      <c r="D938" s="82"/>
    </row>
    <row r="939" spans="4:4" ht="15.75" customHeight="1">
      <c r="D939" s="82"/>
    </row>
    <row r="940" spans="4:4" ht="15.75" customHeight="1">
      <c r="D940" s="82"/>
    </row>
    <row r="941" spans="4:4" ht="15.75" customHeight="1">
      <c r="D941" s="82"/>
    </row>
    <row r="942" spans="4:4" ht="15.75" customHeight="1">
      <c r="D942" s="82"/>
    </row>
    <row r="943" spans="4:4" ht="15.75" customHeight="1">
      <c r="D943" s="82"/>
    </row>
    <row r="944" spans="4:4" ht="15.75" customHeight="1">
      <c r="D944" s="82"/>
    </row>
    <row r="945" spans="4:4" ht="15.75" customHeight="1">
      <c r="D945" s="82"/>
    </row>
    <row r="946" spans="4:4" ht="15.75" customHeight="1">
      <c r="D946" s="82"/>
    </row>
    <row r="947" spans="4:4" ht="15.75" customHeight="1">
      <c r="D947" s="82"/>
    </row>
    <row r="948" spans="4:4" ht="15.75" customHeight="1">
      <c r="D948" s="82"/>
    </row>
    <row r="949" spans="4:4" ht="15.75" customHeight="1">
      <c r="D949" s="82"/>
    </row>
    <row r="950" spans="4:4" ht="15.75" customHeight="1">
      <c r="D950" s="82"/>
    </row>
    <row r="951" spans="4:4" ht="15.75" customHeight="1">
      <c r="D951" s="82"/>
    </row>
    <row r="952" spans="4:4" ht="15.75" customHeight="1">
      <c r="D952" s="82"/>
    </row>
    <row r="953" spans="4:4" ht="15.75" customHeight="1">
      <c r="D953" s="82"/>
    </row>
    <row r="954" spans="4:4" ht="15.75" customHeight="1">
      <c r="D954" s="82"/>
    </row>
    <row r="955" spans="4:4" ht="15.75" customHeight="1">
      <c r="D955" s="82"/>
    </row>
    <row r="956" spans="4:4" ht="15.75" customHeight="1">
      <c r="D956" s="82"/>
    </row>
    <row r="957" spans="4:4" ht="15.75" customHeight="1">
      <c r="D957" s="82"/>
    </row>
    <row r="958" spans="4:4" ht="15.75" customHeight="1">
      <c r="D958" s="82"/>
    </row>
    <row r="959" spans="4:4" ht="15.75" customHeight="1">
      <c r="D959" s="82"/>
    </row>
    <row r="960" spans="4:4" ht="15.75" customHeight="1">
      <c r="D960" s="82"/>
    </row>
    <row r="961" spans="4:4" ht="15.75" customHeight="1">
      <c r="D961" s="82"/>
    </row>
    <row r="962" spans="4:4" ht="15.75" customHeight="1">
      <c r="D962" s="82"/>
    </row>
    <row r="963" spans="4:4" ht="15.75" customHeight="1">
      <c r="D963" s="82"/>
    </row>
    <row r="964" spans="4:4" ht="15.75" customHeight="1">
      <c r="D964" s="82"/>
    </row>
    <row r="965" spans="4:4" ht="15.75" customHeight="1">
      <c r="D965" s="82"/>
    </row>
    <row r="966" spans="4:4" ht="15.75" customHeight="1">
      <c r="D966" s="82"/>
    </row>
    <row r="967" spans="4:4" ht="15.75" customHeight="1">
      <c r="D967" s="82"/>
    </row>
    <row r="968" spans="4:4" ht="15.75" customHeight="1">
      <c r="D968" s="82"/>
    </row>
    <row r="969" spans="4:4" ht="15.75" customHeight="1">
      <c r="D969" s="82"/>
    </row>
    <row r="970" spans="4:4" ht="15.75" customHeight="1">
      <c r="D970" s="82"/>
    </row>
    <row r="971" spans="4:4" ht="15.75" customHeight="1">
      <c r="D971" s="82"/>
    </row>
    <row r="972" spans="4:4" ht="15.75" customHeight="1">
      <c r="D972" s="82"/>
    </row>
    <row r="973" spans="4:4" ht="15.75" customHeight="1">
      <c r="D973" s="82"/>
    </row>
    <row r="974" spans="4:4" ht="15.75" customHeight="1">
      <c r="D974" s="82"/>
    </row>
    <row r="975" spans="4:4" ht="15.75" customHeight="1">
      <c r="D975" s="82"/>
    </row>
    <row r="976" spans="4:4" ht="16">
      <c r="D976" s="82"/>
    </row>
    <row r="977" spans="4:4" ht="16">
      <c r="D977" s="82"/>
    </row>
    <row r="978" spans="4:4" ht="16">
      <c r="D978" s="82"/>
    </row>
    <row r="979" spans="4:4" ht="16">
      <c r="D979" s="8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Employeers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25</vt:lpstr>
      <vt:lpstr>November 25</vt:lpstr>
      <vt:lpstr>October 25</vt:lpstr>
      <vt:lpstr>September 25</vt:lpstr>
      <vt:lpstr>August 25</vt:lpstr>
      <vt:lpstr>July 25</vt:lpstr>
      <vt:lpstr>June 25</vt:lpstr>
      <vt:lpstr>May 25</vt:lpstr>
      <vt:lpstr>April 25</vt:lpstr>
      <vt:lpstr>March 25</vt:lpstr>
      <vt:lpstr>February 25</vt:lpstr>
      <vt:lpstr>January 25</vt:lpstr>
      <vt:lpstr>December 24</vt:lpstr>
      <vt:lpstr>November 24</vt:lpstr>
      <vt:lpstr>October 24</vt:lpstr>
      <vt:lpstr>September 24</vt:lpstr>
      <vt:lpstr>August 24</vt:lpstr>
      <vt:lpstr>July 24</vt:lpstr>
      <vt:lpstr>June 24</vt:lpstr>
      <vt:lpstr>Invoices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Lisenbart</dc:creator>
  <cp:lastModifiedBy>Dmytro Lisenbart</cp:lastModifiedBy>
  <dcterms:created xsi:type="dcterms:W3CDTF">2021-11-04T15:53:12Z</dcterms:created>
  <dcterms:modified xsi:type="dcterms:W3CDTF">2026-10-07T20:26:18Z</dcterms:modified>
</cp:coreProperties>
</file>